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KETERSEDIAAN_2025" sheetId="2" state="visible" r:id="rId2"/>
    <sheet name="WEIBULL_15HARIAN" sheetId="3" state="visible" r:id="rId3"/>
    <sheet name="DEBIT_15HARIAN" sheetId="4" state="visible" r:id="rId4"/>
    <sheet name="DEBIT_HARI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yyyy-mm-dd h:mm:ss"/>
    <numFmt numFmtId="167" formatCode="dd-mm-yyyy"/>
    <numFmt numFmtId="168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1" fontId="3" fillId="0" borderId="1" pivotButton="0" quotePrefix="0" xfId="0"/>
    <xf numFmtId="164" fontId="2" fillId="0" borderId="1" pivotButton="0" quotePrefix="0" xfId="0"/>
    <xf numFmtId="168" fontId="3" fillId="0" borderId="1" pivotButton="0" quotePrefix="0" xfId="0"/>
    <xf numFmtId="164" fontId="3" fillId="4" borderId="1" pivotButton="0" quotePrefix="0" xfId="0"/>
    <xf numFmtId="164" fontId="3" fillId="0" borderId="1" pivotButton="0" quotePrefix="0" xfId="0"/>
    <xf numFmtId="0" fontId="3" fillId="2" borderId="1" pivotButton="0" quotePrefix="0" xfId="0"/>
    <xf numFmtId="1" fontId="2" fillId="2" borderId="1" pivotButton="0" quotePrefix="0" xfId="0"/>
    <xf numFmtId="164" fontId="2" fillId="2" borderId="1" pivotButton="0" quotePrefix="0" xfId="0"/>
    <xf numFmtId="168" fontId="2" fillId="2" borderId="1" pivotButton="0" quotePrefix="0" xfId="0"/>
    <xf numFmtId="0" fontId="2" fillId="0" borderId="1" pivotButton="0" quotePrefix="0" xfId="0"/>
    <xf numFmtId="9" fontId="6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164" fontId="3" fillId="2" borderId="1" pivotButton="0" quotePrefix="0" xfId="0"/>
    <xf numFmtId="165" fontId="3" fillId="0" borderId="1" pivotButton="0" quotePrefix="0" xfId="0"/>
    <xf numFmtId="167" fontId="0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Ketersediaan air 15 harian tahun 2025 - Outlet</a:t>
            </a:r>
          </a:p>
        </rich>
      </tx>
    </title>
    <plotArea>
      <barChart>
        <barDir val="col"/>
        <grouping val="clustered"/>
        <ser>
          <idx val="0"/>
          <order val="0"/>
          <tx>
            <v>Debit 2025</v>
          </tx>
          <spPr>
            <a:solidFill>
              <a:srgbClr val="5B9BD5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'KETERSEDIAAN_2025'!$G$6:$G$29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Q80 andalan</v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'KETERSEDIAAN_2025'!$I$6:$I$29</f>
            </numRef>
          </val>
          <smooth val="0"/>
        </ser>
        <ser>
          <idx val="2"/>
          <order val="2"/>
          <tx>
            <v>Q50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'KETERSEDIAAN_2025'!$J$6:$J$29</f>
            </numRef>
          </val>
          <smooth val="0"/>
        </ser>
        <ser>
          <idx val="3"/>
          <order val="3"/>
          <tx>
            <v>Q90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'KETERSEDIAAN_2025'!$K$6:$K$29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 15 harian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ketersediaan air 15 harian tahun 2025</a:t>
            </a:r>
          </a:p>
        </rich>
      </tx>
    </title>
    <plotArea>
      <barChart>
        <barDir val="col"/>
        <grouping val="clustered"/>
        <ser>
          <idx val="0"/>
          <order val="0"/>
          <tx>
            <v>Volume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'KETERSEDIAAN_2025'!$H$6:$H$29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(juta m³)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97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53</row>
      <rowOff>0</rowOff>
    </from>
    <ext cx="97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15 HARIAN TAHUN 2025 - Bubi (Outlet)</t>
        </is>
      </c>
    </row>
    <row r="3">
      <c r="A3" s="2" t="inlineStr">
        <is>
          <t>DAS / proyek</t>
        </is>
      </c>
      <c r="B3" s="3" t="inlineStr">
        <is>
          <t>Bubi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320.4808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Kalibrasi, pos Gabungan Thiessen (3 pos), Quantile mapping, mutu Lemah</t>
        </is>
      </c>
    </row>
    <row r="12">
      <c r="A12" s="2" t="inlineStr">
        <is>
          <t>Dibuat</t>
        </is>
      </c>
      <c r="B12" s="3" t="inlineStr">
        <is>
          <t>14-10-2026 21:42 -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KETERSEDIAAN_2025: debit rata-rata tiap 15 harian tahun 2025 (periode I = tanggal 1-15, periode II = tanggal 16 s/d akhir bulan) dan volumenya, dibandingkan dengan debit andalan 15 harian.</t>
        </is>
      </c>
    </row>
    <row r="16">
      <c r="A16" s="5" t="inlineStr">
        <is>
          <t>- Debit andalan (Q50/Q80/Q90) dari lembar WEIBULL_15HARIAN: debit 15 harian semua tahun lengkap diurutkan, P = m/(n+1) (Weibull), diinterpolasi linier.</t>
        </is>
      </c>
    </row>
    <row r="17">
      <c r="A17" s="5" t="inlineStr">
        <is>
          <t>- Volume (juta m³) = debit rata-rata x jumlah hari periode x 86.400 / 1.000.000.</t>
        </is>
      </c>
    </row>
    <row r="18">
      <c r="A18" s="5" t="inlineStr">
        <is>
          <t>- Tahun ini lengkap.</t>
        </is>
      </c>
    </row>
    <row r="19">
      <c r="A19" s="5" t="inlineStr">
        <is>
          <t>- Semua angka turunan adalah rumus Excel yang merujuk lembar DEBIT_HARIAN (angka biru = hasil simulasi).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9" customWidth="1" min="4" max="4"/>
    <col width="8" customWidth="1" min="5" max="5"/>
    <col width="9" customWidth="1" min="6" max="6"/>
    <col width="13" customWidth="1" min="7" max="7"/>
    <col width="12" customWidth="1" min="8" max="8"/>
    <col width="12" customWidth="1" min="9" max="9"/>
    <col width="11" customWidth="1" min="10" max="10"/>
    <col width="11" customWidth="1" min="11" max="11"/>
    <col width="15" customWidth="1" min="12" max="12"/>
  </cols>
  <sheetData>
    <row r="1">
      <c r="A1" s="1" t="inlineStr">
        <is>
          <t>KETERSEDIAAN AIR 15 HARIAN TAHUN 2025 - Outlet</t>
        </is>
      </c>
    </row>
    <row r="2">
      <c r="A2" s="6" t="inlineStr">
        <is>
          <t>Bubi · luas tangkapan 320.48 km² · debit rata-rata periode dari debit harian hasil simulasi</t>
        </is>
      </c>
    </row>
    <row r="3">
      <c r="A3" s="4" t="inlineStr">
        <is>
          <t>Tahun</t>
        </is>
      </c>
      <c r="C3" s="7" t="n">
        <v>2025</v>
      </c>
    </row>
    <row r="5">
      <c r="A5" s="8" t="inlineStr">
        <is>
          <t>No</t>
        </is>
      </c>
      <c r="B5" s="8" t="inlineStr">
        <is>
          <t>Bulan</t>
        </is>
      </c>
      <c r="C5" s="8" t="inlineStr">
        <is>
          <t>Periode</t>
        </is>
      </c>
      <c r="D5" s="8" t="inlineStr">
        <is>
          <t>Tanggal</t>
        </is>
      </c>
      <c r="E5" s="8" t="inlineStr">
        <is>
          <t>Jumlah hari</t>
        </is>
      </c>
      <c r="F5" s="8" t="inlineStr">
        <is>
          <t>Hari berdata</t>
        </is>
      </c>
      <c r="G5" s="8" t="inlineStr">
        <is>
          <t>Debit rata-rata (m³/s)</t>
        </is>
      </c>
      <c r="H5" s="8" t="inlineStr">
        <is>
          <t>Volume (juta m³)</t>
        </is>
      </c>
      <c r="I5" s="8" t="inlineStr">
        <is>
          <t>Q80 andalan (m³/s)</t>
        </is>
      </c>
      <c r="J5" s="8" t="inlineStr">
        <is>
          <t>Q50 (m³/s)</t>
        </is>
      </c>
      <c r="K5" s="8" t="inlineStr">
        <is>
          <t>Q90 (m³/s)</t>
        </is>
      </c>
      <c r="L5" s="8" t="inlineStr">
        <is>
          <t>Terhadap Q80</t>
        </is>
      </c>
      <c r="N5" s="6" t="inlineStr">
        <is>
          <t>Label grafik</t>
        </is>
      </c>
    </row>
    <row r="6">
      <c r="A6" s="9" t="n">
        <v>1</v>
      </c>
      <c r="B6" s="3" t="inlineStr">
        <is>
          <t>Januari</t>
        </is>
      </c>
      <c r="C6" s="3" t="inlineStr">
        <is>
          <t>I</t>
        </is>
      </c>
      <c r="D6" s="3" t="inlineStr">
        <is>
          <t>1-15</t>
        </is>
      </c>
      <c r="E6" s="9" t="n">
        <v>15</v>
      </c>
      <c r="F6" s="9">
        <f>COUNTIFS(DEBIT_HARIAN!$B$6:$B$9136,$C$3,DEBIT_HARIAN!$C$6:$C$9136,1,DEBIT_HARIAN!$E$6:$E$9136,1)</f>
        <v/>
      </c>
      <c r="G6" s="10">
        <f>IFERROR(AVERAGEIFS(DEBIT_HARIAN!$F$6:$F$9136,DEBIT_HARIAN!$B$6:$B$9136,$C$3,DEBIT_HARIAN!$C$6:$C$9136,1,DEBIT_HARIAN!$E$6:$E$9136,1),"")</f>
        <v/>
      </c>
      <c r="H6" s="11">
        <f>IF(G6="","",G6*E6*86400/1000000)</f>
        <v/>
      </c>
      <c r="I6" s="12">
        <f>WEIBULL_15HARIAN!C$7</f>
        <v/>
      </c>
      <c r="J6" s="13">
        <f>WEIBULL_15HARIAN!C$6</f>
        <v/>
      </c>
      <c r="K6" s="13">
        <f>WEIBULL_15HARIAN!C$8</f>
        <v/>
      </c>
      <c r="L6" s="3">
        <f>IF(OR(G6="",I6=""),"",IF(G6&gt;=I6,"di atas Q80","di bawah Q80"))</f>
        <v/>
      </c>
      <c r="N6" s="6" t="inlineStr">
        <is>
          <t>Jan I</t>
        </is>
      </c>
    </row>
    <row r="7">
      <c r="A7" s="9" t="n">
        <v>2</v>
      </c>
      <c r="B7" s="3" t="inlineStr">
        <is>
          <t>Januari</t>
        </is>
      </c>
      <c r="C7" s="3" t="inlineStr">
        <is>
          <t>II</t>
        </is>
      </c>
      <c r="D7" s="3">
        <f>16&amp;"-"&amp;DAY(DATE($C$3,1+1,0))</f>
        <v/>
      </c>
      <c r="E7" s="9">
        <f>DAY(DATE($C$3,1+1,0))-15</f>
        <v/>
      </c>
      <c r="F7" s="9">
        <f>COUNTIFS(DEBIT_HARIAN!$B$6:$B$9136,$C$3,DEBIT_HARIAN!$C$6:$C$9136,1,DEBIT_HARIAN!$E$6:$E$9136,2)</f>
        <v/>
      </c>
      <c r="G7" s="10">
        <f>IFERROR(AVERAGEIFS(DEBIT_HARIAN!$F$6:$F$9136,DEBIT_HARIAN!$B$6:$B$9136,$C$3,DEBIT_HARIAN!$C$6:$C$9136,1,DEBIT_HARIAN!$E$6:$E$9136,2),"")</f>
        <v/>
      </c>
      <c r="H7" s="11">
        <f>IF(G7="","",G7*E7*86400/1000000)</f>
        <v/>
      </c>
      <c r="I7" s="12">
        <f>WEIBULL_15HARIAN!D$7</f>
        <v/>
      </c>
      <c r="J7" s="13">
        <f>WEIBULL_15HARIAN!D$6</f>
        <v/>
      </c>
      <c r="K7" s="13">
        <f>WEIBULL_15HARIAN!D$8</f>
        <v/>
      </c>
      <c r="L7" s="3">
        <f>IF(OR(G7="",I7=""),"",IF(G7&gt;=I7,"di atas Q80","di bawah Q80"))</f>
        <v/>
      </c>
      <c r="N7" s="6" t="inlineStr">
        <is>
          <t>Jan II</t>
        </is>
      </c>
    </row>
    <row r="8">
      <c r="A8" s="9" t="n">
        <v>3</v>
      </c>
      <c r="B8" s="3" t="inlineStr">
        <is>
          <t>Februari</t>
        </is>
      </c>
      <c r="C8" s="3" t="inlineStr">
        <is>
          <t>I</t>
        </is>
      </c>
      <c r="D8" s="3" t="inlineStr">
        <is>
          <t>1-15</t>
        </is>
      </c>
      <c r="E8" s="9" t="n">
        <v>15</v>
      </c>
      <c r="F8" s="9">
        <f>COUNTIFS(DEBIT_HARIAN!$B$6:$B$9136,$C$3,DEBIT_HARIAN!$C$6:$C$9136,2,DEBIT_HARIAN!$E$6:$E$9136,1)</f>
        <v/>
      </c>
      <c r="G8" s="10">
        <f>IFERROR(AVERAGEIFS(DEBIT_HARIAN!$F$6:$F$9136,DEBIT_HARIAN!$B$6:$B$9136,$C$3,DEBIT_HARIAN!$C$6:$C$9136,2,DEBIT_HARIAN!$E$6:$E$9136,1),"")</f>
        <v/>
      </c>
      <c r="H8" s="11">
        <f>IF(G8="","",G8*E8*86400/1000000)</f>
        <v/>
      </c>
      <c r="I8" s="12">
        <f>WEIBULL_15HARIAN!E$7</f>
        <v/>
      </c>
      <c r="J8" s="13">
        <f>WEIBULL_15HARIAN!E$6</f>
        <v/>
      </c>
      <c r="K8" s="13">
        <f>WEIBULL_15HARIAN!E$8</f>
        <v/>
      </c>
      <c r="L8" s="3">
        <f>IF(OR(G8="",I8=""),"",IF(G8&gt;=I8,"di atas Q80","di bawah Q80"))</f>
        <v/>
      </c>
      <c r="N8" s="6" t="inlineStr">
        <is>
          <t>Feb I</t>
        </is>
      </c>
    </row>
    <row r="9">
      <c r="A9" s="9" t="n">
        <v>4</v>
      </c>
      <c r="B9" s="3" t="inlineStr">
        <is>
          <t>Februari</t>
        </is>
      </c>
      <c r="C9" s="3" t="inlineStr">
        <is>
          <t>II</t>
        </is>
      </c>
      <c r="D9" s="3">
        <f>16&amp;"-"&amp;DAY(DATE($C$3,2+1,0))</f>
        <v/>
      </c>
      <c r="E9" s="9">
        <f>DAY(DATE($C$3,2+1,0))-15</f>
        <v/>
      </c>
      <c r="F9" s="9">
        <f>COUNTIFS(DEBIT_HARIAN!$B$6:$B$9136,$C$3,DEBIT_HARIAN!$C$6:$C$9136,2,DEBIT_HARIAN!$E$6:$E$9136,2)</f>
        <v/>
      </c>
      <c r="G9" s="10">
        <f>IFERROR(AVERAGEIFS(DEBIT_HARIAN!$F$6:$F$9136,DEBIT_HARIAN!$B$6:$B$9136,$C$3,DEBIT_HARIAN!$C$6:$C$9136,2,DEBIT_HARIAN!$E$6:$E$9136,2),"")</f>
        <v/>
      </c>
      <c r="H9" s="11">
        <f>IF(G9="","",G9*E9*86400/1000000)</f>
        <v/>
      </c>
      <c r="I9" s="12">
        <f>WEIBULL_15HARIAN!F$7</f>
        <v/>
      </c>
      <c r="J9" s="13">
        <f>WEIBULL_15HARIAN!F$6</f>
        <v/>
      </c>
      <c r="K9" s="13">
        <f>WEIBULL_15HARIAN!F$8</f>
        <v/>
      </c>
      <c r="L9" s="3">
        <f>IF(OR(G9="",I9=""),"",IF(G9&gt;=I9,"di atas Q80","di bawah Q80"))</f>
        <v/>
      </c>
      <c r="N9" s="6" t="inlineStr">
        <is>
          <t>Feb II</t>
        </is>
      </c>
    </row>
    <row r="10">
      <c r="A10" s="9" t="n">
        <v>5</v>
      </c>
      <c r="B10" s="3" t="inlineStr">
        <is>
          <t>Maret</t>
        </is>
      </c>
      <c r="C10" s="3" t="inlineStr">
        <is>
          <t>I</t>
        </is>
      </c>
      <c r="D10" s="3" t="inlineStr">
        <is>
          <t>1-15</t>
        </is>
      </c>
      <c r="E10" s="9" t="n">
        <v>15</v>
      </c>
      <c r="F10" s="9">
        <f>COUNTIFS(DEBIT_HARIAN!$B$6:$B$9136,$C$3,DEBIT_HARIAN!$C$6:$C$9136,3,DEBIT_HARIAN!$E$6:$E$9136,1)</f>
        <v/>
      </c>
      <c r="G10" s="10">
        <f>IFERROR(AVERAGEIFS(DEBIT_HARIAN!$F$6:$F$9136,DEBIT_HARIAN!$B$6:$B$9136,$C$3,DEBIT_HARIAN!$C$6:$C$9136,3,DEBIT_HARIAN!$E$6:$E$9136,1),"")</f>
        <v/>
      </c>
      <c r="H10" s="11">
        <f>IF(G10="","",G10*E10*86400/1000000)</f>
        <v/>
      </c>
      <c r="I10" s="12">
        <f>WEIBULL_15HARIAN!G$7</f>
        <v/>
      </c>
      <c r="J10" s="13">
        <f>WEIBULL_15HARIAN!G$6</f>
        <v/>
      </c>
      <c r="K10" s="13">
        <f>WEIBULL_15HARIAN!G$8</f>
        <v/>
      </c>
      <c r="L10" s="3">
        <f>IF(OR(G10="",I10=""),"",IF(G10&gt;=I10,"di atas Q80","di bawah Q80"))</f>
        <v/>
      </c>
      <c r="N10" s="6" t="inlineStr">
        <is>
          <t>Mar I</t>
        </is>
      </c>
    </row>
    <row r="11">
      <c r="A11" s="9" t="n">
        <v>6</v>
      </c>
      <c r="B11" s="3" t="inlineStr">
        <is>
          <t>Maret</t>
        </is>
      </c>
      <c r="C11" s="3" t="inlineStr">
        <is>
          <t>II</t>
        </is>
      </c>
      <c r="D11" s="3">
        <f>16&amp;"-"&amp;DAY(DATE($C$3,3+1,0))</f>
        <v/>
      </c>
      <c r="E11" s="9">
        <f>DAY(DATE($C$3,3+1,0))-15</f>
        <v/>
      </c>
      <c r="F11" s="9">
        <f>COUNTIFS(DEBIT_HARIAN!$B$6:$B$9136,$C$3,DEBIT_HARIAN!$C$6:$C$9136,3,DEBIT_HARIAN!$E$6:$E$9136,2)</f>
        <v/>
      </c>
      <c r="G11" s="10">
        <f>IFERROR(AVERAGEIFS(DEBIT_HARIAN!$F$6:$F$9136,DEBIT_HARIAN!$B$6:$B$9136,$C$3,DEBIT_HARIAN!$C$6:$C$9136,3,DEBIT_HARIAN!$E$6:$E$9136,2),"")</f>
        <v/>
      </c>
      <c r="H11" s="11">
        <f>IF(G11="","",G11*E11*86400/1000000)</f>
        <v/>
      </c>
      <c r="I11" s="12">
        <f>WEIBULL_15HARIAN!H$7</f>
        <v/>
      </c>
      <c r="J11" s="13">
        <f>WEIBULL_15HARIAN!H$6</f>
        <v/>
      </c>
      <c r="K11" s="13">
        <f>WEIBULL_15HARIAN!H$8</f>
        <v/>
      </c>
      <c r="L11" s="3">
        <f>IF(OR(G11="",I11=""),"",IF(G11&gt;=I11,"di atas Q80","di bawah Q80"))</f>
        <v/>
      </c>
      <c r="N11" s="6" t="inlineStr">
        <is>
          <t>Mar II</t>
        </is>
      </c>
    </row>
    <row r="12">
      <c r="A12" s="9" t="n">
        <v>7</v>
      </c>
      <c r="B12" s="3" t="inlineStr">
        <is>
          <t>April</t>
        </is>
      </c>
      <c r="C12" s="3" t="inlineStr">
        <is>
          <t>I</t>
        </is>
      </c>
      <c r="D12" s="3" t="inlineStr">
        <is>
          <t>1-15</t>
        </is>
      </c>
      <c r="E12" s="9" t="n">
        <v>15</v>
      </c>
      <c r="F12" s="9">
        <f>COUNTIFS(DEBIT_HARIAN!$B$6:$B$9136,$C$3,DEBIT_HARIAN!$C$6:$C$9136,4,DEBIT_HARIAN!$E$6:$E$9136,1)</f>
        <v/>
      </c>
      <c r="G12" s="10">
        <f>IFERROR(AVERAGEIFS(DEBIT_HARIAN!$F$6:$F$9136,DEBIT_HARIAN!$B$6:$B$9136,$C$3,DEBIT_HARIAN!$C$6:$C$9136,4,DEBIT_HARIAN!$E$6:$E$9136,1),"")</f>
        <v/>
      </c>
      <c r="H12" s="11">
        <f>IF(G12="","",G12*E12*86400/1000000)</f>
        <v/>
      </c>
      <c r="I12" s="12">
        <f>WEIBULL_15HARIAN!I$7</f>
        <v/>
      </c>
      <c r="J12" s="13">
        <f>WEIBULL_15HARIAN!I$6</f>
        <v/>
      </c>
      <c r="K12" s="13">
        <f>WEIBULL_15HARIAN!I$8</f>
        <v/>
      </c>
      <c r="L12" s="3">
        <f>IF(OR(G12="",I12=""),"",IF(G12&gt;=I12,"di atas Q80","di bawah Q80"))</f>
        <v/>
      </c>
      <c r="N12" s="6" t="inlineStr">
        <is>
          <t>Apr I</t>
        </is>
      </c>
    </row>
    <row r="13">
      <c r="A13" s="9" t="n">
        <v>8</v>
      </c>
      <c r="B13" s="3" t="inlineStr">
        <is>
          <t>April</t>
        </is>
      </c>
      <c r="C13" s="3" t="inlineStr">
        <is>
          <t>II</t>
        </is>
      </c>
      <c r="D13" s="3">
        <f>16&amp;"-"&amp;DAY(DATE($C$3,4+1,0))</f>
        <v/>
      </c>
      <c r="E13" s="9">
        <f>DAY(DATE($C$3,4+1,0))-15</f>
        <v/>
      </c>
      <c r="F13" s="9">
        <f>COUNTIFS(DEBIT_HARIAN!$B$6:$B$9136,$C$3,DEBIT_HARIAN!$C$6:$C$9136,4,DEBIT_HARIAN!$E$6:$E$9136,2)</f>
        <v/>
      </c>
      <c r="G13" s="10">
        <f>IFERROR(AVERAGEIFS(DEBIT_HARIAN!$F$6:$F$9136,DEBIT_HARIAN!$B$6:$B$9136,$C$3,DEBIT_HARIAN!$C$6:$C$9136,4,DEBIT_HARIAN!$E$6:$E$9136,2),"")</f>
        <v/>
      </c>
      <c r="H13" s="11">
        <f>IF(G13="","",G13*E13*86400/1000000)</f>
        <v/>
      </c>
      <c r="I13" s="12">
        <f>WEIBULL_15HARIAN!J$7</f>
        <v/>
      </c>
      <c r="J13" s="13">
        <f>WEIBULL_15HARIAN!J$6</f>
        <v/>
      </c>
      <c r="K13" s="13">
        <f>WEIBULL_15HARIAN!J$8</f>
        <v/>
      </c>
      <c r="L13" s="3">
        <f>IF(OR(G13="",I13=""),"",IF(G13&gt;=I13,"di atas Q80","di bawah Q80"))</f>
        <v/>
      </c>
      <c r="N13" s="6" t="inlineStr">
        <is>
          <t>Apr II</t>
        </is>
      </c>
    </row>
    <row r="14">
      <c r="A14" s="9" t="n">
        <v>9</v>
      </c>
      <c r="B14" s="3" t="inlineStr">
        <is>
          <t>Mei</t>
        </is>
      </c>
      <c r="C14" s="3" t="inlineStr">
        <is>
          <t>I</t>
        </is>
      </c>
      <c r="D14" s="3" t="inlineStr">
        <is>
          <t>1-15</t>
        </is>
      </c>
      <c r="E14" s="9" t="n">
        <v>15</v>
      </c>
      <c r="F14" s="9">
        <f>COUNTIFS(DEBIT_HARIAN!$B$6:$B$9136,$C$3,DEBIT_HARIAN!$C$6:$C$9136,5,DEBIT_HARIAN!$E$6:$E$9136,1)</f>
        <v/>
      </c>
      <c r="G14" s="10">
        <f>IFERROR(AVERAGEIFS(DEBIT_HARIAN!$F$6:$F$9136,DEBIT_HARIAN!$B$6:$B$9136,$C$3,DEBIT_HARIAN!$C$6:$C$9136,5,DEBIT_HARIAN!$E$6:$E$9136,1),"")</f>
        <v/>
      </c>
      <c r="H14" s="11">
        <f>IF(G14="","",G14*E14*86400/1000000)</f>
        <v/>
      </c>
      <c r="I14" s="12">
        <f>WEIBULL_15HARIAN!K$7</f>
        <v/>
      </c>
      <c r="J14" s="13">
        <f>WEIBULL_15HARIAN!K$6</f>
        <v/>
      </c>
      <c r="K14" s="13">
        <f>WEIBULL_15HARIAN!K$8</f>
        <v/>
      </c>
      <c r="L14" s="3">
        <f>IF(OR(G14="",I14=""),"",IF(G14&gt;=I14,"di atas Q80","di bawah Q80"))</f>
        <v/>
      </c>
      <c r="N14" s="6" t="inlineStr">
        <is>
          <t>Mei I</t>
        </is>
      </c>
    </row>
    <row r="15">
      <c r="A15" s="9" t="n">
        <v>10</v>
      </c>
      <c r="B15" s="3" t="inlineStr">
        <is>
          <t>Mei</t>
        </is>
      </c>
      <c r="C15" s="3" t="inlineStr">
        <is>
          <t>II</t>
        </is>
      </c>
      <c r="D15" s="3">
        <f>16&amp;"-"&amp;DAY(DATE($C$3,5+1,0))</f>
        <v/>
      </c>
      <c r="E15" s="9">
        <f>DAY(DATE($C$3,5+1,0))-15</f>
        <v/>
      </c>
      <c r="F15" s="9">
        <f>COUNTIFS(DEBIT_HARIAN!$B$6:$B$9136,$C$3,DEBIT_HARIAN!$C$6:$C$9136,5,DEBIT_HARIAN!$E$6:$E$9136,2)</f>
        <v/>
      </c>
      <c r="G15" s="10">
        <f>IFERROR(AVERAGEIFS(DEBIT_HARIAN!$F$6:$F$9136,DEBIT_HARIAN!$B$6:$B$9136,$C$3,DEBIT_HARIAN!$C$6:$C$9136,5,DEBIT_HARIAN!$E$6:$E$9136,2),"")</f>
        <v/>
      </c>
      <c r="H15" s="11">
        <f>IF(G15="","",G15*E15*86400/1000000)</f>
        <v/>
      </c>
      <c r="I15" s="12">
        <f>WEIBULL_15HARIAN!L$7</f>
        <v/>
      </c>
      <c r="J15" s="13">
        <f>WEIBULL_15HARIAN!L$6</f>
        <v/>
      </c>
      <c r="K15" s="13">
        <f>WEIBULL_15HARIAN!L$8</f>
        <v/>
      </c>
      <c r="L15" s="3">
        <f>IF(OR(G15="",I15=""),"",IF(G15&gt;=I15,"di atas Q80","di bawah Q80"))</f>
        <v/>
      </c>
      <c r="N15" s="6" t="inlineStr">
        <is>
          <t>Mei II</t>
        </is>
      </c>
    </row>
    <row r="16">
      <c r="A16" s="9" t="n">
        <v>11</v>
      </c>
      <c r="B16" s="3" t="inlineStr">
        <is>
          <t>Juni</t>
        </is>
      </c>
      <c r="C16" s="3" t="inlineStr">
        <is>
          <t>I</t>
        </is>
      </c>
      <c r="D16" s="3" t="inlineStr">
        <is>
          <t>1-15</t>
        </is>
      </c>
      <c r="E16" s="9" t="n">
        <v>15</v>
      </c>
      <c r="F16" s="9">
        <f>COUNTIFS(DEBIT_HARIAN!$B$6:$B$9136,$C$3,DEBIT_HARIAN!$C$6:$C$9136,6,DEBIT_HARIAN!$E$6:$E$9136,1)</f>
        <v/>
      </c>
      <c r="G16" s="10">
        <f>IFERROR(AVERAGEIFS(DEBIT_HARIAN!$F$6:$F$9136,DEBIT_HARIAN!$B$6:$B$9136,$C$3,DEBIT_HARIAN!$C$6:$C$9136,6,DEBIT_HARIAN!$E$6:$E$9136,1),"")</f>
        <v/>
      </c>
      <c r="H16" s="11">
        <f>IF(G16="","",G16*E16*86400/1000000)</f>
        <v/>
      </c>
      <c r="I16" s="12">
        <f>WEIBULL_15HARIAN!M$7</f>
        <v/>
      </c>
      <c r="J16" s="13">
        <f>WEIBULL_15HARIAN!M$6</f>
        <v/>
      </c>
      <c r="K16" s="13">
        <f>WEIBULL_15HARIAN!M$8</f>
        <v/>
      </c>
      <c r="L16" s="3">
        <f>IF(OR(G16="",I16=""),"",IF(G16&gt;=I16,"di atas Q80","di bawah Q80"))</f>
        <v/>
      </c>
      <c r="N16" s="6" t="inlineStr">
        <is>
          <t>Jun I</t>
        </is>
      </c>
    </row>
    <row r="17">
      <c r="A17" s="9" t="n">
        <v>12</v>
      </c>
      <c r="B17" s="3" t="inlineStr">
        <is>
          <t>Juni</t>
        </is>
      </c>
      <c r="C17" s="3" t="inlineStr">
        <is>
          <t>II</t>
        </is>
      </c>
      <c r="D17" s="3">
        <f>16&amp;"-"&amp;DAY(DATE($C$3,6+1,0))</f>
        <v/>
      </c>
      <c r="E17" s="9">
        <f>DAY(DATE($C$3,6+1,0))-15</f>
        <v/>
      </c>
      <c r="F17" s="9">
        <f>COUNTIFS(DEBIT_HARIAN!$B$6:$B$9136,$C$3,DEBIT_HARIAN!$C$6:$C$9136,6,DEBIT_HARIAN!$E$6:$E$9136,2)</f>
        <v/>
      </c>
      <c r="G17" s="10">
        <f>IFERROR(AVERAGEIFS(DEBIT_HARIAN!$F$6:$F$9136,DEBIT_HARIAN!$B$6:$B$9136,$C$3,DEBIT_HARIAN!$C$6:$C$9136,6,DEBIT_HARIAN!$E$6:$E$9136,2),"")</f>
        <v/>
      </c>
      <c r="H17" s="11">
        <f>IF(G17="","",G17*E17*86400/1000000)</f>
        <v/>
      </c>
      <c r="I17" s="12">
        <f>WEIBULL_15HARIAN!N$7</f>
        <v/>
      </c>
      <c r="J17" s="13">
        <f>WEIBULL_15HARIAN!N$6</f>
        <v/>
      </c>
      <c r="K17" s="13">
        <f>WEIBULL_15HARIAN!N$8</f>
        <v/>
      </c>
      <c r="L17" s="3">
        <f>IF(OR(G17="",I17=""),"",IF(G17&gt;=I17,"di atas Q80","di bawah Q80"))</f>
        <v/>
      </c>
      <c r="N17" s="6" t="inlineStr">
        <is>
          <t>Jun II</t>
        </is>
      </c>
    </row>
    <row r="18">
      <c r="A18" s="9" t="n">
        <v>13</v>
      </c>
      <c r="B18" s="3" t="inlineStr">
        <is>
          <t>Juli</t>
        </is>
      </c>
      <c r="C18" s="3" t="inlineStr">
        <is>
          <t>I</t>
        </is>
      </c>
      <c r="D18" s="3" t="inlineStr">
        <is>
          <t>1-15</t>
        </is>
      </c>
      <c r="E18" s="9" t="n">
        <v>15</v>
      </c>
      <c r="F18" s="9">
        <f>COUNTIFS(DEBIT_HARIAN!$B$6:$B$9136,$C$3,DEBIT_HARIAN!$C$6:$C$9136,7,DEBIT_HARIAN!$E$6:$E$9136,1)</f>
        <v/>
      </c>
      <c r="G18" s="10">
        <f>IFERROR(AVERAGEIFS(DEBIT_HARIAN!$F$6:$F$9136,DEBIT_HARIAN!$B$6:$B$9136,$C$3,DEBIT_HARIAN!$C$6:$C$9136,7,DEBIT_HARIAN!$E$6:$E$9136,1),"")</f>
        <v/>
      </c>
      <c r="H18" s="11">
        <f>IF(G18="","",G18*E18*86400/1000000)</f>
        <v/>
      </c>
      <c r="I18" s="12">
        <f>WEIBULL_15HARIAN!O$7</f>
        <v/>
      </c>
      <c r="J18" s="13">
        <f>WEIBULL_15HARIAN!O$6</f>
        <v/>
      </c>
      <c r="K18" s="13">
        <f>WEIBULL_15HARIAN!O$8</f>
        <v/>
      </c>
      <c r="L18" s="3">
        <f>IF(OR(G18="",I18=""),"",IF(G18&gt;=I18,"di atas Q80","di bawah Q80"))</f>
        <v/>
      </c>
      <c r="N18" s="6" t="inlineStr">
        <is>
          <t>Jul I</t>
        </is>
      </c>
    </row>
    <row r="19">
      <c r="A19" s="9" t="n">
        <v>14</v>
      </c>
      <c r="B19" s="3" t="inlineStr">
        <is>
          <t>Juli</t>
        </is>
      </c>
      <c r="C19" s="3" t="inlineStr">
        <is>
          <t>II</t>
        </is>
      </c>
      <c r="D19" s="3">
        <f>16&amp;"-"&amp;DAY(DATE($C$3,7+1,0))</f>
        <v/>
      </c>
      <c r="E19" s="9">
        <f>DAY(DATE($C$3,7+1,0))-15</f>
        <v/>
      </c>
      <c r="F19" s="9">
        <f>COUNTIFS(DEBIT_HARIAN!$B$6:$B$9136,$C$3,DEBIT_HARIAN!$C$6:$C$9136,7,DEBIT_HARIAN!$E$6:$E$9136,2)</f>
        <v/>
      </c>
      <c r="G19" s="10">
        <f>IFERROR(AVERAGEIFS(DEBIT_HARIAN!$F$6:$F$9136,DEBIT_HARIAN!$B$6:$B$9136,$C$3,DEBIT_HARIAN!$C$6:$C$9136,7,DEBIT_HARIAN!$E$6:$E$9136,2),"")</f>
        <v/>
      </c>
      <c r="H19" s="11">
        <f>IF(G19="","",G19*E19*86400/1000000)</f>
        <v/>
      </c>
      <c r="I19" s="12">
        <f>WEIBULL_15HARIAN!P$7</f>
        <v/>
      </c>
      <c r="J19" s="13">
        <f>WEIBULL_15HARIAN!P$6</f>
        <v/>
      </c>
      <c r="K19" s="13">
        <f>WEIBULL_15HARIAN!P$8</f>
        <v/>
      </c>
      <c r="L19" s="3">
        <f>IF(OR(G19="",I19=""),"",IF(G19&gt;=I19,"di atas Q80","di bawah Q80"))</f>
        <v/>
      </c>
      <c r="N19" s="6" t="inlineStr">
        <is>
          <t>Jul II</t>
        </is>
      </c>
    </row>
    <row r="20">
      <c r="A20" s="9" t="n">
        <v>15</v>
      </c>
      <c r="B20" s="3" t="inlineStr">
        <is>
          <t>Agustus</t>
        </is>
      </c>
      <c r="C20" s="3" t="inlineStr">
        <is>
          <t>I</t>
        </is>
      </c>
      <c r="D20" s="3" t="inlineStr">
        <is>
          <t>1-15</t>
        </is>
      </c>
      <c r="E20" s="9" t="n">
        <v>15</v>
      </c>
      <c r="F20" s="9">
        <f>COUNTIFS(DEBIT_HARIAN!$B$6:$B$9136,$C$3,DEBIT_HARIAN!$C$6:$C$9136,8,DEBIT_HARIAN!$E$6:$E$9136,1)</f>
        <v/>
      </c>
      <c r="G20" s="10">
        <f>IFERROR(AVERAGEIFS(DEBIT_HARIAN!$F$6:$F$9136,DEBIT_HARIAN!$B$6:$B$9136,$C$3,DEBIT_HARIAN!$C$6:$C$9136,8,DEBIT_HARIAN!$E$6:$E$9136,1),"")</f>
        <v/>
      </c>
      <c r="H20" s="11">
        <f>IF(G20="","",G20*E20*86400/1000000)</f>
        <v/>
      </c>
      <c r="I20" s="12">
        <f>WEIBULL_15HARIAN!Q$7</f>
        <v/>
      </c>
      <c r="J20" s="13">
        <f>WEIBULL_15HARIAN!Q$6</f>
        <v/>
      </c>
      <c r="K20" s="13">
        <f>WEIBULL_15HARIAN!Q$8</f>
        <v/>
      </c>
      <c r="L20" s="3">
        <f>IF(OR(G20="",I20=""),"",IF(G20&gt;=I20,"di atas Q80","di bawah Q80"))</f>
        <v/>
      </c>
      <c r="N20" s="6" t="inlineStr">
        <is>
          <t>Agu I</t>
        </is>
      </c>
    </row>
    <row r="21">
      <c r="A21" s="9" t="n">
        <v>16</v>
      </c>
      <c r="B21" s="3" t="inlineStr">
        <is>
          <t>Agustus</t>
        </is>
      </c>
      <c r="C21" s="3" t="inlineStr">
        <is>
          <t>II</t>
        </is>
      </c>
      <c r="D21" s="3">
        <f>16&amp;"-"&amp;DAY(DATE($C$3,8+1,0))</f>
        <v/>
      </c>
      <c r="E21" s="9">
        <f>DAY(DATE($C$3,8+1,0))-15</f>
        <v/>
      </c>
      <c r="F21" s="9">
        <f>COUNTIFS(DEBIT_HARIAN!$B$6:$B$9136,$C$3,DEBIT_HARIAN!$C$6:$C$9136,8,DEBIT_HARIAN!$E$6:$E$9136,2)</f>
        <v/>
      </c>
      <c r="G21" s="10">
        <f>IFERROR(AVERAGEIFS(DEBIT_HARIAN!$F$6:$F$9136,DEBIT_HARIAN!$B$6:$B$9136,$C$3,DEBIT_HARIAN!$C$6:$C$9136,8,DEBIT_HARIAN!$E$6:$E$9136,2),"")</f>
        <v/>
      </c>
      <c r="H21" s="11">
        <f>IF(G21="","",G21*E21*86400/1000000)</f>
        <v/>
      </c>
      <c r="I21" s="12">
        <f>WEIBULL_15HARIAN!R$7</f>
        <v/>
      </c>
      <c r="J21" s="13">
        <f>WEIBULL_15HARIAN!R$6</f>
        <v/>
      </c>
      <c r="K21" s="13">
        <f>WEIBULL_15HARIAN!R$8</f>
        <v/>
      </c>
      <c r="L21" s="3">
        <f>IF(OR(G21="",I21=""),"",IF(G21&gt;=I21,"di atas Q80","di bawah Q80"))</f>
        <v/>
      </c>
      <c r="N21" s="6" t="inlineStr">
        <is>
          <t>Agu II</t>
        </is>
      </c>
    </row>
    <row r="22">
      <c r="A22" s="9" t="n">
        <v>17</v>
      </c>
      <c r="B22" s="3" t="inlineStr">
        <is>
          <t>September</t>
        </is>
      </c>
      <c r="C22" s="3" t="inlineStr">
        <is>
          <t>I</t>
        </is>
      </c>
      <c r="D22" s="3" t="inlineStr">
        <is>
          <t>1-15</t>
        </is>
      </c>
      <c r="E22" s="9" t="n">
        <v>15</v>
      </c>
      <c r="F22" s="9">
        <f>COUNTIFS(DEBIT_HARIAN!$B$6:$B$9136,$C$3,DEBIT_HARIAN!$C$6:$C$9136,9,DEBIT_HARIAN!$E$6:$E$9136,1)</f>
        <v/>
      </c>
      <c r="G22" s="10">
        <f>IFERROR(AVERAGEIFS(DEBIT_HARIAN!$F$6:$F$9136,DEBIT_HARIAN!$B$6:$B$9136,$C$3,DEBIT_HARIAN!$C$6:$C$9136,9,DEBIT_HARIAN!$E$6:$E$9136,1),"")</f>
        <v/>
      </c>
      <c r="H22" s="11">
        <f>IF(G22="","",G22*E22*86400/1000000)</f>
        <v/>
      </c>
      <c r="I22" s="12">
        <f>WEIBULL_15HARIAN!S$7</f>
        <v/>
      </c>
      <c r="J22" s="13">
        <f>WEIBULL_15HARIAN!S$6</f>
        <v/>
      </c>
      <c r="K22" s="13">
        <f>WEIBULL_15HARIAN!S$8</f>
        <v/>
      </c>
      <c r="L22" s="3">
        <f>IF(OR(G22="",I22=""),"",IF(G22&gt;=I22,"di atas Q80","di bawah Q80"))</f>
        <v/>
      </c>
      <c r="N22" s="6" t="inlineStr">
        <is>
          <t>Sep I</t>
        </is>
      </c>
    </row>
    <row r="23">
      <c r="A23" s="9" t="n">
        <v>18</v>
      </c>
      <c r="B23" s="3" t="inlineStr">
        <is>
          <t>September</t>
        </is>
      </c>
      <c r="C23" s="3" t="inlineStr">
        <is>
          <t>II</t>
        </is>
      </c>
      <c r="D23" s="3">
        <f>16&amp;"-"&amp;DAY(DATE($C$3,9+1,0))</f>
        <v/>
      </c>
      <c r="E23" s="9">
        <f>DAY(DATE($C$3,9+1,0))-15</f>
        <v/>
      </c>
      <c r="F23" s="9">
        <f>COUNTIFS(DEBIT_HARIAN!$B$6:$B$9136,$C$3,DEBIT_HARIAN!$C$6:$C$9136,9,DEBIT_HARIAN!$E$6:$E$9136,2)</f>
        <v/>
      </c>
      <c r="G23" s="10">
        <f>IFERROR(AVERAGEIFS(DEBIT_HARIAN!$F$6:$F$9136,DEBIT_HARIAN!$B$6:$B$9136,$C$3,DEBIT_HARIAN!$C$6:$C$9136,9,DEBIT_HARIAN!$E$6:$E$9136,2),"")</f>
        <v/>
      </c>
      <c r="H23" s="11">
        <f>IF(G23="","",G23*E23*86400/1000000)</f>
        <v/>
      </c>
      <c r="I23" s="12">
        <f>WEIBULL_15HARIAN!T$7</f>
        <v/>
      </c>
      <c r="J23" s="13">
        <f>WEIBULL_15HARIAN!T$6</f>
        <v/>
      </c>
      <c r="K23" s="13">
        <f>WEIBULL_15HARIAN!T$8</f>
        <v/>
      </c>
      <c r="L23" s="3">
        <f>IF(OR(G23="",I23=""),"",IF(G23&gt;=I23,"di atas Q80","di bawah Q80"))</f>
        <v/>
      </c>
      <c r="N23" s="6" t="inlineStr">
        <is>
          <t>Sep II</t>
        </is>
      </c>
    </row>
    <row r="24">
      <c r="A24" s="9" t="n">
        <v>19</v>
      </c>
      <c r="B24" s="3" t="inlineStr">
        <is>
          <t>Oktober</t>
        </is>
      </c>
      <c r="C24" s="3" t="inlineStr">
        <is>
          <t>I</t>
        </is>
      </c>
      <c r="D24" s="3" t="inlineStr">
        <is>
          <t>1-15</t>
        </is>
      </c>
      <c r="E24" s="9" t="n">
        <v>15</v>
      </c>
      <c r="F24" s="9">
        <f>COUNTIFS(DEBIT_HARIAN!$B$6:$B$9136,$C$3,DEBIT_HARIAN!$C$6:$C$9136,10,DEBIT_HARIAN!$E$6:$E$9136,1)</f>
        <v/>
      </c>
      <c r="G24" s="10">
        <f>IFERROR(AVERAGEIFS(DEBIT_HARIAN!$F$6:$F$9136,DEBIT_HARIAN!$B$6:$B$9136,$C$3,DEBIT_HARIAN!$C$6:$C$9136,10,DEBIT_HARIAN!$E$6:$E$9136,1),"")</f>
        <v/>
      </c>
      <c r="H24" s="11">
        <f>IF(G24="","",G24*E24*86400/1000000)</f>
        <v/>
      </c>
      <c r="I24" s="12">
        <f>WEIBULL_15HARIAN!U$7</f>
        <v/>
      </c>
      <c r="J24" s="13">
        <f>WEIBULL_15HARIAN!U$6</f>
        <v/>
      </c>
      <c r="K24" s="13">
        <f>WEIBULL_15HARIAN!U$8</f>
        <v/>
      </c>
      <c r="L24" s="3">
        <f>IF(OR(G24="",I24=""),"",IF(G24&gt;=I24,"di atas Q80","di bawah Q80"))</f>
        <v/>
      </c>
      <c r="N24" s="6" t="inlineStr">
        <is>
          <t>Okt I</t>
        </is>
      </c>
    </row>
    <row r="25">
      <c r="A25" s="9" t="n">
        <v>20</v>
      </c>
      <c r="B25" s="3" t="inlineStr">
        <is>
          <t>Oktober</t>
        </is>
      </c>
      <c r="C25" s="3" t="inlineStr">
        <is>
          <t>II</t>
        </is>
      </c>
      <c r="D25" s="3">
        <f>16&amp;"-"&amp;DAY(DATE($C$3,10+1,0))</f>
        <v/>
      </c>
      <c r="E25" s="9">
        <f>DAY(DATE($C$3,10+1,0))-15</f>
        <v/>
      </c>
      <c r="F25" s="9">
        <f>COUNTIFS(DEBIT_HARIAN!$B$6:$B$9136,$C$3,DEBIT_HARIAN!$C$6:$C$9136,10,DEBIT_HARIAN!$E$6:$E$9136,2)</f>
        <v/>
      </c>
      <c r="G25" s="10">
        <f>IFERROR(AVERAGEIFS(DEBIT_HARIAN!$F$6:$F$9136,DEBIT_HARIAN!$B$6:$B$9136,$C$3,DEBIT_HARIAN!$C$6:$C$9136,10,DEBIT_HARIAN!$E$6:$E$9136,2),"")</f>
        <v/>
      </c>
      <c r="H25" s="11">
        <f>IF(G25="","",G25*E25*86400/1000000)</f>
        <v/>
      </c>
      <c r="I25" s="12">
        <f>WEIBULL_15HARIAN!V$7</f>
        <v/>
      </c>
      <c r="J25" s="13">
        <f>WEIBULL_15HARIAN!V$6</f>
        <v/>
      </c>
      <c r="K25" s="13">
        <f>WEIBULL_15HARIAN!V$8</f>
        <v/>
      </c>
      <c r="L25" s="3">
        <f>IF(OR(G25="",I25=""),"",IF(G25&gt;=I25,"di atas Q80","di bawah Q80"))</f>
        <v/>
      </c>
      <c r="N25" s="6" t="inlineStr">
        <is>
          <t>Okt II</t>
        </is>
      </c>
    </row>
    <row r="26">
      <c r="A26" s="9" t="n">
        <v>21</v>
      </c>
      <c r="B26" s="3" t="inlineStr">
        <is>
          <t>November</t>
        </is>
      </c>
      <c r="C26" s="3" t="inlineStr">
        <is>
          <t>I</t>
        </is>
      </c>
      <c r="D26" s="3" t="inlineStr">
        <is>
          <t>1-15</t>
        </is>
      </c>
      <c r="E26" s="9" t="n">
        <v>15</v>
      </c>
      <c r="F26" s="9">
        <f>COUNTIFS(DEBIT_HARIAN!$B$6:$B$9136,$C$3,DEBIT_HARIAN!$C$6:$C$9136,11,DEBIT_HARIAN!$E$6:$E$9136,1)</f>
        <v/>
      </c>
      <c r="G26" s="10">
        <f>IFERROR(AVERAGEIFS(DEBIT_HARIAN!$F$6:$F$9136,DEBIT_HARIAN!$B$6:$B$9136,$C$3,DEBIT_HARIAN!$C$6:$C$9136,11,DEBIT_HARIAN!$E$6:$E$9136,1),"")</f>
        <v/>
      </c>
      <c r="H26" s="11">
        <f>IF(G26="","",G26*E26*86400/1000000)</f>
        <v/>
      </c>
      <c r="I26" s="12">
        <f>WEIBULL_15HARIAN!W$7</f>
        <v/>
      </c>
      <c r="J26" s="13">
        <f>WEIBULL_15HARIAN!W$6</f>
        <v/>
      </c>
      <c r="K26" s="13">
        <f>WEIBULL_15HARIAN!W$8</f>
        <v/>
      </c>
      <c r="L26" s="3">
        <f>IF(OR(G26="",I26=""),"",IF(G26&gt;=I26,"di atas Q80","di bawah Q80"))</f>
        <v/>
      </c>
      <c r="N26" s="6" t="inlineStr">
        <is>
          <t>Nov I</t>
        </is>
      </c>
    </row>
    <row r="27">
      <c r="A27" s="9" t="n">
        <v>22</v>
      </c>
      <c r="B27" s="3" t="inlineStr">
        <is>
          <t>November</t>
        </is>
      </c>
      <c r="C27" s="3" t="inlineStr">
        <is>
          <t>II</t>
        </is>
      </c>
      <c r="D27" s="3">
        <f>16&amp;"-"&amp;DAY(DATE($C$3,11+1,0))</f>
        <v/>
      </c>
      <c r="E27" s="9">
        <f>DAY(DATE($C$3,11+1,0))-15</f>
        <v/>
      </c>
      <c r="F27" s="9">
        <f>COUNTIFS(DEBIT_HARIAN!$B$6:$B$9136,$C$3,DEBIT_HARIAN!$C$6:$C$9136,11,DEBIT_HARIAN!$E$6:$E$9136,2)</f>
        <v/>
      </c>
      <c r="G27" s="10">
        <f>IFERROR(AVERAGEIFS(DEBIT_HARIAN!$F$6:$F$9136,DEBIT_HARIAN!$B$6:$B$9136,$C$3,DEBIT_HARIAN!$C$6:$C$9136,11,DEBIT_HARIAN!$E$6:$E$9136,2),"")</f>
        <v/>
      </c>
      <c r="H27" s="11">
        <f>IF(G27="","",G27*E27*86400/1000000)</f>
        <v/>
      </c>
      <c r="I27" s="12">
        <f>WEIBULL_15HARIAN!X$7</f>
        <v/>
      </c>
      <c r="J27" s="13">
        <f>WEIBULL_15HARIAN!X$6</f>
        <v/>
      </c>
      <c r="K27" s="13">
        <f>WEIBULL_15HARIAN!X$8</f>
        <v/>
      </c>
      <c r="L27" s="3">
        <f>IF(OR(G27="",I27=""),"",IF(G27&gt;=I27,"di atas Q80","di bawah Q80"))</f>
        <v/>
      </c>
      <c r="N27" s="6" t="inlineStr">
        <is>
          <t>Nov II</t>
        </is>
      </c>
    </row>
    <row r="28">
      <c r="A28" s="9" t="n">
        <v>23</v>
      </c>
      <c r="B28" s="3" t="inlineStr">
        <is>
          <t>Desember</t>
        </is>
      </c>
      <c r="C28" s="3" t="inlineStr">
        <is>
          <t>I</t>
        </is>
      </c>
      <c r="D28" s="3" t="inlineStr">
        <is>
          <t>1-15</t>
        </is>
      </c>
      <c r="E28" s="9" t="n">
        <v>15</v>
      </c>
      <c r="F28" s="9">
        <f>COUNTIFS(DEBIT_HARIAN!$B$6:$B$9136,$C$3,DEBIT_HARIAN!$C$6:$C$9136,12,DEBIT_HARIAN!$E$6:$E$9136,1)</f>
        <v/>
      </c>
      <c r="G28" s="10">
        <f>IFERROR(AVERAGEIFS(DEBIT_HARIAN!$F$6:$F$9136,DEBIT_HARIAN!$B$6:$B$9136,$C$3,DEBIT_HARIAN!$C$6:$C$9136,12,DEBIT_HARIAN!$E$6:$E$9136,1),"")</f>
        <v/>
      </c>
      <c r="H28" s="11">
        <f>IF(G28="","",G28*E28*86400/1000000)</f>
        <v/>
      </c>
      <c r="I28" s="12">
        <f>WEIBULL_15HARIAN!Y$7</f>
        <v/>
      </c>
      <c r="J28" s="13">
        <f>WEIBULL_15HARIAN!Y$6</f>
        <v/>
      </c>
      <c r="K28" s="13">
        <f>WEIBULL_15HARIAN!Y$8</f>
        <v/>
      </c>
      <c r="L28" s="3">
        <f>IF(OR(G28="",I28=""),"",IF(G28&gt;=I28,"di atas Q80","di bawah Q80"))</f>
        <v/>
      </c>
      <c r="N28" s="6" t="inlineStr">
        <is>
          <t>Des I</t>
        </is>
      </c>
    </row>
    <row r="29">
      <c r="A29" s="9" t="n">
        <v>24</v>
      </c>
      <c r="B29" s="3" t="inlineStr">
        <is>
          <t>Desember</t>
        </is>
      </c>
      <c r="C29" s="3" t="inlineStr">
        <is>
          <t>II</t>
        </is>
      </c>
      <c r="D29" s="3">
        <f>16&amp;"-"&amp;DAY(DATE($C$3,12+1,0))</f>
        <v/>
      </c>
      <c r="E29" s="9">
        <f>DAY(DATE($C$3,12+1,0))-15</f>
        <v/>
      </c>
      <c r="F29" s="9">
        <f>COUNTIFS(DEBIT_HARIAN!$B$6:$B$9136,$C$3,DEBIT_HARIAN!$C$6:$C$9136,12,DEBIT_HARIAN!$E$6:$E$9136,2)</f>
        <v/>
      </c>
      <c r="G29" s="10">
        <f>IFERROR(AVERAGEIFS(DEBIT_HARIAN!$F$6:$F$9136,DEBIT_HARIAN!$B$6:$B$9136,$C$3,DEBIT_HARIAN!$C$6:$C$9136,12,DEBIT_HARIAN!$E$6:$E$9136,2),"")</f>
        <v/>
      </c>
      <c r="H29" s="11">
        <f>IF(G29="","",G29*E29*86400/1000000)</f>
        <v/>
      </c>
      <c r="I29" s="12">
        <f>WEIBULL_15HARIAN!Z$7</f>
        <v/>
      </c>
      <c r="J29" s="13">
        <f>WEIBULL_15HARIAN!Z$6</f>
        <v/>
      </c>
      <c r="K29" s="13">
        <f>WEIBULL_15HARIAN!Z$8</f>
        <v/>
      </c>
      <c r="L29" s="3">
        <f>IF(OR(G29="",I29=""),"",IF(G29&gt;=I29,"di atas Q80","di bawah Q80"))</f>
        <v/>
      </c>
      <c r="N29" s="6" t="inlineStr">
        <is>
          <t>Des II</t>
        </is>
      </c>
    </row>
    <row r="30">
      <c r="A30" s="14" t="inlineStr"/>
      <c r="B30" s="2" t="inlineStr">
        <is>
          <t>Tahun 2025</t>
        </is>
      </c>
      <c r="C30" s="14" t="inlineStr"/>
      <c r="D30" s="14" t="inlineStr"/>
      <c r="E30" s="15">
        <f>SUM(E6:E29)</f>
        <v/>
      </c>
      <c r="F30" s="15">
        <f>SUM(F6:F29)</f>
        <v/>
      </c>
      <c r="G30" s="16">
        <f>IFERROR(AVERAGEIFS(DEBIT_HARIAN!$F$6:$F$9136,DEBIT_HARIAN!$B$6:$B$9136,$C$3),"")</f>
        <v/>
      </c>
      <c r="H30" s="17">
        <f>SUM(H6:H29)</f>
        <v/>
      </c>
      <c r="I30" s="14" t="inlineStr"/>
      <c r="J30" s="14" t="inlineStr"/>
      <c r="K30" s="14" t="inlineStr"/>
      <c r="L30" s="2">
        <f>IF(COUNT(G6:G29)=0,"",COUNTIF(L6:L29,"di atas Q80")&amp;" dari "&amp;COUNT(G6:G29)&amp;" periode di atas Q80")</f>
        <v/>
      </c>
    </row>
    <row r="31">
      <c r="A31" s="6" t="inlineStr">
        <is>
          <t>Baris jumlah: debit = rata-rata debit harian setahun; volume = jumlah volume 24 periode. Ubah sel C3 untuk menampilkan tahun lain yang ada di DEBIT_HARIAN.</t>
        </is>
      </c>
    </row>
  </sheetData>
  <mergeCells count="1">
    <mergeCell ref="A3:B3"/>
  </mergeCell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18" t="inlineStr">
        <is>
          <t>Q50 (m³/s)</t>
        </is>
      </c>
      <c r="B6" s="19" t="n">
        <v>0.5</v>
      </c>
      <c r="C6" s="13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3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3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3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3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3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3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3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3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3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3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3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3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3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3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3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3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3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3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3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3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3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3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3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20" t="inlineStr">
        <is>
          <t>Q80 (m³/s)</t>
        </is>
      </c>
      <c r="B7" s="19" t="n">
        <v>0.8</v>
      </c>
      <c r="C7" s="21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21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21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21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21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21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21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21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21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21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21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21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21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21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21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21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21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21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21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21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21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21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21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21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18" t="inlineStr">
        <is>
          <t>Q90 (m³/s)</t>
        </is>
      </c>
      <c r="B8" s="19" t="n">
        <v>0.9</v>
      </c>
      <c r="C8" s="13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3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3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3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3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3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3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3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3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3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3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3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3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3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3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3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3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3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3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3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3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3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3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3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18" t="inlineStr">
        <is>
          <t>Q95 (m³/s)</t>
        </is>
      </c>
      <c r="B9" s="19" t="n">
        <v>0.95</v>
      </c>
      <c r="C9" s="13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3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3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3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3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3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3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3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3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3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3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3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3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3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3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3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3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3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3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3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3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3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3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3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22">
        <f>IFERROR(AVERAGE(DEBIT_15HARIAN!$B$7:$B$31),"")</f>
        <v/>
      </c>
      <c r="D10" s="22">
        <f>IFERROR(AVERAGE(DEBIT_15HARIAN!$C$7:$C$31),"")</f>
        <v/>
      </c>
      <c r="E10" s="22">
        <f>IFERROR(AVERAGE(DEBIT_15HARIAN!$D$7:$D$31),"")</f>
        <v/>
      </c>
      <c r="F10" s="22">
        <f>IFERROR(AVERAGE(DEBIT_15HARIAN!$E$7:$E$31),"")</f>
        <v/>
      </c>
      <c r="G10" s="22">
        <f>IFERROR(AVERAGE(DEBIT_15HARIAN!$F$7:$F$31),"")</f>
        <v/>
      </c>
      <c r="H10" s="22">
        <f>IFERROR(AVERAGE(DEBIT_15HARIAN!$G$7:$G$31),"")</f>
        <v/>
      </c>
      <c r="I10" s="22">
        <f>IFERROR(AVERAGE(DEBIT_15HARIAN!$H$7:$H$31),"")</f>
        <v/>
      </c>
      <c r="J10" s="22">
        <f>IFERROR(AVERAGE(DEBIT_15HARIAN!$I$7:$I$31),"")</f>
        <v/>
      </c>
      <c r="K10" s="22">
        <f>IFERROR(AVERAGE(DEBIT_15HARIAN!$J$7:$J$31),"")</f>
        <v/>
      </c>
      <c r="L10" s="22">
        <f>IFERROR(AVERAGE(DEBIT_15HARIAN!$K$7:$K$31),"")</f>
        <v/>
      </c>
      <c r="M10" s="22">
        <f>IFERROR(AVERAGE(DEBIT_15HARIAN!$L$7:$L$31),"")</f>
        <v/>
      </c>
      <c r="N10" s="22">
        <f>IFERROR(AVERAGE(DEBIT_15HARIAN!$M$7:$M$31),"")</f>
        <v/>
      </c>
      <c r="O10" s="22">
        <f>IFERROR(AVERAGE(DEBIT_15HARIAN!$N$7:$N$31),"")</f>
        <v/>
      </c>
      <c r="P10" s="22">
        <f>IFERROR(AVERAGE(DEBIT_15HARIAN!$O$7:$O$31),"")</f>
        <v/>
      </c>
      <c r="Q10" s="22">
        <f>IFERROR(AVERAGE(DEBIT_15HARIAN!$P$7:$P$31),"")</f>
        <v/>
      </c>
      <c r="R10" s="22">
        <f>IFERROR(AVERAGE(DEBIT_15HARIAN!$Q$7:$Q$31),"")</f>
        <v/>
      </c>
      <c r="S10" s="22">
        <f>IFERROR(AVERAGE(DEBIT_15HARIAN!$R$7:$R$31),"")</f>
        <v/>
      </c>
      <c r="T10" s="22">
        <f>IFERROR(AVERAGE(DEBIT_15HARIAN!$S$7:$S$31),"")</f>
        <v/>
      </c>
      <c r="U10" s="22">
        <f>IFERROR(AVERAGE(DEBIT_15HARIAN!$T$7:$T$31),"")</f>
        <v/>
      </c>
      <c r="V10" s="22">
        <f>IFERROR(AVERAGE(DEBIT_15HARIAN!$U$7:$U$31),"")</f>
        <v/>
      </c>
      <c r="W10" s="22">
        <f>IFERROR(AVERAGE(DEBIT_15HARIAN!$V$7:$V$31),"")</f>
        <v/>
      </c>
      <c r="X10" s="22">
        <f>IFERROR(AVERAGE(DEBIT_15HARIAN!$W$7:$W$31),"")</f>
        <v/>
      </c>
      <c r="Y10" s="22">
        <f>IFERROR(AVERAGE(DEBIT_15HARIAN!$X$7:$X$31),"")</f>
        <v/>
      </c>
      <c r="Z10" s="22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9" t="n">
        <v>1</v>
      </c>
      <c r="B35" s="23">
        <f>IF(A35&gt;$C$3,"",A35/($C$3+1))</f>
        <v/>
      </c>
      <c r="C35" s="13">
        <f>IF($A35&gt;$C$3,"",LARGE(DEBIT_15HARIAN!$B$7:$B$31,$A35))</f>
        <v/>
      </c>
      <c r="D35" s="13">
        <f>IF($A35&gt;$C$3,"",LARGE(DEBIT_15HARIAN!$C$7:$C$31,$A35))</f>
        <v/>
      </c>
      <c r="E35" s="13">
        <f>IF($A35&gt;$C$3,"",LARGE(DEBIT_15HARIAN!$D$7:$D$31,$A35))</f>
        <v/>
      </c>
      <c r="F35" s="13">
        <f>IF($A35&gt;$C$3,"",LARGE(DEBIT_15HARIAN!$E$7:$E$31,$A35))</f>
        <v/>
      </c>
      <c r="G35" s="13">
        <f>IF($A35&gt;$C$3,"",LARGE(DEBIT_15HARIAN!$F$7:$F$31,$A35))</f>
        <v/>
      </c>
      <c r="H35" s="13">
        <f>IF($A35&gt;$C$3,"",LARGE(DEBIT_15HARIAN!$G$7:$G$31,$A35))</f>
        <v/>
      </c>
      <c r="I35" s="13">
        <f>IF($A35&gt;$C$3,"",LARGE(DEBIT_15HARIAN!$H$7:$H$31,$A35))</f>
        <v/>
      </c>
      <c r="J35" s="13">
        <f>IF($A35&gt;$C$3,"",LARGE(DEBIT_15HARIAN!$I$7:$I$31,$A35))</f>
        <v/>
      </c>
      <c r="K35" s="13">
        <f>IF($A35&gt;$C$3,"",LARGE(DEBIT_15HARIAN!$J$7:$J$31,$A35))</f>
        <v/>
      </c>
      <c r="L35" s="13">
        <f>IF($A35&gt;$C$3,"",LARGE(DEBIT_15HARIAN!$K$7:$K$31,$A35))</f>
        <v/>
      </c>
      <c r="M35" s="13">
        <f>IF($A35&gt;$C$3,"",LARGE(DEBIT_15HARIAN!$L$7:$L$31,$A35))</f>
        <v/>
      </c>
      <c r="N35" s="13">
        <f>IF($A35&gt;$C$3,"",LARGE(DEBIT_15HARIAN!$M$7:$M$31,$A35))</f>
        <v/>
      </c>
      <c r="O35" s="13">
        <f>IF($A35&gt;$C$3,"",LARGE(DEBIT_15HARIAN!$N$7:$N$31,$A35))</f>
        <v/>
      </c>
      <c r="P35" s="13">
        <f>IF($A35&gt;$C$3,"",LARGE(DEBIT_15HARIAN!$O$7:$O$31,$A35))</f>
        <v/>
      </c>
      <c r="Q35" s="13">
        <f>IF($A35&gt;$C$3,"",LARGE(DEBIT_15HARIAN!$P$7:$P$31,$A35))</f>
        <v/>
      </c>
      <c r="R35" s="13">
        <f>IF($A35&gt;$C$3,"",LARGE(DEBIT_15HARIAN!$Q$7:$Q$31,$A35))</f>
        <v/>
      </c>
      <c r="S35" s="13">
        <f>IF($A35&gt;$C$3,"",LARGE(DEBIT_15HARIAN!$R$7:$R$31,$A35))</f>
        <v/>
      </c>
      <c r="T35" s="13">
        <f>IF($A35&gt;$C$3,"",LARGE(DEBIT_15HARIAN!$S$7:$S$31,$A35))</f>
        <v/>
      </c>
      <c r="U35" s="13">
        <f>IF($A35&gt;$C$3,"",LARGE(DEBIT_15HARIAN!$T$7:$T$31,$A35))</f>
        <v/>
      </c>
      <c r="V35" s="13">
        <f>IF($A35&gt;$C$3,"",LARGE(DEBIT_15HARIAN!$U$7:$U$31,$A35))</f>
        <v/>
      </c>
      <c r="W35" s="13">
        <f>IF($A35&gt;$C$3,"",LARGE(DEBIT_15HARIAN!$V$7:$V$31,$A35))</f>
        <v/>
      </c>
      <c r="X35" s="13">
        <f>IF($A35&gt;$C$3,"",LARGE(DEBIT_15HARIAN!$W$7:$W$31,$A35))</f>
        <v/>
      </c>
      <c r="Y35" s="13">
        <f>IF($A35&gt;$C$3,"",LARGE(DEBIT_15HARIAN!$X$7:$X$31,$A35))</f>
        <v/>
      </c>
      <c r="Z35" s="13">
        <f>IF($A35&gt;$C$3,"",LARGE(DEBIT_15HARIAN!$Y$7:$Y$31,$A35))</f>
        <v/>
      </c>
    </row>
    <row r="36">
      <c r="A36" s="9" t="n">
        <v>2</v>
      </c>
      <c r="B36" s="23">
        <f>IF(A36&gt;$C$3,"",A36/($C$3+1))</f>
        <v/>
      </c>
      <c r="C36" s="13">
        <f>IF($A36&gt;$C$3,"",LARGE(DEBIT_15HARIAN!$B$7:$B$31,$A36))</f>
        <v/>
      </c>
      <c r="D36" s="13">
        <f>IF($A36&gt;$C$3,"",LARGE(DEBIT_15HARIAN!$C$7:$C$31,$A36))</f>
        <v/>
      </c>
      <c r="E36" s="13">
        <f>IF($A36&gt;$C$3,"",LARGE(DEBIT_15HARIAN!$D$7:$D$31,$A36))</f>
        <v/>
      </c>
      <c r="F36" s="13">
        <f>IF($A36&gt;$C$3,"",LARGE(DEBIT_15HARIAN!$E$7:$E$31,$A36))</f>
        <v/>
      </c>
      <c r="G36" s="13">
        <f>IF($A36&gt;$C$3,"",LARGE(DEBIT_15HARIAN!$F$7:$F$31,$A36))</f>
        <v/>
      </c>
      <c r="H36" s="13">
        <f>IF($A36&gt;$C$3,"",LARGE(DEBIT_15HARIAN!$G$7:$G$31,$A36))</f>
        <v/>
      </c>
      <c r="I36" s="13">
        <f>IF($A36&gt;$C$3,"",LARGE(DEBIT_15HARIAN!$H$7:$H$31,$A36))</f>
        <v/>
      </c>
      <c r="J36" s="13">
        <f>IF($A36&gt;$C$3,"",LARGE(DEBIT_15HARIAN!$I$7:$I$31,$A36))</f>
        <v/>
      </c>
      <c r="K36" s="13">
        <f>IF($A36&gt;$C$3,"",LARGE(DEBIT_15HARIAN!$J$7:$J$31,$A36))</f>
        <v/>
      </c>
      <c r="L36" s="13">
        <f>IF($A36&gt;$C$3,"",LARGE(DEBIT_15HARIAN!$K$7:$K$31,$A36))</f>
        <v/>
      </c>
      <c r="M36" s="13">
        <f>IF($A36&gt;$C$3,"",LARGE(DEBIT_15HARIAN!$L$7:$L$31,$A36))</f>
        <v/>
      </c>
      <c r="N36" s="13">
        <f>IF($A36&gt;$C$3,"",LARGE(DEBIT_15HARIAN!$M$7:$M$31,$A36))</f>
        <v/>
      </c>
      <c r="O36" s="13">
        <f>IF($A36&gt;$C$3,"",LARGE(DEBIT_15HARIAN!$N$7:$N$31,$A36))</f>
        <v/>
      </c>
      <c r="P36" s="13">
        <f>IF($A36&gt;$C$3,"",LARGE(DEBIT_15HARIAN!$O$7:$O$31,$A36))</f>
        <v/>
      </c>
      <c r="Q36" s="13">
        <f>IF($A36&gt;$C$3,"",LARGE(DEBIT_15HARIAN!$P$7:$P$31,$A36))</f>
        <v/>
      </c>
      <c r="R36" s="13">
        <f>IF($A36&gt;$C$3,"",LARGE(DEBIT_15HARIAN!$Q$7:$Q$31,$A36))</f>
        <v/>
      </c>
      <c r="S36" s="13">
        <f>IF($A36&gt;$C$3,"",LARGE(DEBIT_15HARIAN!$R$7:$R$31,$A36))</f>
        <v/>
      </c>
      <c r="T36" s="13">
        <f>IF($A36&gt;$C$3,"",LARGE(DEBIT_15HARIAN!$S$7:$S$31,$A36))</f>
        <v/>
      </c>
      <c r="U36" s="13">
        <f>IF($A36&gt;$C$3,"",LARGE(DEBIT_15HARIAN!$T$7:$T$31,$A36))</f>
        <v/>
      </c>
      <c r="V36" s="13">
        <f>IF($A36&gt;$C$3,"",LARGE(DEBIT_15HARIAN!$U$7:$U$31,$A36))</f>
        <v/>
      </c>
      <c r="W36" s="13">
        <f>IF($A36&gt;$C$3,"",LARGE(DEBIT_15HARIAN!$V$7:$V$31,$A36))</f>
        <v/>
      </c>
      <c r="X36" s="13">
        <f>IF($A36&gt;$C$3,"",LARGE(DEBIT_15HARIAN!$W$7:$W$31,$A36))</f>
        <v/>
      </c>
      <c r="Y36" s="13">
        <f>IF($A36&gt;$C$3,"",LARGE(DEBIT_15HARIAN!$X$7:$X$31,$A36))</f>
        <v/>
      </c>
      <c r="Z36" s="13">
        <f>IF($A36&gt;$C$3,"",LARGE(DEBIT_15HARIAN!$Y$7:$Y$31,$A36))</f>
        <v/>
      </c>
    </row>
    <row r="37">
      <c r="A37" s="9" t="n">
        <v>3</v>
      </c>
      <c r="B37" s="23">
        <f>IF(A37&gt;$C$3,"",A37/($C$3+1))</f>
        <v/>
      </c>
      <c r="C37" s="13">
        <f>IF($A37&gt;$C$3,"",LARGE(DEBIT_15HARIAN!$B$7:$B$31,$A37))</f>
        <v/>
      </c>
      <c r="D37" s="13">
        <f>IF($A37&gt;$C$3,"",LARGE(DEBIT_15HARIAN!$C$7:$C$31,$A37))</f>
        <v/>
      </c>
      <c r="E37" s="13">
        <f>IF($A37&gt;$C$3,"",LARGE(DEBIT_15HARIAN!$D$7:$D$31,$A37))</f>
        <v/>
      </c>
      <c r="F37" s="13">
        <f>IF($A37&gt;$C$3,"",LARGE(DEBIT_15HARIAN!$E$7:$E$31,$A37))</f>
        <v/>
      </c>
      <c r="G37" s="13">
        <f>IF($A37&gt;$C$3,"",LARGE(DEBIT_15HARIAN!$F$7:$F$31,$A37))</f>
        <v/>
      </c>
      <c r="H37" s="13">
        <f>IF($A37&gt;$C$3,"",LARGE(DEBIT_15HARIAN!$G$7:$G$31,$A37))</f>
        <v/>
      </c>
      <c r="I37" s="13">
        <f>IF($A37&gt;$C$3,"",LARGE(DEBIT_15HARIAN!$H$7:$H$31,$A37))</f>
        <v/>
      </c>
      <c r="J37" s="13">
        <f>IF($A37&gt;$C$3,"",LARGE(DEBIT_15HARIAN!$I$7:$I$31,$A37))</f>
        <v/>
      </c>
      <c r="K37" s="13">
        <f>IF($A37&gt;$C$3,"",LARGE(DEBIT_15HARIAN!$J$7:$J$31,$A37))</f>
        <v/>
      </c>
      <c r="L37" s="13">
        <f>IF($A37&gt;$C$3,"",LARGE(DEBIT_15HARIAN!$K$7:$K$31,$A37))</f>
        <v/>
      </c>
      <c r="M37" s="13">
        <f>IF($A37&gt;$C$3,"",LARGE(DEBIT_15HARIAN!$L$7:$L$31,$A37))</f>
        <v/>
      </c>
      <c r="N37" s="13">
        <f>IF($A37&gt;$C$3,"",LARGE(DEBIT_15HARIAN!$M$7:$M$31,$A37))</f>
        <v/>
      </c>
      <c r="O37" s="13">
        <f>IF($A37&gt;$C$3,"",LARGE(DEBIT_15HARIAN!$N$7:$N$31,$A37))</f>
        <v/>
      </c>
      <c r="P37" s="13">
        <f>IF($A37&gt;$C$3,"",LARGE(DEBIT_15HARIAN!$O$7:$O$31,$A37))</f>
        <v/>
      </c>
      <c r="Q37" s="13">
        <f>IF($A37&gt;$C$3,"",LARGE(DEBIT_15HARIAN!$P$7:$P$31,$A37))</f>
        <v/>
      </c>
      <c r="R37" s="13">
        <f>IF($A37&gt;$C$3,"",LARGE(DEBIT_15HARIAN!$Q$7:$Q$31,$A37))</f>
        <v/>
      </c>
      <c r="S37" s="13">
        <f>IF($A37&gt;$C$3,"",LARGE(DEBIT_15HARIAN!$R$7:$R$31,$A37))</f>
        <v/>
      </c>
      <c r="T37" s="13">
        <f>IF($A37&gt;$C$3,"",LARGE(DEBIT_15HARIAN!$S$7:$S$31,$A37))</f>
        <v/>
      </c>
      <c r="U37" s="13">
        <f>IF($A37&gt;$C$3,"",LARGE(DEBIT_15HARIAN!$T$7:$T$31,$A37))</f>
        <v/>
      </c>
      <c r="V37" s="13">
        <f>IF($A37&gt;$C$3,"",LARGE(DEBIT_15HARIAN!$U$7:$U$31,$A37))</f>
        <v/>
      </c>
      <c r="W37" s="13">
        <f>IF($A37&gt;$C$3,"",LARGE(DEBIT_15HARIAN!$V$7:$V$31,$A37))</f>
        <v/>
      </c>
      <c r="X37" s="13">
        <f>IF($A37&gt;$C$3,"",LARGE(DEBIT_15HARIAN!$W$7:$W$31,$A37))</f>
        <v/>
      </c>
      <c r="Y37" s="13">
        <f>IF($A37&gt;$C$3,"",LARGE(DEBIT_15HARIAN!$X$7:$X$31,$A37))</f>
        <v/>
      </c>
      <c r="Z37" s="13">
        <f>IF($A37&gt;$C$3,"",LARGE(DEBIT_15HARIAN!$Y$7:$Y$31,$A37))</f>
        <v/>
      </c>
    </row>
    <row r="38">
      <c r="A38" s="9" t="n">
        <v>4</v>
      </c>
      <c r="B38" s="23">
        <f>IF(A38&gt;$C$3,"",A38/($C$3+1))</f>
        <v/>
      </c>
      <c r="C38" s="13">
        <f>IF($A38&gt;$C$3,"",LARGE(DEBIT_15HARIAN!$B$7:$B$31,$A38))</f>
        <v/>
      </c>
      <c r="D38" s="13">
        <f>IF($A38&gt;$C$3,"",LARGE(DEBIT_15HARIAN!$C$7:$C$31,$A38))</f>
        <v/>
      </c>
      <c r="E38" s="13">
        <f>IF($A38&gt;$C$3,"",LARGE(DEBIT_15HARIAN!$D$7:$D$31,$A38))</f>
        <v/>
      </c>
      <c r="F38" s="13">
        <f>IF($A38&gt;$C$3,"",LARGE(DEBIT_15HARIAN!$E$7:$E$31,$A38))</f>
        <v/>
      </c>
      <c r="G38" s="13">
        <f>IF($A38&gt;$C$3,"",LARGE(DEBIT_15HARIAN!$F$7:$F$31,$A38))</f>
        <v/>
      </c>
      <c r="H38" s="13">
        <f>IF($A38&gt;$C$3,"",LARGE(DEBIT_15HARIAN!$G$7:$G$31,$A38))</f>
        <v/>
      </c>
      <c r="I38" s="13">
        <f>IF($A38&gt;$C$3,"",LARGE(DEBIT_15HARIAN!$H$7:$H$31,$A38))</f>
        <v/>
      </c>
      <c r="J38" s="13">
        <f>IF($A38&gt;$C$3,"",LARGE(DEBIT_15HARIAN!$I$7:$I$31,$A38))</f>
        <v/>
      </c>
      <c r="K38" s="13">
        <f>IF($A38&gt;$C$3,"",LARGE(DEBIT_15HARIAN!$J$7:$J$31,$A38))</f>
        <v/>
      </c>
      <c r="L38" s="13">
        <f>IF($A38&gt;$C$3,"",LARGE(DEBIT_15HARIAN!$K$7:$K$31,$A38))</f>
        <v/>
      </c>
      <c r="M38" s="13">
        <f>IF($A38&gt;$C$3,"",LARGE(DEBIT_15HARIAN!$L$7:$L$31,$A38))</f>
        <v/>
      </c>
      <c r="N38" s="13">
        <f>IF($A38&gt;$C$3,"",LARGE(DEBIT_15HARIAN!$M$7:$M$31,$A38))</f>
        <v/>
      </c>
      <c r="O38" s="13">
        <f>IF($A38&gt;$C$3,"",LARGE(DEBIT_15HARIAN!$N$7:$N$31,$A38))</f>
        <v/>
      </c>
      <c r="P38" s="13">
        <f>IF($A38&gt;$C$3,"",LARGE(DEBIT_15HARIAN!$O$7:$O$31,$A38))</f>
        <v/>
      </c>
      <c r="Q38" s="13">
        <f>IF($A38&gt;$C$3,"",LARGE(DEBIT_15HARIAN!$P$7:$P$31,$A38))</f>
        <v/>
      </c>
      <c r="R38" s="13">
        <f>IF($A38&gt;$C$3,"",LARGE(DEBIT_15HARIAN!$Q$7:$Q$31,$A38))</f>
        <v/>
      </c>
      <c r="S38" s="13">
        <f>IF($A38&gt;$C$3,"",LARGE(DEBIT_15HARIAN!$R$7:$R$31,$A38))</f>
        <v/>
      </c>
      <c r="T38" s="13">
        <f>IF($A38&gt;$C$3,"",LARGE(DEBIT_15HARIAN!$S$7:$S$31,$A38))</f>
        <v/>
      </c>
      <c r="U38" s="13">
        <f>IF($A38&gt;$C$3,"",LARGE(DEBIT_15HARIAN!$T$7:$T$31,$A38))</f>
        <v/>
      </c>
      <c r="V38" s="13">
        <f>IF($A38&gt;$C$3,"",LARGE(DEBIT_15HARIAN!$U$7:$U$31,$A38))</f>
        <v/>
      </c>
      <c r="W38" s="13">
        <f>IF($A38&gt;$C$3,"",LARGE(DEBIT_15HARIAN!$V$7:$V$31,$A38))</f>
        <v/>
      </c>
      <c r="X38" s="13">
        <f>IF($A38&gt;$C$3,"",LARGE(DEBIT_15HARIAN!$W$7:$W$31,$A38))</f>
        <v/>
      </c>
      <c r="Y38" s="13">
        <f>IF($A38&gt;$C$3,"",LARGE(DEBIT_15HARIAN!$X$7:$X$31,$A38))</f>
        <v/>
      </c>
      <c r="Z38" s="13">
        <f>IF($A38&gt;$C$3,"",LARGE(DEBIT_15HARIAN!$Y$7:$Y$31,$A38))</f>
        <v/>
      </c>
    </row>
    <row r="39">
      <c r="A39" s="9" t="n">
        <v>5</v>
      </c>
      <c r="B39" s="23">
        <f>IF(A39&gt;$C$3,"",A39/($C$3+1))</f>
        <v/>
      </c>
      <c r="C39" s="13">
        <f>IF($A39&gt;$C$3,"",LARGE(DEBIT_15HARIAN!$B$7:$B$31,$A39))</f>
        <v/>
      </c>
      <c r="D39" s="13">
        <f>IF($A39&gt;$C$3,"",LARGE(DEBIT_15HARIAN!$C$7:$C$31,$A39))</f>
        <v/>
      </c>
      <c r="E39" s="13">
        <f>IF($A39&gt;$C$3,"",LARGE(DEBIT_15HARIAN!$D$7:$D$31,$A39))</f>
        <v/>
      </c>
      <c r="F39" s="13">
        <f>IF($A39&gt;$C$3,"",LARGE(DEBIT_15HARIAN!$E$7:$E$31,$A39))</f>
        <v/>
      </c>
      <c r="G39" s="13">
        <f>IF($A39&gt;$C$3,"",LARGE(DEBIT_15HARIAN!$F$7:$F$31,$A39))</f>
        <v/>
      </c>
      <c r="H39" s="13">
        <f>IF($A39&gt;$C$3,"",LARGE(DEBIT_15HARIAN!$G$7:$G$31,$A39))</f>
        <v/>
      </c>
      <c r="I39" s="13">
        <f>IF($A39&gt;$C$3,"",LARGE(DEBIT_15HARIAN!$H$7:$H$31,$A39))</f>
        <v/>
      </c>
      <c r="J39" s="13">
        <f>IF($A39&gt;$C$3,"",LARGE(DEBIT_15HARIAN!$I$7:$I$31,$A39))</f>
        <v/>
      </c>
      <c r="K39" s="13">
        <f>IF($A39&gt;$C$3,"",LARGE(DEBIT_15HARIAN!$J$7:$J$31,$A39))</f>
        <v/>
      </c>
      <c r="L39" s="13">
        <f>IF($A39&gt;$C$3,"",LARGE(DEBIT_15HARIAN!$K$7:$K$31,$A39))</f>
        <v/>
      </c>
      <c r="M39" s="13">
        <f>IF($A39&gt;$C$3,"",LARGE(DEBIT_15HARIAN!$L$7:$L$31,$A39))</f>
        <v/>
      </c>
      <c r="N39" s="13">
        <f>IF($A39&gt;$C$3,"",LARGE(DEBIT_15HARIAN!$M$7:$M$31,$A39))</f>
        <v/>
      </c>
      <c r="O39" s="13">
        <f>IF($A39&gt;$C$3,"",LARGE(DEBIT_15HARIAN!$N$7:$N$31,$A39))</f>
        <v/>
      </c>
      <c r="P39" s="13">
        <f>IF($A39&gt;$C$3,"",LARGE(DEBIT_15HARIAN!$O$7:$O$31,$A39))</f>
        <v/>
      </c>
      <c r="Q39" s="13">
        <f>IF($A39&gt;$C$3,"",LARGE(DEBIT_15HARIAN!$P$7:$P$31,$A39))</f>
        <v/>
      </c>
      <c r="R39" s="13">
        <f>IF($A39&gt;$C$3,"",LARGE(DEBIT_15HARIAN!$Q$7:$Q$31,$A39))</f>
        <v/>
      </c>
      <c r="S39" s="13">
        <f>IF($A39&gt;$C$3,"",LARGE(DEBIT_15HARIAN!$R$7:$R$31,$A39))</f>
        <v/>
      </c>
      <c r="T39" s="13">
        <f>IF($A39&gt;$C$3,"",LARGE(DEBIT_15HARIAN!$S$7:$S$31,$A39))</f>
        <v/>
      </c>
      <c r="U39" s="13">
        <f>IF($A39&gt;$C$3,"",LARGE(DEBIT_15HARIAN!$T$7:$T$31,$A39))</f>
        <v/>
      </c>
      <c r="V39" s="13">
        <f>IF($A39&gt;$C$3,"",LARGE(DEBIT_15HARIAN!$U$7:$U$31,$A39))</f>
        <v/>
      </c>
      <c r="W39" s="13">
        <f>IF($A39&gt;$C$3,"",LARGE(DEBIT_15HARIAN!$V$7:$V$31,$A39))</f>
        <v/>
      </c>
      <c r="X39" s="13">
        <f>IF($A39&gt;$C$3,"",LARGE(DEBIT_15HARIAN!$W$7:$W$31,$A39))</f>
        <v/>
      </c>
      <c r="Y39" s="13">
        <f>IF($A39&gt;$C$3,"",LARGE(DEBIT_15HARIAN!$X$7:$X$31,$A39))</f>
        <v/>
      </c>
      <c r="Z39" s="13">
        <f>IF($A39&gt;$C$3,"",LARGE(DEBIT_15HARIAN!$Y$7:$Y$31,$A39))</f>
        <v/>
      </c>
    </row>
    <row r="40">
      <c r="A40" s="9" t="n">
        <v>6</v>
      </c>
      <c r="B40" s="23">
        <f>IF(A40&gt;$C$3,"",A40/($C$3+1))</f>
        <v/>
      </c>
      <c r="C40" s="13">
        <f>IF($A40&gt;$C$3,"",LARGE(DEBIT_15HARIAN!$B$7:$B$31,$A40))</f>
        <v/>
      </c>
      <c r="D40" s="13">
        <f>IF($A40&gt;$C$3,"",LARGE(DEBIT_15HARIAN!$C$7:$C$31,$A40))</f>
        <v/>
      </c>
      <c r="E40" s="13">
        <f>IF($A40&gt;$C$3,"",LARGE(DEBIT_15HARIAN!$D$7:$D$31,$A40))</f>
        <v/>
      </c>
      <c r="F40" s="13">
        <f>IF($A40&gt;$C$3,"",LARGE(DEBIT_15HARIAN!$E$7:$E$31,$A40))</f>
        <v/>
      </c>
      <c r="G40" s="13">
        <f>IF($A40&gt;$C$3,"",LARGE(DEBIT_15HARIAN!$F$7:$F$31,$A40))</f>
        <v/>
      </c>
      <c r="H40" s="13">
        <f>IF($A40&gt;$C$3,"",LARGE(DEBIT_15HARIAN!$G$7:$G$31,$A40))</f>
        <v/>
      </c>
      <c r="I40" s="13">
        <f>IF($A40&gt;$C$3,"",LARGE(DEBIT_15HARIAN!$H$7:$H$31,$A40))</f>
        <v/>
      </c>
      <c r="J40" s="13">
        <f>IF($A40&gt;$C$3,"",LARGE(DEBIT_15HARIAN!$I$7:$I$31,$A40))</f>
        <v/>
      </c>
      <c r="K40" s="13">
        <f>IF($A40&gt;$C$3,"",LARGE(DEBIT_15HARIAN!$J$7:$J$31,$A40))</f>
        <v/>
      </c>
      <c r="L40" s="13">
        <f>IF($A40&gt;$C$3,"",LARGE(DEBIT_15HARIAN!$K$7:$K$31,$A40))</f>
        <v/>
      </c>
      <c r="M40" s="13">
        <f>IF($A40&gt;$C$3,"",LARGE(DEBIT_15HARIAN!$L$7:$L$31,$A40))</f>
        <v/>
      </c>
      <c r="N40" s="13">
        <f>IF($A40&gt;$C$3,"",LARGE(DEBIT_15HARIAN!$M$7:$M$31,$A40))</f>
        <v/>
      </c>
      <c r="O40" s="13">
        <f>IF($A40&gt;$C$3,"",LARGE(DEBIT_15HARIAN!$N$7:$N$31,$A40))</f>
        <v/>
      </c>
      <c r="P40" s="13">
        <f>IF($A40&gt;$C$3,"",LARGE(DEBIT_15HARIAN!$O$7:$O$31,$A40))</f>
        <v/>
      </c>
      <c r="Q40" s="13">
        <f>IF($A40&gt;$C$3,"",LARGE(DEBIT_15HARIAN!$P$7:$P$31,$A40))</f>
        <v/>
      </c>
      <c r="R40" s="13">
        <f>IF($A40&gt;$C$3,"",LARGE(DEBIT_15HARIAN!$Q$7:$Q$31,$A40))</f>
        <v/>
      </c>
      <c r="S40" s="13">
        <f>IF($A40&gt;$C$3,"",LARGE(DEBIT_15HARIAN!$R$7:$R$31,$A40))</f>
        <v/>
      </c>
      <c r="T40" s="13">
        <f>IF($A40&gt;$C$3,"",LARGE(DEBIT_15HARIAN!$S$7:$S$31,$A40))</f>
        <v/>
      </c>
      <c r="U40" s="13">
        <f>IF($A40&gt;$C$3,"",LARGE(DEBIT_15HARIAN!$T$7:$T$31,$A40))</f>
        <v/>
      </c>
      <c r="V40" s="13">
        <f>IF($A40&gt;$C$3,"",LARGE(DEBIT_15HARIAN!$U$7:$U$31,$A40))</f>
        <v/>
      </c>
      <c r="W40" s="13">
        <f>IF($A40&gt;$C$3,"",LARGE(DEBIT_15HARIAN!$V$7:$V$31,$A40))</f>
        <v/>
      </c>
      <c r="X40" s="13">
        <f>IF($A40&gt;$C$3,"",LARGE(DEBIT_15HARIAN!$W$7:$W$31,$A40))</f>
        <v/>
      </c>
      <c r="Y40" s="13">
        <f>IF($A40&gt;$C$3,"",LARGE(DEBIT_15HARIAN!$X$7:$X$31,$A40))</f>
        <v/>
      </c>
      <c r="Z40" s="13">
        <f>IF($A40&gt;$C$3,"",LARGE(DEBIT_15HARIAN!$Y$7:$Y$31,$A40))</f>
        <v/>
      </c>
    </row>
    <row r="41">
      <c r="A41" s="9" t="n">
        <v>7</v>
      </c>
      <c r="B41" s="23">
        <f>IF(A41&gt;$C$3,"",A41/($C$3+1))</f>
        <v/>
      </c>
      <c r="C41" s="13">
        <f>IF($A41&gt;$C$3,"",LARGE(DEBIT_15HARIAN!$B$7:$B$31,$A41))</f>
        <v/>
      </c>
      <c r="D41" s="13">
        <f>IF($A41&gt;$C$3,"",LARGE(DEBIT_15HARIAN!$C$7:$C$31,$A41))</f>
        <v/>
      </c>
      <c r="E41" s="13">
        <f>IF($A41&gt;$C$3,"",LARGE(DEBIT_15HARIAN!$D$7:$D$31,$A41))</f>
        <v/>
      </c>
      <c r="F41" s="13">
        <f>IF($A41&gt;$C$3,"",LARGE(DEBIT_15HARIAN!$E$7:$E$31,$A41))</f>
        <v/>
      </c>
      <c r="G41" s="13">
        <f>IF($A41&gt;$C$3,"",LARGE(DEBIT_15HARIAN!$F$7:$F$31,$A41))</f>
        <v/>
      </c>
      <c r="H41" s="13">
        <f>IF($A41&gt;$C$3,"",LARGE(DEBIT_15HARIAN!$G$7:$G$31,$A41))</f>
        <v/>
      </c>
      <c r="I41" s="13">
        <f>IF($A41&gt;$C$3,"",LARGE(DEBIT_15HARIAN!$H$7:$H$31,$A41))</f>
        <v/>
      </c>
      <c r="J41" s="13">
        <f>IF($A41&gt;$C$3,"",LARGE(DEBIT_15HARIAN!$I$7:$I$31,$A41))</f>
        <v/>
      </c>
      <c r="K41" s="13">
        <f>IF($A41&gt;$C$3,"",LARGE(DEBIT_15HARIAN!$J$7:$J$31,$A41))</f>
        <v/>
      </c>
      <c r="L41" s="13">
        <f>IF($A41&gt;$C$3,"",LARGE(DEBIT_15HARIAN!$K$7:$K$31,$A41))</f>
        <v/>
      </c>
      <c r="M41" s="13">
        <f>IF($A41&gt;$C$3,"",LARGE(DEBIT_15HARIAN!$L$7:$L$31,$A41))</f>
        <v/>
      </c>
      <c r="N41" s="13">
        <f>IF($A41&gt;$C$3,"",LARGE(DEBIT_15HARIAN!$M$7:$M$31,$A41))</f>
        <v/>
      </c>
      <c r="O41" s="13">
        <f>IF($A41&gt;$C$3,"",LARGE(DEBIT_15HARIAN!$N$7:$N$31,$A41))</f>
        <v/>
      </c>
      <c r="P41" s="13">
        <f>IF($A41&gt;$C$3,"",LARGE(DEBIT_15HARIAN!$O$7:$O$31,$A41))</f>
        <v/>
      </c>
      <c r="Q41" s="13">
        <f>IF($A41&gt;$C$3,"",LARGE(DEBIT_15HARIAN!$P$7:$P$31,$A41))</f>
        <v/>
      </c>
      <c r="R41" s="13">
        <f>IF($A41&gt;$C$3,"",LARGE(DEBIT_15HARIAN!$Q$7:$Q$31,$A41))</f>
        <v/>
      </c>
      <c r="S41" s="13">
        <f>IF($A41&gt;$C$3,"",LARGE(DEBIT_15HARIAN!$R$7:$R$31,$A41))</f>
        <v/>
      </c>
      <c r="T41" s="13">
        <f>IF($A41&gt;$C$3,"",LARGE(DEBIT_15HARIAN!$S$7:$S$31,$A41))</f>
        <v/>
      </c>
      <c r="U41" s="13">
        <f>IF($A41&gt;$C$3,"",LARGE(DEBIT_15HARIAN!$T$7:$T$31,$A41))</f>
        <v/>
      </c>
      <c r="V41" s="13">
        <f>IF($A41&gt;$C$3,"",LARGE(DEBIT_15HARIAN!$U$7:$U$31,$A41))</f>
        <v/>
      </c>
      <c r="W41" s="13">
        <f>IF($A41&gt;$C$3,"",LARGE(DEBIT_15HARIAN!$V$7:$V$31,$A41))</f>
        <v/>
      </c>
      <c r="X41" s="13">
        <f>IF($A41&gt;$C$3,"",LARGE(DEBIT_15HARIAN!$W$7:$W$31,$A41))</f>
        <v/>
      </c>
      <c r="Y41" s="13">
        <f>IF($A41&gt;$C$3,"",LARGE(DEBIT_15HARIAN!$X$7:$X$31,$A41))</f>
        <v/>
      </c>
      <c r="Z41" s="13">
        <f>IF($A41&gt;$C$3,"",LARGE(DEBIT_15HARIAN!$Y$7:$Y$31,$A41))</f>
        <v/>
      </c>
    </row>
    <row r="42">
      <c r="A42" s="9" t="n">
        <v>8</v>
      </c>
      <c r="B42" s="23">
        <f>IF(A42&gt;$C$3,"",A42/($C$3+1))</f>
        <v/>
      </c>
      <c r="C42" s="13">
        <f>IF($A42&gt;$C$3,"",LARGE(DEBIT_15HARIAN!$B$7:$B$31,$A42))</f>
        <v/>
      </c>
      <c r="D42" s="13">
        <f>IF($A42&gt;$C$3,"",LARGE(DEBIT_15HARIAN!$C$7:$C$31,$A42))</f>
        <v/>
      </c>
      <c r="E42" s="13">
        <f>IF($A42&gt;$C$3,"",LARGE(DEBIT_15HARIAN!$D$7:$D$31,$A42))</f>
        <v/>
      </c>
      <c r="F42" s="13">
        <f>IF($A42&gt;$C$3,"",LARGE(DEBIT_15HARIAN!$E$7:$E$31,$A42))</f>
        <v/>
      </c>
      <c r="G42" s="13">
        <f>IF($A42&gt;$C$3,"",LARGE(DEBIT_15HARIAN!$F$7:$F$31,$A42))</f>
        <v/>
      </c>
      <c r="H42" s="13">
        <f>IF($A42&gt;$C$3,"",LARGE(DEBIT_15HARIAN!$G$7:$G$31,$A42))</f>
        <v/>
      </c>
      <c r="I42" s="13">
        <f>IF($A42&gt;$C$3,"",LARGE(DEBIT_15HARIAN!$H$7:$H$31,$A42))</f>
        <v/>
      </c>
      <c r="J42" s="13">
        <f>IF($A42&gt;$C$3,"",LARGE(DEBIT_15HARIAN!$I$7:$I$31,$A42))</f>
        <v/>
      </c>
      <c r="K42" s="13">
        <f>IF($A42&gt;$C$3,"",LARGE(DEBIT_15HARIAN!$J$7:$J$31,$A42))</f>
        <v/>
      </c>
      <c r="L42" s="13">
        <f>IF($A42&gt;$C$3,"",LARGE(DEBIT_15HARIAN!$K$7:$K$31,$A42))</f>
        <v/>
      </c>
      <c r="M42" s="13">
        <f>IF($A42&gt;$C$3,"",LARGE(DEBIT_15HARIAN!$L$7:$L$31,$A42))</f>
        <v/>
      </c>
      <c r="N42" s="13">
        <f>IF($A42&gt;$C$3,"",LARGE(DEBIT_15HARIAN!$M$7:$M$31,$A42))</f>
        <v/>
      </c>
      <c r="O42" s="13">
        <f>IF($A42&gt;$C$3,"",LARGE(DEBIT_15HARIAN!$N$7:$N$31,$A42))</f>
        <v/>
      </c>
      <c r="P42" s="13">
        <f>IF($A42&gt;$C$3,"",LARGE(DEBIT_15HARIAN!$O$7:$O$31,$A42))</f>
        <v/>
      </c>
      <c r="Q42" s="13">
        <f>IF($A42&gt;$C$3,"",LARGE(DEBIT_15HARIAN!$P$7:$P$31,$A42))</f>
        <v/>
      </c>
      <c r="R42" s="13">
        <f>IF($A42&gt;$C$3,"",LARGE(DEBIT_15HARIAN!$Q$7:$Q$31,$A42))</f>
        <v/>
      </c>
      <c r="S42" s="13">
        <f>IF($A42&gt;$C$3,"",LARGE(DEBIT_15HARIAN!$R$7:$R$31,$A42))</f>
        <v/>
      </c>
      <c r="T42" s="13">
        <f>IF($A42&gt;$C$3,"",LARGE(DEBIT_15HARIAN!$S$7:$S$31,$A42))</f>
        <v/>
      </c>
      <c r="U42" s="13">
        <f>IF($A42&gt;$C$3,"",LARGE(DEBIT_15HARIAN!$T$7:$T$31,$A42))</f>
        <v/>
      </c>
      <c r="V42" s="13">
        <f>IF($A42&gt;$C$3,"",LARGE(DEBIT_15HARIAN!$U$7:$U$31,$A42))</f>
        <v/>
      </c>
      <c r="W42" s="13">
        <f>IF($A42&gt;$C$3,"",LARGE(DEBIT_15HARIAN!$V$7:$V$31,$A42))</f>
        <v/>
      </c>
      <c r="X42" s="13">
        <f>IF($A42&gt;$C$3,"",LARGE(DEBIT_15HARIAN!$W$7:$W$31,$A42))</f>
        <v/>
      </c>
      <c r="Y42" s="13">
        <f>IF($A42&gt;$C$3,"",LARGE(DEBIT_15HARIAN!$X$7:$X$31,$A42))</f>
        <v/>
      </c>
      <c r="Z42" s="13">
        <f>IF($A42&gt;$C$3,"",LARGE(DEBIT_15HARIAN!$Y$7:$Y$31,$A42))</f>
        <v/>
      </c>
    </row>
    <row r="43">
      <c r="A43" s="9" t="n">
        <v>9</v>
      </c>
      <c r="B43" s="23">
        <f>IF(A43&gt;$C$3,"",A43/($C$3+1))</f>
        <v/>
      </c>
      <c r="C43" s="13">
        <f>IF($A43&gt;$C$3,"",LARGE(DEBIT_15HARIAN!$B$7:$B$31,$A43))</f>
        <v/>
      </c>
      <c r="D43" s="13">
        <f>IF($A43&gt;$C$3,"",LARGE(DEBIT_15HARIAN!$C$7:$C$31,$A43))</f>
        <v/>
      </c>
      <c r="E43" s="13">
        <f>IF($A43&gt;$C$3,"",LARGE(DEBIT_15HARIAN!$D$7:$D$31,$A43))</f>
        <v/>
      </c>
      <c r="F43" s="13">
        <f>IF($A43&gt;$C$3,"",LARGE(DEBIT_15HARIAN!$E$7:$E$31,$A43))</f>
        <v/>
      </c>
      <c r="G43" s="13">
        <f>IF($A43&gt;$C$3,"",LARGE(DEBIT_15HARIAN!$F$7:$F$31,$A43))</f>
        <v/>
      </c>
      <c r="H43" s="13">
        <f>IF($A43&gt;$C$3,"",LARGE(DEBIT_15HARIAN!$G$7:$G$31,$A43))</f>
        <v/>
      </c>
      <c r="I43" s="13">
        <f>IF($A43&gt;$C$3,"",LARGE(DEBIT_15HARIAN!$H$7:$H$31,$A43))</f>
        <v/>
      </c>
      <c r="J43" s="13">
        <f>IF($A43&gt;$C$3,"",LARGE(DEBIT_15HARIAN!$I$7:$I$31,$A43))</f>
        <v/>
      </c>
      <c r="K43" s="13">
        <f>IF($A43&gt;$C$3,"",LARGE(DEBIT_15HARIAN!$J$7:$J$31,$A43))</f>
        <v/>
      </c>
      <c r="L43" s="13">
        <f>IF($A43&gt;$C$3,"",LARGE(DEBIT_15HARIAN!$K$7:$K$31,$A43))</f>
        <v/>
      </c>
      <c r="M43" s="13">
        <f>IF($A43&gt;$C$3,"",LARGE(DEBIT_15HARIAN!$L$7:$L$31,$A43))</f>
        <v/>
      </c>
      <c r="N43" s="13">
        <f>IF($A43&gt;$C$3,"",LARGE(DEBIT_15HARIAN!$M$7:$M$31,$A43))</f>
        <v/>
      </c>
      <c r="O43" s="13">
        <f>IF($A43&gt;$C$3,"",LARGE(DEBIT_15HARIAN!$N$7:$N$31,$A43))</f>
        <v/>
      </c>
      <c r="P43" s="13">
        <f>IF($A43&gt;$C$3,"",LARGE(DEBIT_15HARIAN!$O$7:$O$31,$A43))</f>
        <v/>
      </c>
      <c r="Q43" s="13">
        <f>IF($A43&gt;$C$3,"",LARGE(DEBIT_15HARIAN!$P$7:$P$31,$A43))</f>
        <v/>
      </c>
      <c r="R43" s="13">
        <f>IF($A43&gt;$C$3,"",LARGE(DEBIT_15HARIAN!$Q$7:$Q$31,$A43))</f>
        <v/>
      </c>
      <c r="S43" s="13">
        <f>IF($A43&gt;$C$3,"",LARGE(DEBIT_15HARIAN!$R$7:$R$31,$A43))</f>
        <v/>
      </c>
      <c r="T43" s="13">
        <f>IF($A43&gt;$C$3,"",LARGE(DEBIT_15HARIAN!$S$7:$S$31,$A43))</f>
        <v/>
      </c>
      <c r="U43" s="13">
        <f>IF($A43&gt;$C$3,"",LARGE(DEBIT_15HARIAN!$T$7:$T$31,$A43))</f>
        <v/>
      </c>
      <c r="V43" s="13">
        <f>IF($A43&gt;$C$3,"",LARGE(DEBIT_15HARIAN!$U$7:$U$31,$A43))</f>
        <v/>
      </c>
      <c r="W43" s="13">
        <f>IF($A43&gt;$C$3,"",LARGE(DEBIT_15HARIAN!$V$7:$V$31,$A43))</f>
        <v/>
      </c>
      <c r="X43" s="13">
        <f>IF($A43&gt;$C$3,"",LARGE(DEBIT_15HARIAN!$W$7:$W$31,$A43))</f>
        <v/>
      </c>
      <c r="Y43" s="13">
        <f>IF($A43&gt;$C$3,"",LARGE(DEBIT_15HARIAN!$X$7:$X$31,$A43))</f>
        <v/>
      </c>
      <c r="Z43" s="13">
        <f>IF($A43&gt;$C$3,"",LARGE(DEBIT_15HARIAN!$Y$7:$Y$31,$A43))</f>
        <v/>
      </c>
    </row>
    <row r="44">
      <c r="A44" s="9" t="n">
        <v>10</v>
      </c>
      <c r="B44" s="23">
        <f>IF(A44&gt;$C$3,"",A44/($C$3+1))</f>
        <v/>
      </c>
      <c r="C44" s="13">
        <f>IF($A44&gt;$C$3,"",LARGE(DEBIT_15HARIAN!$B$7:$B$31,$A44))</f>
        <v/>
      </c>
      <c r="D44" s="13">
        <f>IF($A44&gt;$C$3,"",LARGE(DEBIT_15HARIAN!$C$7:$C$31,$A44))</f>
        <v/>
      </c>
      <c r="E44" s="13">
        <f>IF($A44&gt;$C$3,"",LARGE(DEBIT_15HARIAN!$D$7:$D$31,$A44))</f>
        <v/>
      </c>
      <c r="F44" s="13">
        <f>IF($A44&gt;$C$3,"",LARGE(DEBIT_15HARIAN!$E$7:$E$31,$A44))</f>
        <v/>
      </c>
      <c r="G44" s="13">
        <f>IF($A44&gt;$C$3,"",LARGE(DEBIT_15HARIAN!$F$7:$F$31,$A44))</f>
        <v/>
      </c>
      <c r="H44" s="13">
        <f>IF($A44&gt;$C$3,"",LARGE(DEBIT_15HARIAN!$G$7:$G$31,$A44))</f>
        <v/>
      </c>
      <c r="I44" s="13">
        <f>IF($A44&gt;$C$3,"",LARGE(DEBIT_15HARIAN!$H$7:$H$31,$A44))</f>
        <v/>
      </c>
      <c r="J44" s="13">
        <f>IF($A44&gt;$C$3,"",LARGE(DEBIT_15HARIAN!$I$7:$I$31,$A44))</f>
        <v/>
      </c>
      <c r="K44" s="13">
        <f>IF($A44&gt;$C$3,"",LARGE(DEBIT_15HARIAN!$J$7:$J$31,$A44))</f>
        <v/>
      </c>
      <c r="L44" s="13">
        <f>IF($A44&gt;$C$3,"",LARGE(DEBIT_15HARIAN!$K$7:$K$31,$A44))</f>
        <v/>
      </c>
      <c r="M44" s="13">
        <f>IF($A44&gt;$C$3,"",LARGE(DEBIT_15HARIAN!$L$7:$L$31,$A44))</f>
        <v/>
      </c>
      <c r="N44" s="13">
        <f>IF($A44&gt;$C$3,"",LARGE(DEBIT_15HARIAN!$M$7:$M$31,$A44))</f>
        <v/>
      </c>
      <c r="O44" s="13">
        <f>IF($A44&gt;$C$3,"",LARGE(DEBIT_15HARIAN!$N$7:$N$31,$A44))</f>
        <v/>
      </c>
      <c r="P44" s="13">
        <f>IF($A44&gt;$C$3,"",LARGE(DEBIT_15HARIAN!$O$7:$O$31,$A44))</f>
        <v/>
      </c>
      <c r="Q44" s="13">
        <f>IF($A44&gt;$C$3,"",LARGE(DEBIT_15HARIAN!$P$7:$P$31,$A44))</f>
        <v/>
      </c>
      <c r="R44" s="13">
        <f>IF($A44&gt;$C$3,"",LARGE(DEBIT_15HARIAN!$Q$7:$Q$31,$A44))</f>
        <v/>
      </c>
      <c r="S44" s="13">
        <f>IF($A44&gt;$C$3,"",LARGE(DEBIT_15HARIAN!$R$7:$R$31,$A44))</f>
        <v/>
      </c>
      <c r="T44" s="13">
        <f>IF($A44&gt;$C$3,"",LARGE(DEBIT_15HARIAN!$S$7:$S$31,$A44))</f>
        <v/>
      </c>
      <c r="U44" s="13">
        <f>IF($A44&gt;$C$3,"",LARGE(DEBIT_15HARIAN!$T$7:$T$31,$A44))</f>
        <v/>
      </c>
      <c r="V44" s="13">
        <f>IF($A44&gt;$C$3,"",LARGE(DEBIT_15HARIAN!$U$7:$U$31,$A44))</f>
        <v/>
      </c>
      <c r="W44" s="13">
        <f>IF($A44&gt;$C$3,"",LARGE(DEBIT_15HARIAN!$V$7:$V$31,$A44))</f>
        <v/>
      </c>
      <c r="X44" s="13">
        <f>IF($A44&gt;$C$3,"",LARGE(DEBIT_15HARIAN!$W$7:$W$31,$A44))</f>
        <v/>
      </c>
      <c r="Y44" s="13">
        <f>IF($A44&gt;$C$3,"",LARGE(DEBIT_15HARIAN!$X$7:$X$31,$A44))</f>
        <v/>
      </c>
      <c r="Z44" s="13">
        <f>IF($A44&gt;$C$3,"",LARGE(DEBIT_15HARIAN!$Y$7:$Y$31,$A44))</f>
        <v/>
      </c>
    </row>
    <row r="45">
      <c r="A45" s="9" t="n">
        <v>11</v>
      </c>
      <c r="B45" s="23">
        <f>IF(A45&gt;$C$3,"",A45/($C$3+1))</f>
        <v/>
      </c>
      <c r="C45" s="13">
        <f>IF($A45&gt;$C$3,"",LARGE(DEBIT_15HARIAN!$B$7:$B$31,$A45))</f>
        <v/>
      </c>
      <c r="D45" s="13">
        <f>IF($A45&gt;$C$3,"",LARGE(DEBIT_15HARIAN!$C$7:$C$31,$A45))</f>
        <v/>
      </c>
      <c r="E45" s="13">
        <f>IF($A45&gt;$C$3,"",LARGE(DEBIT_15HARIAN!$D$7:$D$31,$A45))</f>
        <v/>
      </c>
      <c r="F45" s="13">
        <f>IF($A45&gt;$C$3,"",LARGE(DEBIT_15HARIAN!$E$7:$E$31,$A45))</f>
        <v/>
      </c>
      <c r="G45" s="13">
        <f>IF($A45&gt;$C$3,"",LARGE(DEBIT_15HARIAN!$F$7:$F$31,$A45))</f>
        <v/>
      </c>
      <c r="H45" s="13">
        <f>IF($A45&gt;$C$3,"",LARGE(DEBIT_15HARIAN!$G$7:$G$31,$A45))</f>
        <v/>
      </c>
      <c r="I45" s="13">
        <f>IF($A45&gt;$C$3,"",LARGE(DEBIT_15HARIAN!$H$7:$H$31,$A45))</f>
        <v/>
      </c>
      <c r="J45" s="13">
        <f>IF($A45&gt;$C$3,"",LARGE(DEBIT_15HARIAN!$I$7:$I$31,$A45))</f>
        <v/>
      </c>
      <c r="K45" s="13">
        <f>IF($A45&gt;$C$3,"",LARGE(DEBIT_15HARIAN!$J$7:$J$31,$A45))</f>
        <v/>
      </c>
      <c r="L45" s="13">
        <f>IF($A45&gt;$C$3,"",LARGE(DEBIT_15HARIAN!$K$7:$K$31,$A45))</f>
        <v/>
      </c>
      <c r="M45" s="13">
        <f>IF($A45&gt;$C$3,"",LARGE(DEBIT_15HARIAN!$L$7:$L$31,$A45))</f>
        <v/>
      </c>
      <c r="N45" s="13">
        <f>IF($A45&gt;$C$3,"",LARGE(DEBIT_15HARIAN!$M$7:$M$31,$A45))</f>
        <v/>
      </c>
      <c r="O45" s="13">
        <f>IF($A45&gt;$C$3,"",LARGE(DEBIT_15HARIAN!$N$7:$N$31,$A45))</f>
        <v/>
      </c>
      <c r="P45" s="13">
        <f>IF($A45&gt;$C$3,"",LARGE(DEBIT_15HARIAN!$O$7:$O$31,$A45))</f>
        <v/>
      </c>
      <c r="Q45" s="13">
        <f>IF($A45&gt;$C$3,"",LARGE(DEBIT_15HARIAN!$P$7:$P$31,$A45))</f>
        <v/>
      </c>
      <c r="R45" s="13">
        <f>IF($A45&gt;$C$3,"",LARGE(DEBIT_15HARIAN!$Q$7:$Q$31,$A45))</f>
        <v/>
      </c>
      <c r="S45" s="13">
        <f>IF($A45&gt;$C$3,"",LARGE(DEBIT_15HARIAN!$R$7:$R$31,$A45))</f>
        <v/>
      </c>
      <c r="T45" s="13">
        <f>IF($A45&gt;$C$3,"",LARGE(DEBIT_15HARIAN!$S$7:$S$31,$A45))</f>
        <v/>
      </c>
      <c r="U45" s="13">
        <f>IF($A45&gt;$C$3,"",LARGE(DEBIT_15HARIAN!$T$7:$T$31,$A45))</f>
        <v/>
      </c>
      <c r="V45" s="13">
        <f>IF($A45&gt;$C$3,"",LARGE(DEBIT_15HARIAN!$U$7:$U$31,$A45))</f>
        <v/>
      </c>
      <c r="W45" s="13">
        <f>IF($A45&gt;$C$3,"",LARGE(DEBIT_15HARIAN!$V$7:$V$31,$A45))</f>
        <v/>
      </c>
      <c r="X45" s="13">
        <f>IF($A45&gt;$C$3,"",LARGE(DEBIT_15HARIAN!$W$7:$W$31,$A45))</f>
        <v/>
      </c>
      <c r="Y45" s="13">
        <f>IF($A45&gt;$C$3,"",LARGE(DEBIT_15HARIAN!$X$7:$X$31,$A45))</f>
        <v/>
      </c>
      <c r="Z45" s="13">
        <f>IF($A45&gt;$C$3,"",LARGE(DEBIT_15HARIAN!$Y$7:$Y$31,$A45))</f>
        <v/>
      </c>
    </row>
    <row r="46">
      <c r="A46" s="9" t="n">
        <v>12</v>
      </c>
      <c r="B46" s="23">
        <f>IF(A46&gt;$C$3,"",A46/($C$3+1))</f>
        <v/>
      </c>
      <c r="C46" s="13">
        <f>IF($A46&gt;$C$3,"",LARGE(DEBIT_15HARIAN!$B$7:$B$31,$A46))</f>
        <v/>
      </c>
      <c r="D46" s="13">
        <f>IF($A46&gt;$C$3,"",LARGE(DEBIT_15HARIAN!$C$7:$C$31,$A46))</f>
        <v/>
      </c>
      <c r="E46" s="13">
        <f>IF($A46&gt;$C$3,"",LARGE(DEBIT_15HARIAN!$D$7:$D$31,$A46))</f>
        <v/>
      </c>
      <c r="F46" s="13">
        <f>IF($A46&gt;$C$3,"",LARGE(DEBIT_15HARIAN!$E$7:$E$31,$A46))</f>
        <v/>
      </c>
      <c r="G46" s="13">
        <f>IF($A46&gt;$C$3,"",LARGE(DEBIT_15HARIAN!$F$7:$F$31,$A46))</f>
        <v/>
      </c>
      <c r="H46" s="13">
        <f>IF($A46&gt;$C$3,"",LARGE(DEBIT_15HARIAN!$G$7:$G$31,$A46))</f>
        <v/>
      </c>
      <c r="I46" s="13">
        <f>IF($A46&gt;$C$3,"",LARGE(DEBIT_15HARIAN!$H$7:$H$31,$A46))</f>
        <v/>
      </c>
      <c r="J46" s="13">
        <f>IF($A46&gt;$C$3,"",LARGE(DEBIT_15HARIAN!$I$7:$I$31,$A46))</f>
        <v/>
      </c>
      <c r="K46" s="13">
        <f>IF($A46&gt;$C$3,"",LARGE(DEBIT_15HARIAN!$J$7:$J$31,$A46))</f>
        <v/>
      </c>
      <c r="L46" s="13">
        <f>IF($A46&gt;$C$3,"",LARGE(DEBIT_15HARIAN!$K$7:$K$31,$A46))</f>
        <v/>
      </c>
      <c r="M46" s="13">
        <f>IF($A46&gt;$C$3,"",LARGE(DEBIT_15HARIAN!$L$7:$L$31,$A46))</f>
        <v/>
      </c>
      <c r="N46" s="13">
        <f>IF($A46&gt;$C$3,"",LARGE(DEBIT_15HARIAN!$M$7:$M$31,$A46))</f>
        <v/>
      </c>
      <c r="O46" s="13">
        <f>IF($A46&gt;$C$3,"",LARGE(DEBIT_15HARIAN!$N$7:$N$31,$A46))</f>
        <v/>
      </c>
      <c r="P46" s="13">
        <f>IF($A46&gt;$C$3,"",LARGE(DEBIT_15HARIAN!$O$7:$O$31,$A46))</f>
        <v/>
      </c>
      <c r="Q46" s="13">
        <f>IF($A46&gt;$C$3,"",LARGE(DEBIT_15HARIAN!$P$7:$P$31,$A46))</f>
        <v/>
      </c>
      <c r="R46" s="13">
        <f>IF($A46&gt;$C$3,"",LARGE(DEBIT_15HARIAN!$Q$7:$Q$31,$A46))</f>
        <v/>
      </c>
      <c r="S46" s="13">
        <f>IF($A46&gt;$C$3,"",LARGE(DEBIT_15HARIAN!$R$7:$R$31,$A46))</f>
        <v/>
      </c>
      <c r="T46" s="13">
        <f>IF($A46&gt;$C$3,"",LARGE(DEBIT_15HARIAN!$S$7:$S$31,$A46))</f>
        <v/>
      </c>
      <c r="U46" s="13">
        <f>IF($A46&gt;$C$3,"",LARGE(DEBIT_15HARIAN!$T$7:$T$31,$A46))</f>
        <v/>
      </c>
      <c r="V46" s="13">
        <f>IF($A46&gt;$C$3,"",LARGE(DEBIT_15HARIAN!$U$7:$U$31,$A46))</f>
        <v/>
      </c>
      <c r="W46" s="13">
        <f>IF($A46&gt;$C$3,"",LARGE(DEBIT_15HARIAN!$V$7:$V$31,$A46))</f>
        <v/>
      </c>
      <c r="X46" s="13">
        <f>IF($A46&gt;$C$3,"",LARGE(DEBIT_15HARIAN!$W$7:$W$31,$A46))</f>
        <v/>
      </c>
      <c r="Y46" s="13">
        <f>IF($A46&gt;$C$3,"",LARGE(DEBIT_15HARIAN!$X$7:$X$31,$A46))</f>
        <v/>
      </c>
      <c r="Z46" s="13">
        <f>IF($A46&gt;$C$3,"",LARGE(DEBIT_15HARIAN!$Y$7:$Y$31,$A46))</f>
        <v/>
      </c>
    </row>
    <row r="47">
      <c r="A47" s="9" t="n">
        <v>13</v>
      </c>
      <c r="B47" s="23">
        <f>IF(A47&gt;$C$3,"",A47/($C$3+1))</f>
        <v/>
      </c>
      <c r="C47" s="13">
        <f>IF($A47&gt;$C$3,"",LARGE(DEBIT_15HARIAN!$B$7:$B$31,$A47))</f>
        <v/>
      </c>
      <c r="D47" s="13">
        <f>IF($A47&gt;$C$3,"",LARGE(DEBIT_15HARIAN!$C$7:$C$31,$A47))</f>
        <v/>
      </c>
      <c r="E47" s="13">
        <f>IF($A47&gt;$C$3,"",LARGE(DEBIT_15HARIAN!$D$7:$D$31,$A47))</f>
        <v/>
      </c>
      <c r="F47" s="13">
        <f>IF($A47&gt;$C$3,"",LARGE(DEBIT_15HARIAN!$E$7:$E$31,$A47))</f>
        <v/>
      </c>
      <c r="G47" s="13">
        <f>IF($A47&gt;$C$3,"",LARGE(DEBIT_15HARIAN!$F$7:$F$31,$A47))</f>
        <v/>
      </c>
      <c r="H47" s="13">
        <f>IF($A47&gt;$C$3,"",LARGE(DEBIT_15HARIAN!$G$7:$G$31,$A47))</f>
        <v/>
      </c>
      <c r="I47" s="13">
        <f>IF($A47&gt;$C$3,"",LARGE(DEBIT_15HARIAN!$H$7:$H$31,$A47))</f>
        <v/>
      </c>
      <c r="J47" s="13">
        <f>IF($A47&gt;$C$3,"",LARGE(DEBIT_15HARIAN!$I$7:$I$31,$A47))</f>
        <v/>
      </c>
      <c r="K47" s="13">
        <f>IF($A47&gt;$C$3,"",LARGE(DEBIT_15HARIAN!$J$7:$J$31,$A47))</f>
        <v/>
      </c>
      <c r="L47" s="13">
        <f>IF($A47&gt;$C$3,"",LARGE(DEBIT_15HARIAN!$K$7:$K$31,$A47))</f>
        <v/>
      </c>
      <c r="M47" s="13">
        <f>IF($A47&gt;$C$3,"",LARGE(DEBIT_15HARIAN!$L$7:$L$31,$A47))</f>
        <v/>
      </c>
      <c r="N47" s="13">
        <f>IF($A47&gt;$C$3,"",LARGE(DEBIT_15HARIAN!$M$7:$M$31,$A47))</f>
        <v/>
      </c>
      <c r="O47" s="13">
        <f>IF($A47&gt;$C$3,"",LARGE(DEBIT_15HARIAN!$N$7:$N$31,$A47))</f>
        <v/>
      </c>
      <c r="P47" s="13">
        <f>IF($A47&gt;$C$3,"",LARGE(DEBIT_15HARIAN!$O$7:$O$31,$A47))</f>
        <v/>
      </c>
      <c r="Q47" s="13">
        <f>IF($A47&gt;$C$3,"",LARGE(DEBIT_15HARIAN!$P$7:$P$31,$A47))</f>
        <v/>
      </c>
      <c r="R47" s="13">
        <f>IF($A47&gt;$C$3,"",LARGE(DEBIT_15HARIAN!$Q$7:$Q$31,$A47))</f>
        <v/>
      </c>
      <c r="S47" s="13">
        <f>IF($A47&gt;$C$3,"",LARGE(DEBIT_15HARIAN!$R$7:$R$31,$A47))</f>
        <v/>
      </c>
      <c r="T47" s="13">
        <f>IF($A47&gt;$C$3,"",LARGE(DEBIT_15HARIAN!$S$7:$S$31,$A47))</f>
        <v/>
      </c>
      <c r="U47" s="13">
        <f>IF($A47&gt;$C$3,"",LARGE(DEBIT_15HARIAN!$T$7:$T$31,$A47))</f>
        <v/>
      </c>
      <c r="V47" s="13">
        <f>IF($A47&gt;$C$3,"",LARGE(DEBIT_15HARIAN!$U$7:$U$31,$A47))</f>
        <v/>
      </c>
      <c r="W47" s="13">
        <f>IF($A47&gt;$C$3,"",LARGE(DEBIT_15HARIAN!$V$7:$V$31,$A47))</f>
        <v/>
      </c>
      <c r="X47" s="13">
        <f>IF($A47&gt;$C$3,"",LARGE(DEBIT_15HARIAN!$W$7:$W$31,$A47))</f>
        <v/>
      </c>
      <c r="Y47" s="13">
        <f>IF($A47&gt;$C$3,"",LARGE(DEBIT_15HARIAN!$X$7:$X$31,$A47))</f>
        <v/>
      </c>
      <c r="Z47" s="13">
        <f>IF($A47&gt;$C$3,"",LARGE(DEBIT_15HARIAN!$Y$7:$Y$31,$A47))</f>
        <v/>
      </c>
    </row>
    <row r="48">
      <c r="A48" s="9" t="n">
        <v>14</v>
      </c>
      <c r="B48" s="23">
        <f>IF(A48&gt;$C$3,"",A48/($C$3+1))</f>
        <v/>
      </c>
      <c r="C48" s="13">
        <f>IF($A48&gt;$C$3,"",LARGE(DEBIT_15HARIAN!$B$7:$B$31,$A48))</f>
        <v/>
      </c>
      <c r="D48" s="13">
        <f>IF($A48&gt;$C$3,"",LARGE(DEBIT_15HARIAN!$C$7:$C$31,$A48))</f>
        <v/>
      </c>
      <c r="E48" s="13">
        <f>IF($A48&gt;$C$3,"",LARGE(DEBIT_15HARIAN!$D$7:$D$31,$A48))</f>
        <v/>
      </c>
      <c r="F48" s="13">
        <f>IF($A48&gt;$C$3,"",LARGE(DEBIT_15HARIAN!$E$7:$E$31,$A48))</f>
        <v/>
      </c>
      <c r="G48" s="13">
        <f>IF($A48&gt;$C$3,"",LARGE(DEBIT_15HARIAN!$F$7:$F$31,$A48))</f>
        <v/>
      </c>
      <c r="H48" s="13">
        <f>IF($A48&gt;$C$3,"",LARGE(DEBIT_15HARIAN!$G$7:$G$31,$A48))</f>
        <v/>
      </c>
      <c r="I48" s="13">
        <f>IF($A48&gt;$C$3,"",LARGE(DEBIT_15HARIAN!$H$7:$H$31,$A48))</f>
        <v/>
      </c>
      <c r="J48" s="13">
        <f>IF($A48&gt;$C$3,"",LARGE(DEBIT_15HARIAN!$I$7:$I$31,$A48))</f>
        <v/>
      </c>
      <c r="K48" s="13">
        <f>IF($A48&gt;$C$3,"",LARGE(DEBIT_15HARIAN!$J$7:$J$31,$A48))</f>
        <v/>
      </c>
      <c r="L48" s="13">
        <f>IF($A48&gt;$C$3,"",LARGE(DEBIT_15HARIAN!$K$7:$K$31,$A48))</f>
        <v/>
      </c>
      <c r="M48" s="13">
        <f>IF($A48&gt;$C$3,"",LARGE(DEBIT_15HARIAN!$L$7:$L$31,$A48))</f>
        <v/>
      </c>
      <c r="N48" s="13">
        <f>IF($A48&gt;$C$3,"",LARGE(DEBIT_15HARIAN!$M$7:$M$31,$A48))</f>
        <v/>
      </c>
      <c r="O48" s="13">
        <f>IF($A48&gt;$C$3,"",LARGE(DEBIT_15HARIAN!$N$7:$N$31,$A48))</f>
        <v/>
      </c>
      <c r="P48" s="13">
        <f>IF($A48&gt;$C$3,"",LARGE(DEBIT_15HARIAN!$O$7:$O$31,$A48))</f>
        <v/>
      </c>
      <c r="Q48" s="13">
        <f>IF($A48&gt;$C$3,"",LARGE(DEBIT_15HARIAN!$P$7:$P$31,$A48))</f>
        <v/>
      </c>
      <c r="R48" s="13">
        <f>IF($A48&gt;$C$3,"",LARGE(DEBIT_15HARIAN!$Q$7:$Q$31,$A48))</f>
        <v/>
      </c>
      <c r="S48" s="13">
        <f>IF($A48&gt;$C$3,"",LARGE(DEBIT_15HARIAN!$R$7:$R$31,$A48))</f>
        <v/>
      </c>
      <c r="T48" s="13">
        <f>IF($A48&gt;$C$3,"",LARGE(DEBIT_15HARIAN!$S$7:$S$31,$A48))</f>
        <v/>
      </c>
      <c r="U48" s="13">
        <f>IF($A48&gt;$C$3,"",LARGE(DEBIT_15HARIAN!$T$7:$T$31,$A48))</f>
        <v/>
      </c>
      <c r="V48" s="13">
        <f>IF($A48&gt;$C$3,"",LARGE(DEBIT_15HARIAN!$U$7:$U$31,$A48))</f>
        <v/>
      </c>
      <c r="W48" s="13">
        <f>IF($A48&gt;$C$3,"",LARGE(DEBIT_15HARIAN!$V$7:$V$31,$A48))</f>
        <v/>
      </c>
      <c r="X48" s="13">
        <f>IF($A48&gt;$C$3,"",LARGE(DEBIT_15HARIAN!$W$7:$W$31,$A48))</f>
        <v/>
      </c>
      <c r="Y48" s="13">
        <f>IF($A48&gt;$C$3,"",LARGE(DEBIT_15HARIAN!$X$7:$X$31,$A48))</f>
        <v/>
      </c>
      <c r="Z48" s="13">
        <f>IF($A48&gt;$C$3,"",LARGE(DEBIT_15HARIAN!$Y$7:$Y$31,$A48))</f>
        <v/>
      </c>
    </row>
    <row r="49">
      <c r="A49" s="9" t="n">
        <v>15</v>
      </c>
      <c r="B49" s="23">
        <f>IF(A49&gt;$C$3,"",A49/($C$3+1))</f>
        <v/>
      </c>
      <c r="C49" s="13">
        <f>IF($A49&gt;$C$3,"",LARGE(DEBIT_15HARIAN!$B$7:$B$31,$A49))</f>
        <v/>
      </c>
      <c r="D49" s="13">
        <f>IF($A49&gt;$C$3,"",LARGE(DEBIT_15HARIAN!$C$7:$C$31,$A49))</f>
        <v/>
      </c>
      <c r="E49" s="13">
        <f>IF($A49&gt;$C$3,"",LARGE(DEBIT_15HARIAN!$D$7:$D$31,$A49))</f>
        <v/>
      </c>
      <c r="F49" s="13">
        <f>IF($A49&gt;$C$3,"",LARGE(DEBIT_15HARIAN!$E$7:$E$31,$A49))</f>
        <v/>
      </c>
      <c r="G49" s="13">
        <f>IF($A49&gt;$C$3,"",LARGE(DEBIT_15HARIAN!$F$7:$F$31,$A49))</f>
        <v/>
      </c>
      <c r="H49" s="13">
        <f>IF($A49&gt;$C$3,"",LARGE(DEBIT_15HARIAN!$G$7:$G$31,$A49))</f>
        <v/>
      </c>
      <c r="I49" s="13">
        <f>IF($A49&gt;$C$3,"",LARGE(DEBIT_15HARIAN!$H$7:$H$31,$A49))</f>
        <v/>
      </c>
      <c r="J49" s="13">
        <f>IF($A49&gt;$C$3,"",LARGE(DEBIT_15HARIAN!$I$7:$I$31,$A49))</f>
        <v/>
      </c>
      <c r="K49" s="13">
        <f>IF($A49&gt;$C$3,"",LARGE(DEBIT_15HARIAN!$J$7:$J$31,$A49))</f>
        <v/>
      </c>
      <c r="L49" s="13">
        <f>IF($A49&gt;$C$3,"",LARGE(DEBIT_15HARIAN!$K$7:$K$31,$A49))</f>
        <v/>
      </c>
      <c r="M49" s="13">
        <f>IF($A49&gt;$C$3,"",LARGE(DEBIT_15HARIAN!$L$7:$L$31,$A49))</f>
        <v/>
      </c>
      <c r="N49" s="13">
        <f>IF($A49&gt;$C$3,"",LARGE(DEBIT_15HARIAN!$M$7:$M$31,$A49))</f>
        <v/>
      </c>
      <c r="O49" s="13">
        <f>IF($A49&gt;$C$3,"",LARGE(DEBIT_15HARIAN!$N$7:$N$31,$A49))</f>
        <v/>
      </c>
      <c r="P49" s="13">
        <f>IF($A49&gt;$C$3,"",LARGE(DEBIT_15HARIAN!$O$7:$O$31,$A49))</f>
        <v/>
      </c>
      <c r="Q49" s="13">
        <f>IF($A49&gt;$C$3,"",LARGE(DEBIT_15HARIAN!$P$7:$P$31,$A49))</f>
        <v/>
      </c>
      <c r="R49" s="13">
        <f>IF($A49&gt;$C$3,"",LARGE(DEBIT_15HARIAN!$Q$7:$Q$31,$A49))</f>
        <v/>
      </c>
      <c r="S49" s="13">
        <f>IF($A49&gt;$C$3,"",LARGE(DEBIT_15HARIAN!$R$7:$R$31,$A49))</f>
        <v/>
      </c>
      <c r="T49" s="13">
        <f>IF($A49&gt;$C$3,"",LARGE(DEBIT_15HARIAN!$S$7:$S$31,$A49))</f>
        <v/>
      </c>
      <c r="U49" s="13">
        <f>IF($A49&gt;$C$3,"",LARGE(DEBIT_15HARIAN!$T$7:$T$31,$A49))</f>
        <v/>
      </c>
      <c r="V49" s="13">
        <f>IF($A49&gt;$C$3,"",LARGE(DEBIT_15HARIAN!$U$7:$U$31,$A49))</f>
        <v/>
      </c>
      <c r="W49" s="13">
        <f>IF($A49&gt;$C$3,"",LARGE(DEBIT_15HARIAN!$V$7:$V$31,$A49))</f>
        <v/>
      </c>
      <c r="X49" s="13">
        <f>IF($A49&gt;$C$3,"",LARGE(DEBIT_15HARIAN!$W$7:$W$31,$A49))</f>
        <v/>
      </c>
      <c r="Y49" s="13">
        <f>IF($A49&gt;$C$3,"",LARGE(DEBIT_15HARIAN!$X$7:$X$31,$A49))</f>
        <v/>
      </c>
      <c r="Z49" s="13">
        <f>IF($A49&gt;$C$3,"",LARGE(DEBIT_15HARIAN!$Y$7:$Y$31,$A49))</f>
        <v/>
      </c>
    </row>
    <row r="50">
      <c r="A50" s="9" t="n">
        <v>16</v>
      </c>
      <c r="B50" s="23">
        <f>IF(A50&gt;$C$3,"",A50/($C$3+1))</f>
        <v/>
      </c>
      <c r="C50" s="13">
        <f>IF($A50&gt;$C$3,"",LARGE(DEBIT_15HARIAN!$B$7:$B$31,$A50))</f>
        <v/>
      </c>
      <c r="D50" s="13">
        <f>IF($A50&gt;$C$3,"",LARGE(DEBIT_15HARIAN!$C$7:$C$31,$A50))</f>
        <v/>
      </c>
      <c r="E50" s="13">
        <f>IF($A50&gt;$C$3,"",LARGE(DEBIT_15HARIAN!$D$7:$D$31,$A50))</f>
        <v/>
      </c>
      <c r="F50" s="13">
        <f>IF($A50&gt;$C$3,"",LARGE(DEBIT_15HARIAN!$E$7:$E$31,$A50))</f>
        <v/>
      </c>
      <c r="G50" s="13">
        <f>IF($A50&gt;$C$3,"",LARGE(DEBIT_15HARIAN!$F$7:$F$31,$A50))</f>
        <v/>
      </c>
      <c r="H50" s="13">
        <f>IF($A50&gt;$C$3,"",LARGE(DEBIT_15HARIAN!$G$7:$G$31,$A50))</f>
        <v/>
      </c>
      <c r="I50" s="13">
        <f>IF($A50&gt;$C$3,"",LARGE(DEBIT_15HARIAN!$H$7:$H$31,$A50))</f>
        <v/>
      </c>
      <c r="J50" s="13">
        <f>IF($A50&gt;$C$3,"",LARGE(DEBIT_15HARIAN!$I$7:$I$31,$A50))</f>
        <v/>
      </c>
      <c r="K50" s="13">
        <f>IF($A50&gt;$C$3,"",LARGE(DEBIT_15HARIAN!$J$7:$J$31,$A50))</f>
        <v/>
      </c>
      <c r="L50" s="13">
        <f>IF($A50&gt;$C$3,"",LARGE(DEBIT_15HARIAN!$K$7:$K$31,$A50))</f>
        <v/>
      </c>
      <c r="M50" s="13">
        <f>IF($A50&gt;$C$3,"",LARGE(DEBIT_15HARIAN!$L$7:$L$31,$A50))</f>
        <v/>
      </c>
      <c r="N50" s="13">
        <f>IF($A50&gt;$C$3,"",LARGE(DEBIT_15HARIAN!$M$7:$M$31,$A50))</f>
        <v/>
      </c>
      <c r="O50" s="13">
        <f>IF($A50&gt;$C$3,"",LARGE(DEBIT_15HARIAN!$N$7:$N$31,$A50))</f>
        <v/>
      </c>
      <c r="P50" s="13">
        <f>IF($A50&gt;$C$3,"",LARGE(DEBIT_15HARIAN!$O$7:$O$31,$A50))</f>
        <v/>
      </c>
      <c r="Q50" s="13">
        <f>IF($A50&gt;$C$3,"",LARGE(DEBIT_15HARIAN!$P$7:$P$31,$A50))</f>
        <v/>
      </c>
      <c r="R50" s="13">
        <f>IF($A50&gt;$C$3,"",LARGE(DEBIT_15HARIAN!$Q$7:$Q$31,$A50))</f>
        <v/>
      </c>
      <c r="S50" s="13">
        <f>IF($A50&gt;$C$3,"",LARGE(DEBIT_15HARIAN!$R$7:$R$31,$A50))</f>
        <v/>
      </c>
      <c r="T50" s="13">
        <f>IF($A50&gt;$C$3,"",LARGE(DEBIT_15HARIAN!$S$7:$S$31,$A50))</f>
        <v/>
      </c>
      <c r="U50" s="13">
        <f>IF($A50&gt;$C$3,"",LARGE(DEBIT_15HARIAN!$T$7:$T$31,$A50))</f>
        <v/>
      </c>
      <c r="V50" s="13">
        <f>IF($A50&gt;$C$3,"",LARGE(DEBIT_15HARIAN!$U$7:$U$31,$A50))</f>
        <v/>
      </c>
      <c r="W50" s="13">
        <f>IF($A50&gt;$C$3,"",LARGE(DEBIT_15HARIAN!$V$7:$V$31,$A50))</f>
        <v/>
      </c>
      <c r="X50" s="13">
        <f>IF($A50&gt;$C$3,"",LARGE(DEBIT_15HARIAN!$W$7:$W$31,$A50))</f>
        <v/>
      </c>
      <c r="Y50" s="13">
        <f>IF($A50&gt;$C$3,"",LARGE(DEBIT_15HARIAN!$X$7:$X$31,$A50))</f>
        <v/>
      </c>
      <c r="Z50" s="13">
        <f>IF($A50&gt;$C$3,"",LARGE(DEBIT_15HARIAN!$Y$7:$Y$31,$A50))</f>
        <v/>
      </c>
    </row>
    <row r="51">
      <c r="A51" s="9" t="n">
        <v>17</v>
      </c>
      <c r="B51" s="23">
        <f>IF(A51&gt;$C$3,"",A51/($C$3+1))</f>
        <v/>
      </c>
      <c r="C51" s="13">
        <f>IF($A51&gt;$C$3,"",LARGE(DEBIT_15HARIAN!$B$7:$B$31,$A51))</f>
        <v/>
      </c>
      <c r="D51" s="13">
        <f>IF($A51&gt;$C$3,"",LARGE(DEBIT_15HARIAN!$C$7:$C$31,$A51))</f>
        <v/>
      </c>
      <c r="E51" s="13">
        <f>IF($A51&gt;$C$3,"",LARGE(DEBIT_15HARIAN!$D$7:$D$31,$A51))</f>
        <v/>
      </c>
      <c r="F51" s="13">
        <f>IF($A51&gt;$C$3,"",LARGE(DEBIT_15HARIAN!$E$7:$E$31,$A51))</f>
        <v/>
      </c>
      <c r="G51" s="13">
        <f>IF($A51&gt;$C$3,"",LARGE(DEBIT_15HARIAN!$F$7:$F$31,$A51))</f>
        <v/>
      </c>
      <c r="H51" s="13">
        <f>IF($A51&gt;$C$3,"",LARGE(DEBIT_15HARIAN!$G$7:$G$31,$A51))</f>
        <v/>
      </c>
      <c r="I51" s="13">
        <f>IF($A51&gt;$C$3,"",LARGE(DEBIT_15HARIAN!$H$7:$H$31,$A51))</f>
        <v/>
      </c>
      <c r="J51" s="13">
        <f>IF($A51&gt;$C$3,"",LARGE(DEBIT_15HARIAN!$I$7:$I$31,$A51))</f>
        <v/>
      </c>
      <c r="K51" s="13">
        <f>IF($A51&gt;$C$3,"",LARGE(DEBIT_15HARIAN!$J$7:$J$31,$A51))</f>
        <v/>
      </c>
      <c r="L51" s="13">
        <f>IF($A51&gt;$C$3,"",LARGE(DEBIT_15HARIAN!$K$7:$K$31,$A51))</f>
        <v/>
      </c>
      <c r="M51" s="13">
        <f>IF($A51&gt;$C$3,"",LARGE(DEBIT_15HARIAN!$L$7:$L$31,$A51))</f>
        <v/>
      </c>
      <c r="N51" s="13">
        <f>IF($A51&gt;$C$3,"",LARGE(DEBIT_15HARIAN!$M$7:$M$31,$A51))</f>
        <v/>
      </c>
      <c r="O51" s="13">
        <f>IF($A51&gt;$C$3,"",LARGE(DEBIT_15HARIAN!$N$7:$N$31,$A51))</f>
        <v/>
      </c>
      <c r="P51" s="13">
        <f>IF($A51&gt;$C$3,"",LARGE(DEBIT_15HARIAN!$O$7:$O$31,$A51))</f>
        <v/>
      </c>
      <c r="Q51" s="13">
        <f>IF($A51&gt;$C$3,"",LARGE(DEBIT_15HARIAN!$P$7:$P$31,$A51))</f>
        <v/>
      </c>
      <c r="R51" s="13">
        <f>IF($A51&gt;$C$3,"",LARGE(DEBIT_15HARIAN!$Q$7:$Q$31,$A51))</f>
        <v/>
      </c>
      <c r="S51" s="13">
        <f>IF($A51&gt;$C$3,"",LARGE(DEBIT_15HARIAN!$R$7:$R$31,$A51))</f>
        <v/>
      </c>
      <c r="T51" s="13">
        <f>IF($A51&gt;$C$3,"",LARGE(DEBIT_15HARIAN!$S$7:$S$31,$A51))</f>
        <v/>
      </c>
      <c r="U51" s="13">
        <f>IF($A51&gt;$C$3,"",LARGE(DEBIT_15HARIAN!$T$7:$T$31,$A51))</f>
        <v/>
      </c>
      <c r="V51" s="13">
        <f>IF($A51&gt;$C$3,"",LARGE(DEBIT_15HARIAN!$U$7:$U$31,$A51))</f>
        <v/>
      </c>
      <c r="W51" s="13">
        <f>IF($A51&gt;$C$3,"",LARGE(DEBIT_15HARIAN!$V$7:$V$31,$A51))</f>
        <v/>
      </c>
      <c r="X51" s="13">
        <f>IF($A51&gt;$C$3,"",LARGE(DEBIT_15HARIAN!$W$7:$W$31,$A51))</f>
        <v/>
      </c>
      <c r="Y51" s="13">
        <f>IF($A51&gt;$C$3,"",LARGE(DEBIT_15HARIAN!$X$7:$X$31,$A51))</f>
        <v/>
      </c>
      <c r="Z51" s="13">
        <f>IF($A51&gt;$C$3,"",LARGE(DEBIT_15HARIAN!$Y$7:$Y$31,$A51))</f>
        <v/>
      </c>
    </row>
    <row r="52">
      <c r="A52" s="9" t="n">
        <v>18</v>
      </c>
      <c r="B52" s="23">
        <f>IF(A52&gt;$C$3,"",A52/($C$3+1))</f>
        <v/>
      </c>
      <c r="C52" s="13">
        <f>IF($A52&gt;$C$3,"",LARGE(DEBIT_15HARIAN!$B$7:$B$31,$A52))</f>
        <v/>
      </c>
      <c r="D52" s="13">
        <f>IF($A52&gt;$C$3,"",LARGE(DEBIT_15HARIAN!$C$7:$C$31,$A52))</f>
        <v/>
      </c>
      <c r="E52" s="13">
        <f>IF($A52&gt;$C$3,"",LARGE(DEBIT_15HARIAN!$D$7:$D$31,$A52))</f>
        <v/>
      </c>
      <c r="F52" s="13">
        <f>IF($A52&gt;$C$3,"",LARGE(DEBIT_15HARIAN!$E$7:$E$31,$A52))</f>
        <v/>
      </c>
      <c r="G52" s="13">
        <f>IF($A52&gt;$C$3,"",LARGE(DEBIT_15HARIAN!$F$7:$F$31,$A52))</f>
        <v/>
      </c>
      <c r="H52" s="13">
        <f>IF($A52&gt;$C$3,"",LARGE(DEBIT_15HARIAN!$G$7:$G$31,$A52))</f>
        <v/>
      </c>
      <c r="I52" s="13">
        <f>IF($A52&gt;$C$3,"",LARGE(DEBIT_15HARIAN!$H$7:$H$31,$A52))</f>
        <v/>
      </c>
      <c r="J52" s="13">
        <f>IF($A52&gt;$C$3,"",LARGE(DEBIT_15HARIAN!$I$7:$I$31,$A52))</f>
        <v/>
      </c>
      <c r="K52" s="13">
        <f>IF($A52&gt;$C$3,"",LARGE(DEBIT_15HARIAN!$J$7:$J$31,$A52))</f>
        <v/>
      </c>
      <c r="L52" s="13">
        <f>IF($A52&gt;$C$3,"",LARGE(DEBIT_15HARIAN!$K$7:$K$31,$A52))</f>
        <v/>
      </c>
      <c r="M52" s="13">
        <f>IF($A52&gt;$C$3,"",LARGE(DEBIT_15HARIAN!$L$7:$L$31,$A52))</f>
        <v/>
      </c>
      <c r="N52" s="13">
        <f>IF($A52&gt;$C$3,"",LARGE(DEBIT_15HARIAN!$M$7:$M$31,$A52))</f>
        <v/>
      </c>
      <c r="O52" s="13">
        <f>IF($A52&gt;$C$3,"",LARGE(DEBIT_15HARIAN!$N$7:$N$31,$A52))</f>
        <v/>
      </c>
      <c r="P52" s="13">
        <f>IF($A52&gt;$C$3,"",LARGE(DEBIT_15HARIAN!$O$7:$O$31,$A52))</f>
        <v/>
      </c>
      <c r="Q52" s="13">
        <f>IF($A52&gt;$C$3,"",LARGE(DEBIT_15HARIAN!$P$7:$P$31,$A52))</f>
        <v/>
      </c>
      <c r="R52" s="13">
        <f>IF($A52&gt;$C$3,"",LARGE(DEBIT_15HARIAN!$Q$7:$Q$31,$A52))</f>
        <v/>
      </c>
      <c r="S52" s="13">
        <f>IF($A52&gt;$C$3,"",LARGE(DEBIT_15HARIAN!$R$7:$R$31,$A52))</f>
        <v/>
      </c>
      <c r="T52" s="13">
        <f>IF($A52&gt;$C$3,"",LARGE(DEBIT_15HARIAN!$S$7:$S$31,$A52))</f>
        <v/>
      </c>
      <c r="U52" s="13">
        <f>IF($A52&gt;$C$3,"",LARGE(DEBIT_15HARIAN!$T$7:$T$31,$A52))</f>
        <v/>
      </c>
      <c r="V52" s="13">
        <f>IF($A52&gt;$C$3,"",LARGE(DEBIT_15HARIAN!$U$7:$U$31,$A52))</f>
        <v/>
      </c>
      <c r="W52" s="13">
        <f>IF($A52&gt;$C$3,"",LARGE(DEBIT_15HARIAN!$V$7:$V$31,$A52))</f>
        <v/>
      </c>
      <c r="X52" s="13">
        <f>IF($A52&gt;$C$3,"",LARGE(DEBIT_15HARIAN!$W$7:$W$31,$A52))</f>
        <v/>
      </c>
      <c r="Y52" s="13">
        <f>IF($A52&gt;$C$3,"",LARGE(DEBIT_15HARIAN!$X$7:$X$31,$A52))</f>
        <v/>
      </c>
      <c r="Z52" s="13">
        <f>IF($A52&gt;$C$3,"",LARGE(DEBIT_15HARIAN!$Y$7:$Y$31,$A52))</f>
        <v/>
      </c>
    </row>
    <row r="53">
      <c r="A53" s="9" t="n">
        <v>19</v>
      </c>
      <c r="B53" s="23">
        <f>IF(A53&gt;$C$3,"",A53/($C$3+1))</f>
        <v/>
      </c>
      <c r="C53" s="13">
        <f>IF($A53&gt;$C$3,"",LARGE(DEBIT_15HARIAN!$B$7:$B$31,$A53))</f>
        <v/>
      </c>
      <c r="D53" s="13">
        <f>IF($A53&gt;$C$3,"",LARGE(DEBIT_15HARIAN!$C$7:$C$31,$A53))</f>
        <v/>
      </c>
      <c r="E53" s="13">
        <f>IF($A53&gt;$C$3,"",LARGE(DEBIT_15HARIAN!$D$7:$D$31,$A53))</f>
        <v/>
      </c>
      <c r="F53" s="13">
        <f>IF($A53&gt;$C$3,"",LARGE(DEBIT_15HARIAN!$E$7:$E$31,$A53))</f>
        <v/>
      </c>
      <c r="G53" s="13">
        <f>IF($A53&gt;$C$3,"",LARGE(DEBIT_15HARIAN!$F$7:$F$31,$A53))</f>
        <v/>
      </c>
      <c r="H53" s="13">
        <f>IF($A53&gt;$C$3,"",LARGE(DEBIT_15HARIAN!$G$7:$G$31,$A53))</f>
        <v/>
      </c>
      <c r="I53" s="13">
        <f>IF($A53&gt;$C$3,"",LARGE(DEBIT_15HARIAN!$H$7:$H$31,$A53))</f>
        <v/>
      </c>
      <c r="J53" s="13">
        <f>IF($A53&gt;$C$3,"",LARGE(DEBIT_15HARIAN!$I$7:$I$31,$A53))</f>
        <v/>
      </c>
      <c r="K53" s="13">
        <f>IF($A53&gt;$C$3,"",LARGE(DEBIT_15HARIAN!$J$7:$J$31,$A53))</f>
        <v/>
      </c>
      <c r="L53" s="13">
        <f>IF($A53&gt;$C$3,"",LARGE(DEBIT_15HARIAN!$K$7:$K$31,$A53))</f>
        <v/>
      </c>
      <c r="M53" s="13">
        <f>IF($A53&gt;$C$3,"",LARGE(DEBIT_15HARIAN!$L$7:$L$31,$A53))</f>
        <v/>
      </c>
      <c r="N53" s="13">
        <f>IF($A53&gt;$C$3,"",LARGE(DEBIT_15HARIAN!$M$7:$M$31,$A53))</f>
        <v/>
      </c>
      <c r="O53" s="13">
        <f>IF($A53&gt;$C$3,"",LARGE(DEBIT_15HARIAN!$N$7:$N$31,$A53))</f>
        <v/>
      </c>
      <c r="P53" s="13">
        <f>IF($A53&gt;$C$3,"",LARGE(DEBIT_15HARIAN!$O$7:$O$31,$A53))</f>
        <v/>
      </c>
      <c r="Q53" s="13">
        <f>IF($A53&gt;$C$3,"",LARGE(DEBIT_15HARIAN!$P$7:$P$31,$A53))</f>
        <v/>
      </c>
      <c r="R53" s="13">
        <f>IF($A53&gt;$C$3,"",LARGE(DEBIT_15HARIAN!$Q$7:$Q$31,$A53))</f>
        <v/>
      </c>
      <c r="S53" s="13">
        <f>IF($A53&gt;$C$3,"",LARGE(DEBIT_15HARIAN!$R$7:$R$31,$A53))</f>
        <v/>
      </c>
      <c r="T53" s="13">
        <f>IF($A53&gt;$C$3,"",LARGE(DEBIT_15HARIAN!$S$7:$S$31,$A53))</f>
        <v/>
      </c>
      <c r="U53" s="13">
        <f>IF($A53&gt;$C$3,"",LARGE(DEBIT_15HARIAN!$T$7:$T$31,$A53))</f>
        <v/>
      </c>
      <c r="V53" s="13">
        <f>IF($A53&gt;$C$3,"",LARGE(DEBIT_15HARIAN!$U$7:$U$31,$A53))</f>
        <v/>
      </c>
      <c r="W53" s="13">
        <f>IF($A53&gt;$C$3,"",LARGE(DEBIT_15HARIAN!$V$7:$V$31,$A53))</f>
        <v/>
      </c>
      <c r="X53" s="13">
        <f>IF($A53&gt;$C$3,"",LARGE(DEBIT_15HARIAN!$W$7:$W$31,$A53))</f>
        <v/>
      </c>
      <c r="Y53" s="13">
        <f>IF($A53&gt;$C$3,"",LARGE(DEBIT_15HARIAN!$X$7:$X$31,$A53))</f>
        <v/>
      </c>
      <c r="Z53" s="13">
        <f>IF($A53&gt;$C$3,"",LARGE(DEBIT_15HARIAN!$Y$7:$Y$31,$A53))</f>
        <v/>
      </c>
    </row>
    <row r="54">
      <c r="A54" s="9" t="n">
        <v>20</v>
      </c>
      <c r="B54" s="23">
        <f>IF(A54&gt;$C$3,"",A54/($C$3+1))</f>
        <v/>
      </c>
      <c r="C54" s="13">
        <f>IF($A54&gt;$C$3,"",LARGE(DEBIT_15HARIAN!$B$7:$B$31,$A54))</f>
        <v/>
      </c>
      <c r="D54" s="13">
        <f>IF($A54&gt;$C$3,"",LARGE(DEBIT_15HARIAN!$C$7:$C$31,$A54))</f>
        <v/>
      </c>
      <c r="E54" s="13">
        <f>IF($A54&gt;$C$3,"",LARGE(DEBIT_15HARIAN!$D$7:$D$31,$A54))</f>
        <v/>
      </c>
      <c r="F54" s="13">
        <f>IF($A54&gt;$C$3,"",LARGE(DEBIT_15HARIAN!$E$7:$E$31,$A54))</f>
        <v/>
      </c>
      <c r="G54" s="13">
        <f>IF($A54&gt;$C$3,"",LARGE(DEBIT_15HARIAN!$F$7:$F$31,$A54))</f>
        <v/>
      </c>
      <c r="H54" s="13">
        <f>IF($A54&gt;$C$3,"",LARGE(DEBIT_15HARIAN!$G$7:$G$31,$A54))</f>
        <v/>
      </c>
      <c r="I54" s="13">
        <f>IF($A54&gt;$C$3,"",LARGE(DEBIT_15HARIAN!$H$7:$H$31,$A54))</f>
        <v/>
      </c>
      <c r="J54" s="13">
        <f>IF($A54&gt;$C$3,"",LARGE(DEBIT_15HARIAN!$I$7:$I$31,$A54))</f>
        <v/>
      </c>
      <c r="K54" s="13">
        <f>IF($A54&gt;$C$3,"",LARGE(DEBIT_15HARIAN!$J$7:$J$31,$A54))</f>
        <v/>
      </c>
      <c r="L54" s="13">
        <f>IF($A54&gt;$C$3,"",LARGE(DEBIT_15HARIAN!$K$7:$K$31,$A54))</f>
        <v/>
      </c>
      <c r="M54" s="13">
        <f>IF($A54&gt;$C$3,"",LARGE(DEBIT_15HARIAN!$L$7:$L$31,$A54))</f>
        <v/>
      </c>
      <c r="N54" s="13">
        <f>IF($A54&gt;$C$3,"",LARGE(DEBIT_15HARIAN!$M$7:$M$31,$A54))</f>
        <v/>
      </c>
      <c r="O54" s="13">
        <f>IF($A54&gt;$C$3,"",LARGE(DEBIT_15HARIAN!$N$7:$N$31,$A54))</f>
        <v/>
      </c>
      <c r="P54" s="13">
        <f>IF($A54&gt;$C$3,"",LARGE(DEBIT_15HARIAN!$O$7:$O$31,$A54))</f>
        <v/>
      </c>
      <c r="Q54" s="13">
        <f>IF($A54&gt;$C$3,"",LARGE(DEBIT_15HARIAN!$P$7:$P$31,$A54))</f>
        <v/>
      </c>
      <c r="R54" s="13">
        <f>IF($A54&gt;$C$3,"",LARGE(DEBIT_15HARIAN!$Q$7:$Q$31,$A54))</f>
        <v/>
      </c>
      <c r="S54" s="13">
        <f>IF($A54&gt;$C$3,"",LARGE(DEBIT_15HARIAN!$R$7:$R$31,$A54))</f>
        <v/>
      </c>
      <c r="T54" s="13">
        <f>IF($A54&gt;$C$3,"",LARGE(DEBIT_15HARIAN!$S$7:$S$31,$A54))</f>
        <v/>
      </c>
      <c r="U54" s="13">
        <f>IF($A54&gt;$C$3,"",LARGE(DEBIT_15HARIAN!$T$7:$T$31,$A54))</f>
        <v/>
      </c>
      <c r="V54" s="13">
        <f>IF($A54&gt;$C$3,"",LARGE(DEBIT_15HARIAN!$U$7:$U$31,$A54))</f>
        <v/>
      </c>
      <c r="W54" s="13">
        <f>IF($A54&gt;$C$3,"",LARGE(DEBIT_15HARIAN!$V$7:$V$31,$A54))</f>
        <v/>
      </c>
      <c r="X54" s="13">
        <f>IF($A54&gt;$C$3,"",LARGE(DEBIT_15HARIAN!$W$7:$W$31,$A54))</f>
        <v/>
      </c>
      <c r="Y54" s="13">
        <f>IF($A54&gt;$C$3,"",LARGE(DEBIT_15HARIAN!$X$7:$X$31,$A54))</f>
        <v/>
      </c>
      <c r="Z54" s="13">
        <f>IF($A54&gt;$C$3,"",LARGE(DEBIT_15HARIAN!$Y$7:$Y$31,$A54))</f>
        <v/>
      </c>
    </row>
    <row r="55">
      <c r="A55" s="9" t="n">
        <v>21</v>
      </c>
      <c r="B55" s="23">
        <f>IF(A55&gt;$C$3,"",A55/($C$3+1))</f>
        <v/>
      </c>
      <c r="C55" s="13">
        <f>IF($A55&gt;$C$3,"",LARGE(DEBIT_15HARIAN!$B$7:$B$31,$A55))</f>
        <v/>
      </c>
      <c r="D55" s="13">
        <f>IF($A55&gt;$C$3,"",LARGE(DEBIT_15HARIAN!$C$7:$C$31,$A55))</f>
        <v/>
      </c>
      <c r="E55" s="13">
        <f>IF($A55&gt;$C$3,"",LARGE(DEBIT_15HARIAN!$D$7:$D$31,$A55))</f>
        <v/>
      </c>
      <c r="F55" s="13">
        <f>IF($A55&gt;$C$3,"",LARGE(DEBIT_15HARIAN!$E$7:$E$31,$A55))</f>
        <v/>
      </c>
      <c r="G55" s="13">
        <f>IF($A55&gt;$C$3,"",LARGE(DEBIT_15HARIAN!$F$7:$F$31,$A55))</f>
        <v/>
      </c>
      <c r="H55" s="13">
        <f>IF($A55&gt;$C$3,"",LARGE(DEBIT_15HARIAN!$G$7:$G$31,$A55))</f>
        <v/>
      </c>
      <c r="I55" s="13">
        <f>IF($A55&gt;$C$3,"",LARGE(DEBIT_15HARIAN!$H$7:$H$31,$A55))</f>
        <v/>
      </c>
      <c r="J55" s="13">
        <f>IF($A55&gt;$C$3,"",LARGE(DEBIT_15HARIAN!$I$7:$I$31,$A55))</f>
        <v/>
      </c>
      <c r="K55" s="13">
        <f>IF($A55&gt;$C$3,"",LARGE(DEBIT_15HARIAN!$J$7:$J$31,$A55))</f>
        <v/>
      </c>
      <c r="L55" s="13">
        <f>IF($A55&gt;$C$3,"",LARGE(DEBIT_15HARIAN!$K$7:$K$31,$A55))</f>
        <v/>
      </c>
      <c r="M55" s="13">
        <f>IF($A55&gt;$C$3,"",LARGE(DEBIT_15HARIAN!$L$7:$L$31,$A55))</f>
        <v/>
      </c>
      <c r="N55" s="13">
        <f>IF($A55&gt;$C$3,"",LARGE(DEBIT_15HARIAN!$M$7:$M$31,$A55))</f>
        <v/>
      </c>
      <c r="O55" s="13">
        <f>IF($A55&gt;$C$3,"",LARGE(DEBIT_15HARIAN!$N$7:$N$31,$A55))</f>
        <v/>
      </c>
      <c r="P55" s="13">
        <f>IF($A55&gt;$C$3,"",LARGE(DEBIT_15HARIAN!$O$7:$O$31,$A55))</f>
        <v/>
      </c>
      <c r="Q55" s="13">
        <f>IF($A55&gt;$C$3,"",LARGE(DEBIT_15HARIAN!$P$7:$P$31,$A55))</f>
        <v/>
      </c>
      <c r="R55" s="13">
        <f>IF($A55&gt;$C$3,"",LARGE(DEBIT_15HARIAN!$Q$7:$Q$31,$A55))</f>
        <v/>
      </c>
      <c r="S55" s="13">
        <f>IF($A55&gt;$C$3,"",LARGE(DEBIT_15HARIAN!$R$7:$R$31,$A55))</f>
        <v/>
      </c>
      <c r="T55" s="13">
        <f>IF($A55&gt;$C$3,"",LARGE(DEBIT_15HARIAN!$S$7:$S$31,$A55))</f>
        <v/>
      </c>
      <c r="U55" s="13">
        <f>IF($A55&gt;$C$3,"",LARGE(DEBIT_15HARIAN!$T$7:$T$31,$A55))</f>
        <v/>
      </c>
      <c r="V55" s="13">
        <f>IF($A55&gt;$C$3,"",LARGE(DEBIT_15HARIAN!$U$7:$U$31,$A55))</f>
        <v/>
      </c>
      <c r="W55" s="13">
        <f>IF($A55&gt;$C$3,"",LARGE(DEBIT_15HARIAN!$V$7:$V$31,$A55))</f>
        <v/>
      </c>
      <c r="X55" s="13">
        <f>IF($A55&gt;$C$3,"",LARGE(DEBIT_15HARIAN!$W$7:$W$31,$A55))</f>
        <v/>
      </c>
      <c r="Y55" s="13">
        <f>IF($A55&gt;$C$3,"",LARGE(DEBIT_15HARIAN!$X$7:$X$31,$A55))</f>
        <v/>
      </c>
      <c r="Z55" s="13">
        <f>IF($A55&gt;$C$3,"",LARGE(DEBIT_15HARIAN!$Y$7:$Y$31,$A55))</f>
        <v/>
      </c>
    </row>
    <row r="56">
      <c r="A56" s="9" t="n">
        <v>22</v>
      </c>
      <c r="B56" s="23">
        <f>IF(A56&gt;$C$3,"",A56/($C$3+1))</f>
        <v/>
      </c>
      <c r="C56" s="13">
        <f>IF($A56&gt;$C$3,"",LARGE(DEBIT_15HARIAN!$B$7:$B$31,$A56))</f>
        <v/>
      </c>
      <c r="D56" s="13">
        <f>IF($A56&gt;$C$3,"",LARGE(DEBIT_15HARIAN!$C$7:$C$31,$A56))</f>
        <v/>
      </c>
      <c r="E56" s="13">
        <f>IF($A56&gt;$C$3,"",LARGE(DEBIT_15HARIAN!$D$7:$D$31,$A56))</f>
        <v/>
      </c>
      <c r="F56" s="13">
        <f>IF($A56&gt;$C$3,"",LARGE(DEBIT_15HARIAN!$E$7:$E$31,$A56))</f>
        <v/>
      </c>
      <c r="G56" s="13">
        <f>IF($A56&gt;$C$3,"",LARGE(DEBIT_15HARIAN!$F$7:$F$31,$A56))</f>
        <v/>
      </c>
      <c r="H56" s="13">
        <f>IF($A56&gt;$C$3,"",LARGE(DEBIT_15HARIAN!$G$7:$G$31,$A56))</f>
        <v/>
      </c>
      <c r="I56" s="13">
        <f>IF($A56&gt;$C$3,"",LARGE(DEBIT_15HARIAN!$H$7:$H$31,$A56))</f>
        <v/>
      </c>
      <c r="J56" s="13">
        <f>IF($A56&gt;$C$3,"",LARGE(DEBIT_15HARIAN!$I$7:$I$31,$A56))</f>
        <v/>
      </c>
      <c r="K56" s="13">
        <f>IF($A56&gt;$C$3,"",LARGE(DEBIT_15HARIAN!$J$7:$J$31,$A56))</f>
        <v/>
      </c>
      <c r="L56" s="13">
        <f>IF($A56&gt;$C$3,"",LARGE(DEBIT_15HARIAN!$K$7:$K$31,$A56))</f>
        <v/>
      </c>
      <c r="M56" s="13">
        <f>IF($A56&gt;$C$3,"",LARGE(DEBIT_15HARIAN!$L$7:$L$31,$A56))</f>
        <v/>
      </c>
      <c r="N56" s="13">
        <f>IF($A56&gt;$C$3,"",LARGE(DEBIT_15HARIAN!$M$7:$M$31,$A56))</f>
        <v/>
      </c>
      <c r="O56" s="13">
        <f>IF($A56&gt;$C$3,"",LARGE(DEBIT_15HARIAN!$N$7:$N$31,$A56))</f>
        <v/>
      </c>
      <c r="P56" s="13">
        <f>IF($A56&gt;$C$3,"",LARGE(DEBIT_15HARIAN!$O$7:$O$31,$A56))</f>
        <v/>
      </c>
      <c r="Q56" s="13">
        <f>IF($A56&gt;$C$3,"",LARGE(DEBIT_15HARIAN!$P$7:$P$31,$A56))</f>
        <v/>
      </c>
      <c r="R56" s="13">
        <f>IF($A56&gt;$C$3,"",LARGE(DEBIT_15HARIAN!$Q$7:$Q$31,$A56))</f>
        <v/>
      </c>
      <c r="S56" s="13">
        <f>IF($A56&gt;$C$3,"",LARGE(DEBIT_15HARIAN!$R$7:$R$31,$A56))</f>
        <v/>
      </c>
      <c r="T56" s="13">
        <f>IF($A56&gt;$C$3,"",LARGE(DEBIT_15HARIAN!$S$7:$S$31,$A56))</f>
        <v/>
      </c>
      <c r="U56" s="13">
        <f>IF($A56&gt;$C$3,"",LARGE(DEBIT_15HARIAN!$T$7:$T$31,$A56))</f>
        <v/>
      </c>
      <c r="V56" s="13">
        <f>IF($A56&gt;$C$3,"",LARGE(DEBIT_15HARIAN!$U$7:$U$31,$A56))</f>
        <v/>
      </c>
      <c r="W56" s="13">
        <f>IF($A56&gt;$C$3,"",LARGE(DEBIT_15HARIAN!$V$7:$V$31,$A56))</f>
        <v/>
      </c>
      <c r="X56" s="13">
        <f>IF($A56&gt;$C$3,"",LARGE(DEBIT_15HARIAN!$W$7:$W$31,$A56))</f>
        <v/>
      </c>
      <c r="Y56" s="13">
        <f>IF($A56&gt;$C$3,"",LARGE(DEBIT_15HARIAN!$X$7:$X$31,$A56))</f>
        <v/>
      </c>
      <c r="Z56" s="13">
        <f>IF($A56&gt;$C$3,"",LARGE(DEBIT_15HARIAN!$Y$7:$Y$31,$A56))</f>
        <v/>
      </c>
    </row>
    <row r="57">
      <c r="A57" s="9" t="n">
        <v>23</v>
      </c>
      <c r="B57" s="23">
        <f>IF(A57&gt;$C$3,"",A57/($C$3+1))</f>
        <v/>
      </c>
      <c r="C57" s="13">
        <f>IF($A57&gt;$C$3,"",LARGE(DEBIT_15HARIAN!$B$7:$B$31,$A57))</f>
        <v/>
      </c>
      <c r="D57" s="13">
        <f>IF($A57&gt;$C$3,"",LARGE(DEBIT_15HARIAN!$C$7:$C$31,$A57))</f>
        <v/>
      </c>
      <c r="E57" s="13">
        <f>IF($A57&gt;$C$3,"",LARGE(DEBIT_15HARIAN!$D$7:$D$31,$A57))</f>
        <v/>
      </c>
      <c r="F57" s="13">
        <f>IF($A57&gt;$C$3,"",LARGE(DEBIT_15HARIAN!$E$7:$E$31,$A57))</f>
        <v/>
      </c>
      <c r="G57" s="13">
        <f>IF($A57&gt;$C$3,"",LARGE(DEBIT_15HARIAN!$F$7:$F$31,$A57))</f>
        <v/>
      </c>
      <c r="H57" s="13">
        <f>IF($A57&gt;$C$3,"",LARGE(DEBIT_15HARIAN!$G$7:$G$31,$A57))</f>
        <v/>
      </c>
      <c r="I57" s="13">
        <f>IF($A57&gt;$C$3,"",LARGE(DEBIT_15HARIAN!$H$7:$H$31,$A57))</f>
        <v/>
      </c>
      <c r="J57" s="13">
        <f>IF($A57&gt;$C$3,"",LARGE(DEBIT_15HARIAN!$I$7:$I$31,$A57))</f>
        <v/>
      </c>
      <c r="K57" s="13">
        <f>IF($A57&gt;$C$3,"",LARGE(DEBIT_15HARIAN!$J$7:$J$31,$A57))</f>
        <v/>
      </c>
      <c r="L57" s="13">
        <f>IF($A57&gt;$C$3,"",LARGE(DEBIT_15HARIAN!$K$7:$K$31,$A57))</f>
        <v/>
      </c>
      <c r="M57" s="13">
        <f>IF($A57&gt;$C$3,"",LARGE(DEBIT_15HARIAN!$L$7:$L$31,$A57))</f>
        <v/>
      </c>
      <c r="N57" s="13">
        <f>IF($A57&gt;$C$3,"",LARGE(DEBIT_15HARIAN!$M$7:$M$31,$A57))</f>
        <v/>
      </c>
      <c r="O57" s="13">
        <f>IF($A57&gt;$C$3,"",LARGE(DEBIT_15HARIAN!$N$7:$N$31,$A57))</f>
        <v/>
      </c>
      <c r="P57" s="13">
        <f>IF($A57&gt;$C$3,"",LARGE(DEBIT_15HARIAN!$O$7:$O$31,$A57))</f>
        <v/>
      </c>
      <c r="Q57" s="13">
        <f>IF($A57&gt;$C$3,"",LARGE(DEBIT_15HARIAN!$P$7:$P$31,$A57))</f>
        <v/>
      </c>
      <c r="R57" s="13">
        <f>IF($A57&gt;$C$3,"",LARGE(DEBIT_15HARIAN!$Q$7:$Q$31,$A57))</f>
        <v/>
      </c>
      <c r="S57" s="13">
        <f>IF($A57&gt;$C$3,"",LARGE(DEBIT_15HARIAN!$R$7:$R$31,$A57))</f>
        <v/>
      </c>
      <c r="T57" s="13">
        <f>IF($A57&gt;$C$3,"",LARGE(DEBIT_15HARIAN!$S$7:$S$31,$A57))</f>
        <v/>
      </c>
      <c r="U57" s="13">
        <f>IF($A57&gt;$C$3,"",LARGE(DEBIT_15HARIAN!$T$7:$T$31,$A57))</f>
        <v/>
      </c>
      <c r="V57" s="13">
        <f>IF($A57&gt;$C$3,"",LARGE(DEBIT_15HARIAN!$U$7:$U$31,$A57))</f>
        <v/>
      </c>
      <c r="W57" s="13">
        <f>IF($A57&gt;$C$3,"",LARGE(DEBIT_15HARIAN!$V$7:$V$31,$A57))</f>
        <v/>
      </c>
      <c r="X57" s="13">
        <f>IF($A57&gt;$C$3,"",LARGE(DEBIT_15HARIAN!$W$7:$W$31,$A57))</f>
        <v/>
      </c>
      <c r="Y57" s="13">
        <f>IF($A57&gt;$C$3,"",LARGE(DEBIT_15HARIAN!$X$7:$X$31,$A57))</f>
        <v/>
      </c>
      <c r="Z57" s="13">
        <f>IF($A57&gt;$C$3,"",LARGE(DEBIT_15HARIAN!$Y$7:$Y$31,$A57))</f>
        <v/>
      </c>
    </row>
    <row r="58">
      <c r="A58" s="9" t="n">
        <v>24</v>
      </c>
      <c r="B58" s="23">
        <f>IF(A58&gt;$C$3,"",A58/($C$3+1))</f>
        <v/>
      </c>
      <c r="C58" s="13">
        <f>IF($A58&gt;$C$3,"",LARGE(DEBIT_15HARIAN!$B$7:$B$31,$A58))</f>
        <v/>
      </c>
      <c r="D58" s="13">
        <f>IF($A58&gt;$C$3,"",LARGE(DEBIT_15HARIAN!$C$7:$C$31,$A58))</f>
        <v/>
      </c>
      <c r="E58" s="13">
        <f>IF($A58&gt;$C$3,"",LARGE(DEBIT_15HARIAN!$D$7:$D$31,$A58))</f>
        <v/>
      </c>
      <c r="F58" s="13">
        <f>IF($A58&gt;$C$3,"",LARGE(DEBIT_15HARIAN!$E$7:$E$31,$A58))</f>
        <v/>
      </c>
      <c r="G58" s="13">
        <f>IF($A58&gt;$C$3,"",LARGE(DEBIT_15HARIAN!$F$7:$F$31,$A58))</f>
        <v/>
      </c>
      <c r="H58" s="13">
        <f>IF($A58&gt;$C$3,"",LARGE(DEBIT_15HARIAN!$G$7:$G$31,$A58))</f>
        <v/>
      </c>
      <c r="I58" s="13">
        <f>IF($A58&gt;$C$3,"",LARGE(DEBIT_15HARIAN!$H$7:$H$31,$A58))</f>
        <v/>
      </c>
      <c r="J58" s="13">
        <f>IF($A58&gt;$C$3,"",LARGE(DEBIT_15HARIAN!$I$7:$I$31,$A58))</f>
        <v/>
      </c>
      <c r="K58" s="13">
        <f>IF($A58&gt;$C$3,"",LARGE(DEBIT_15HARIAN!$J$7:$J$31,$A58))</f>
        <v/>
      </c>
      <c r="L58" s="13">
        <f>IF($A58&gt;$C$3,"",LARGE(DEBIT_15HARIAN!$K$7:$K$31,$A58))</f>
        <v/>
      </c>
      <c r="M58" s="13">
        <f>IF($A58&gt;$C$3,"",LARGE(DEBIT_15HARIAN!$L$7:$L$31,$A58))</f>
        <v/>
      </c>
      <c r="N58" s="13">
        <f>IF($A58&gt;$C$3,"",LARGE(DEBIT_15HARIAN!$M$7:$M$31,$A58))</f>
        <v/>
      </c>
      <c r="O58" s="13">
        <f>IF($A58&gt;$C$3,"",LARGE(DEBIT_15HARIAN!$N$7:$N$31,$A58))</f>
        <v/>
      </c>
      <c r="P58" s="13">
        <f>IF($A58&gt;$C$3,"",LARGE(DEBIT_15HARIAN!$O$7:$O$31,$A58))</f>
        <v/>
      </c>
      <c r="Q58" s="13">
        <f>IF($A58&gt;$C$3,"",LARGE(DEBIT_15HARIAN!$P$7:$P$31,$A58))</f>
        <v/>
      </c>
      <c r="R58" s="13">
        <f>IF($A58&gt;$C$3,"",LARGE(DEBIT_15HARIAN!$Q$7:$Q$31,$A58))</f>
        <v/>
      </c>
      <c r="S58" s="13">
        <f>IF($A58&gt;$C$3,"",LARGE(DEBIT_15HARIAN!$R$7:$R$31,$A58))</f>
        <v/>
      </c>
      <c r="T58" s="13">
        <f>IF($A58&gt;$C$3,"",LARGE(DEBIT_15HARIAN!$S$7:$S$31,$A58))</f>
        <v/>
      </c>
      <c r="U58" s="13">
        <f>IF($A58&gt;$C$3,"",LARGE(DEBIT_15HARIAN!$T$7:$T$31,$A58))</f>
        <v/>
      </c>
      <c r="V58" s="13">
        <f>IF($A58&gt;$C$3,"",LARGE(DEBIT_15HARIAN!$U$7:$U$31,$A58))</f>
        <v/>
      </c>
      <c r="W58" s="13">
        <f>IF($A58&gt;$C$3,"",LARGE(DEBIT_15HARIAN!$V$7:$V$31,$A58))</f>
        <v/>
      </c>
      <c r="X58" s="13">
        <f>IF($A58&gt;$C$3,"",LARGE(DEBIT_15HARIAN!$W$7:$W$31,$A58))</f>
        <v/>
      </c>
      <c r="Y58" s="13">
        <f>IF($A58&gt;$C$3,"",LARGE(DEBIT_15HARIAN!$X$7:$X$31,$A58))</f>
        <v/>
      </c>
      <c r="Z58" s="13">
        <f>IF($A58&gt;$C$3,"",LARGE(DEBIT_15HARIAN!$Y$7:$Y$31,$A58))</f>
        <v/>
      </c>
    </row>
    <row r="59">
      <c r="A59" s="9" t="n">
        <v>25</v>
      </c>
      <c r="B59" s="23">
        <f>IF(A59&gt;$C$3,"",A59/($C$3+1))</f>
        <v/>
      </c>
      <c r="C59" s="13">
        <f>IF($A59&gt;$C$3,"",LARGE(DEBIT_15HARIAN!$B$7:$B$31,$A59))</f>
        <v/>
      </c>
      <c r="D59" s="13">
        <f>IF($A59&gt;$C$3,"",LARGE(DEBIT_15HARIAN!$C$7:$C$31,$A59))</f>
        <v/>
      </c>
      <c r="E59" s="13">
        <f>IF($A59&gt;$C$3,"",LARGE(DEBIT_15HARIAN!$D$7:$D$31,$A59))</f>
        <v/>
      </c>
      <c r="F59" s="13">
        <f>IF($A59&gt;$C$3,"",LARGE(DEBIT_15HARIAN!$E$7:$E$31,$A59))</f>
        <v/>
      </c>
      <c r="G59" s="13">
        <f>IF($A59&gt;$C$3,"",LARGE(DEBIT_15HARIAN!$F$7:$F$31,$A59))</f>
        <v/>
      </c>
      <c r="H59" s="13">
        <f>IF($A59&gt;$C$3,"",LARGE(DEBIT_15HARIAN!$G$7:$G$31,$A59))</f>
        <v/>
      </c>
      <c r="I59" s="13">
        <f>IF($A59&gt;$C$3,"",LARGE(DEBIT_15HARIAN!$H$7:$H$31,$A59))</f>
        <v/>
      </c>
      <c r="J59" s="13">
        <f>IF($A59&gt;$C$3,"",LARGE(DEBIT_15HARIAN!$I$7:$I$31,$A59))</f>
        <v/>
      </c>
      <c r="K59" s="13">
        <f>IF($A59&gt;$C$3,"",LARGE(DEBIT_15HARIAN!$J$7:$J$31,$A59))</f>
        <v/>
      </c>
      <c r="L59" s="13">
        <f>IF($A59&gt;$C$3,"",LARGE(DEBIT_15HARIAN!$K$7:$K$31,$A59))</f>
        <v/>
      </c>
      <c r="M59" s="13">
        <f>IF($A59&gt;$C$3,"",LARGE(DEBIT_15HARIAN!$L$7:$L$31,$A59))</f>
        <v/>
      </c>
      <c r="N59" s="13">
        <f>IF($A59&gt;$C$3,"",LARGE(DEBIT_15HARIAN!$M$7:$M$31,$A59))</f>
        <v/>
      </c>
      <c r="O59" s="13">
        <f>IF($A59&gt;$C$3,"",LARGE(DEBIT_15HARIAN!$N$7:$N$31,$A59))</f>
        <v/>
      </c>
      <c r="P59" s="13">
        <f>IF($A59&gt;$C$3,"",LARGE(DEBIT_15HARIAN!$O$7:$O$31,$A59))</f>
        <v/>
      </c>
      <c r="Q59" s="13">
        <f>IF($A59&gt;$C$3,"",LARGE(DEBIT_15HARIAN!$P$7:$P$31,$A59))</f>
        <v/>
      </c>
      <c r="R59" s="13">
        <f>IF($A59&gt;$C$3,"",LARGE(DEBIT_15HARIAN!$Q$7:$Q$31,$A59))</f>
        <v/>
      </c>
      <c r="S59" s="13">
        <f>IF($A59&gt;$C$3,"",LARGE(DEBIT_15HARIAN!$R$7:$R$31,$A59))</f>
        <v/>
      </c>
      <c r="T59" s="13">
        <f>IF($A59&gt;$C$3,"",LARGE(DEBIT_15HARIAN!$S$7:$S$31,$A59))</f>
        <v/>
      </c>
      <c r="U59" s="13">
        <f>IF($A59&gt;$C$3,"",LARGE(DEBIT_15HARIAN!$T$7:$T$31,$A59))</f>
        <v/>
      </c>
      <c r="V59" s="13">
        <f>IF($A59&gt;$C$3,"",LARGE(DEBIT_15HARIAN!$U$7:$U$31,$A59))</f>
        <v/>
      </c>
      <c r="W59" s="13">
        <f>IF($A59&gt;$C$3,"",LARGE(DEBIT_15HARIAN!$V$7:$V$31,$A59))</f>
        <v/>
      </c>
      <c r="X59" s="13">
        <f>IF($A59&gt;$C$3,"",LARGE(DEBIT_15HARIAN!$W$7:$W$31,$A59))</f>
        <v/>
      </c>
      <c r="Y59" s="13">
        <f>IF($A59&gt;$C$3,"",LARGE(DEBIT_15HARIAN!$X$7:$X$31,$A59))</f>
        <v/>
      </c>
      <c r="Z59" s="13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18" t="n">
        <v>2001</v>
      </c>
      <c r="B7" s="13">
        <f>IFERROR(AVERAGEIFS(DEBIT_HARIAN!$F$6:$F$9136,DEBIT_HARIAN!$B$6:$B$9136,$A7,DEBIT_HARIAN!$C$6:$C$9136,B$4,DEBIT_HARIAN!$E$6:$E$9136,B$5),"")</f>
        <v/>
      </c>
      <c r="C7" s="13">
        <f>IFERROR(AVERAGEIFS(DEBIT_HARIAN!$F$6:$F$9136,DEBIT_HARIAN!$B$6:$B$9136,$A7,DEBIT_HARIAN!$C$6:$C$9136,C$4,DEBIT_HARIAN!$E$6:$E$9136,C$5),"")</f>
        <v/>
      </c>
      <c r="D7" s="13">
        <f>IFERROR(AVERAGEIFS(DEBIT_HARIAN!$F$6:$F$9136,DEBIT_HARIAN!$B$6:$B$9136,$A7,DEBIT_HARIAN!$C$6:$C$9136,D$4,DEBIT_HARIAN!$E$6:$E$9136,D$5),"")</f>
        <v/>
      </c>
      <c r="E7" s="13">
        <f>IFERROR(AVERAGEIFS(DEBIT_HARIAN!$F$6:$F$9136,DEBIT_HARIAN!$B$6:$B$9136,$A7,DEBIT_HARIAN!$C$6:$C$9136,E$4,DEBIT_HARIAN!$E$6:$E$9136,E$5),"")</f>
        <v/>
      </c>
      <c r="F7" s="13">
        <f>IFERROR(AVERAGEIFS(DEBIT_HARIAN!$F$6:$F$9136,DEBIT_HARIAN!$B$6:$B$9136,$A7,DEBIT_HARIAN!$C$6:$C$9136,F$4,DEBIT_HARIAN!$E$6:$E$9136,F$5),"")</f>
        <v/>
      </c>
      <c r="G7" s="13">
        <f>IFERROR(AVERAGEIFS(DEBIT_HARIAN!$F$6:$F$9136,DEBIT_HARIAN!$B$6:$B$9136,$A7,DEBIT_HARIAN!$C$6:$C$9136,G$4,DEBIT_HARIAN!$E$6:$E$9136,G$5),"")</f>
        <v/>
      </c>
      <c r="H7" s="13">
        <f>IFERROR(AVERAGEIFS(DEBIT_HARIAN!$F$6:$F$9136,DEBIT_HARIAN!$B$6:$B$9136,$A7,DEBIT_HARIAN!$C$6:$C$9136,H$4,DEBIT_HARIAN!$E$6:$E$9136,H$5),"")</f>
        <v/>
      </c>
      <c r="I7" s="13">
        <f>IFERROR(AVERAGEIFS(DEBIT_HARIAN!$F$6:$F$9136,DEBIT_HARIAN!$B$6:$B$9136,$A7,DEBIT_HARIAN!$C$6:$C$9136,I$4,DEBIT_HARIAN!$E$6:$E$9136,I$5),"")</f>
        <v/>
      </c>
      <c r="J7" s="13">
        <f>IFERROR(AVERAGEIFS(DEBIT_HARIAN!$F$6:$F$9136,DEBIT_HARIAN!$B$6:$B$9136,$A7,DEBIT_HARIAN!$C$6:$C$9136,J$4,DEBIT_HARIAN!$E$6:$E$9136,J$5),"")</f>
        <v/>
      </c>
      <c r="K7" s="13">
        <f>IFERROR(AVERAGEIFS(DEBIT_HARIAN!$F$6:$F$9136,DEBIT_HARIAN!$B$6:$B$9136,$A7,DEBIT_HARIAN!$C$6:$C$9136,K$4,DEBIT_HARIAN!$E$6:$E$9136,K$5),"")</f>
        <v/>
      </c>
      <c r="L7" s="13">
        <f>IFERROR(AVERAGEIFS(DEBIT_HARIAN!$F$6:$F$9136,DEBIT_HARIAN!$B$6:$B$9136,$A7,DEBIT_HARIAN!$C$6:$C$9136,L$4,DEBIT_HARIAN!$E$6:$E$9136,L$5),"")</f>
        <v/>
      </c>
      <c r="M7" s="13">
        <f>IFERROR(AVERAGEIFS(DEBIT_HARIAN!$F$6:$F$9136,DEBIT_HARIAN!$B$6:$B$9136,$A7,DEBIT_HARIAN!$C$6:$C$9136,M$4,DEBIT_HARIAN!$E$6:$E$9136,M$5),"")</f>
        <v/>
      </c>
      <c r="N7" s="13">
        <f>IFERROR(AVERAGEIFS(DEBIT_HARIAN!$F$6:$F$9136,DEBIT_HARIAN!$B$6:$B$9136,$A7,DEBIT_HARIAN!$C$6:$C$9136,N$4,DEBIT_HARIAN!$E$6:$E$9136,N$5),"")</f>
        <v/>
      </c>
      <c r="O7" s="13">
        <f>IFERROR(AVERAGEIFS(DEBIT_HARIAN!$F$6:$F$9136,DEBIT_HARIAN!$B$6:$B$9136,$A7,DEBIT_HARIAN!$C$6:$C$9136,O$4,DEBIT_HARIAN!$E$6:$E$9136,O$5),"")</f>
        <v/>
      </c>
      <c r="P7" s="13">
        <f>IFERROR(AVERAGEIFS(DEBIT_HARIAN!$F$6:$F$9136,DEBIT_HARIAN!$B$6:$B$9136,$A7,DEBIT_HARIAN!$C$6:$C$9136,P$4,DEBIT_HARIAN!$E$6:$E$9136,P$5),"")</f>
        <v/>
      </c>
      <c r="Q7" s="13">
        <f>IFERROR(AVERAGEIFS(DEBIT_HARIAN!$F$6:$F$9136,DEBIT_HARIAN!$B$6:$B$9136,$A7,DEBIT_HARIAN!$C$6:$C$9136,Q$4,DEBIT_HARIAN!$E$6:$E$9136,Q$5),"")</f>
        <v/>
      </c>
      <c r="R7" s="13">
        <f>IFERROR(AVERAGEIFS(DEBIT_HARIAN!$F$6:$F$9136,DEBIT_HARIAN!$B$6:$B$9136,$A7,DEBIT_HARIAN!$C$6:$C$9136,R$4,DEBIT_HARIAN!$E$6:$E$9136,R$5),"")</f>
        <v/>
      </c>
      <c r="S7" s="13">
        <f>IFERROR(AVERAGEIFS(DEBIT_HARIAN!$F$6:$F$9136,DEBIT_HARIAN!$B$6:$B$9136,$A7,DEBIT_HARIAN!$C$6:$C$9136,S$4,DEBIT_HARIAN!$E$6:$E$9136,S$5),"")</f>
        <v/>
      </c>
      <c r="T7" s="13">
        <f>IFERROR(AVERAGEIFS(DEBIT_HARIAN!$F$6:$F$9136,DEBIT_HARIAN!$B$6:$B$9136,$A7,DEBIT_HARIAN!$C$6:$C$9136,T$4,DEBIT_HARIAN!$E$6:$E$9136,T$5),"")</f>
        <v/>
      </c>
      <c r="U7" s="13">
        <f>IFERROR(AVERAGEIFS(DEBIT_HARIAN!$F$6:$F$9136,DEBIT_HARIAN!$B$6:$B$9136,$A7,DEBIT_HARIAN!$C$6:$C$9136,U$4,DEBIT_HARIAN!$E$6:$E$9136,U$5),"")</f>
        <v/>
      </c>
      <c r="V7" s="13">
        <f>IFERROR(AVERAGEIFS(DEBIT_HARIAN!$F$6:$F$9136,DEBIT_HARIAN!$B$6:$B$9136,$A7,DEBIT_HARIAN!$C$6:$C$9136,V$4,DEBIT_HARIAN!$E$6:$E$9136,V$5),"")</f>
        <v/>
      </c>
      <c r="W7" s="13">
        <f>IFERROR(AVERAGEIFS(DEBIT_HARIAN!$F$6:$F$9136,DEBIT_HARIAN!$B$6:$B$9136,$A7,DEBIT_HARIAN!$C$6:$C$9136,W$4,DEBIT_HARIAN!$E$6:$E$9136,W$5),"")</f>
        <v/>
      </c>
      <c r="X7" s="13">
        <f>IFERROR(AVERAGEIFS(DEBIT_HARIAN!$F$6:$F$9136,DEBIT_HARIAN!$B$6:$B$9136,$A7,DEBIT_HARIAN!$C$6:$C$9136,X$4,DEBIT_HARIAN!$E$6:$E$9136,X$5),"")</f>
        <v/>
      </c>
      <c r="Y7" s="13">
        <f>IFERROR(AVERAGEIFS(DEBIT_HARIAN!$F$6:$F$9136,DEBIT_HARIAN!$B$6:$B$9136,$A7,DEBIT_HARIAN!$C$6:$C$9136,Y$4,DEBIT_HARIAN!$E$6:$E$9136,Y$5),"")</f>
        <v/>
      </c>
      <c r="Z7" s="10">
        <f>IFERROR(AVERAGEIFS(DEBIT_HARIAN!$F$6:$F$9136,DEBIT_HARIAN!$B$6:$B$9136,$A7),"")</f>
        <v/>
      </c>
    </row>
    <row r="8">
      <c r="A8" s="18" t="n">
        <v>2002</v>
      </c>
      <c r="B8" s="13">
        <f>IFERROR(AVERAGEIFS(DEBIT_HARIAN!$F$6:$F$9136,DEBIT_HARIAN!$B$6:$B$9136,$A8,DEBIT_HARIAN!$C$6:$C$9136,B$4,DEBIT_HARIAN!$E$6:$E$9136,B$5),"")</f>
        <v/>
      </c>
      <c r="C8" s="13">
        <f>IFERROR(AVERAGEIFS(DEBIT_HARIAN!$F$6:$F$9136,DEBIT_HARIAN!$B$6:$B$9136,$A8,DEBIT_HARIAN!$C$6:$C$9136,C$4,DEBIT_HARIAN!$E$6:$E$9136,C$5),"")</f>
        <v/>
      </c>
      <c r="D8" s="13">
        <f>IFERROR(AVERAGEIFS(DEBIT_HARIAN!$F$6:$F$9136,DEBIT_HARIAN!$B$6:$B$9136,$A8,DEBIT_HARIAN!$C$6:$C$9136,D$4,DEBIT_HARIAN!$E$6:$E$9136,D$5),"")</f>
        <v/>
      </c>
      <c r="E8" s="13">
        <f>IFERROR(AVERAGEIFS(DEBIT_HARIAN!$F$6:$F$9136,DEBIT_HARIAN!$B$6:$B$9136,$A8,DEBIT_HARIAN!$C$6:$C$9136,E$4,DEBIT_HARIAN!$E$6:$E$9136,E$5),"")</f>
        <v/>
      </c>
      <c r="F8" s="13">
        <f>IFERROR(AVERAGEIFS(DEBIT_HARIAN!$F$6:$F$9136,DEBIT_HARIAN!$B$6:$B$9136,$A8,DEBIT_HARIAN!$C$6:$C$9136,F$4,DEBIT_HARIAN!$E$6:$E$9136,F$5),"")</f>
        <v/>
      </c>
      <c r="G8" s="13">
        <f>IFERROR(AVERAGEIFS(DEBIT_HARIAN!$F$6:$F$9136,DEBIT_HARIAN!$B$6:$B$9136,$A8,DEBIT_HARIAN!$C$6:$C$9136,G$4,DEBIT_HARIAN!$E$6:$E$9136,G$5),"")</f>
        <v/>
      </c>
      <c r="H8" s="13">
        <f>IFERROR(AVERAGEIFS(DEBIT_HARIAN!$F$6:$F$9136,DEBIT_HARIAN!$B$6:$B$9136,$A8,DEBIT_HARIAN!$C$6:$C$9136,H$4,DEBIT_HARIAN!$E$6:$E$9136,H$5),"")</f>
        <v/>
      </c>
      <c r="I8" s="13">
        <f>IFERROR(AVERAGEIFS(DEBIT_HARIAN!$F$6:$F$9136,DEBIT_HARIAN!$B$6:$B$9136,$A8,DEBIT_HARIAN!$C$6:$C$9136,I$4,DEBIT_HARIAN!$E$6:$E$9136,I$5),"")</f>
        <v/>
      </c>
      <c r="J8" s="13">
        <f>IFERROR(AVERAGEIFS(DEBIT_HARIAN!$F$6:$F$9136,DEBIT_HARIAN!$B$6:$B$9136,$A8,DEBIT_HARIAN!$C$6:$C$9136,J$4,DEBIT_HARIAN!$E$6:$E$9136,J$5),"")</f>
        <v/>
      </c>
      <c r="K8" s="13">
        <f>IFERROR(AVERAGEIFS(DEBIT_HARIAN!$F$6:$F$9136,DEBIT_HARIAN!$B$6:$B$9136,$A8,DEBIT_HARIAN!$C$6:$C$9136,K$4,DEBIT_HARIAN!$E$6:$E$9136,K$5),"")</f>
        <v/>
      </c>
      <c r="L8" s="13">
        <f>IFERROR(AVERAGEIFS(DEBIT_HARIAN!$F$6:$F$9136,DEBIT_HARIAN!$B$6:$B$9136,$A8,DEBIT_HARIAN!$C$6:$C$9136,L$4,DEBIT_HARIAN!$E$6:$E$9136,L$5),"")</f>
        <v/>
      </c>
      <c r="M8" s="13">
        <f>IFERROR(AVERAGEIFS(DEBIT_HARIAN!$F$6:$F$9136,DEBIT_HARIAN!$B$6:$B$9136,$A8,DEBIT_HARIAN!$C$6:$C$9136,M$4,DEBIT_HARIAN!$E$6:$E$9136,M$5),"")</f>
        <v/>
      </c>
      <c r="N8" s="13">
        <f>IFERROR(AVERAGEIFS(DEBIT_HARIAN!$F$6:$F$9136,DEBIT_HARIAN!$B$6:$B$9136,$A8,DEBIT_HARIAN!$C$6:$C$9136,N$4,DEBIT_HARIAN!$E$6:$E$9136,N$5),"")</f>
        <v/>
      </c>
      <c r="O8" s="13">
        <f>IFERROR(AVERAGEIFS(DEBIT_HARIAN!$F$6:$F$9136,DEBIT_HARIAN!$B$6:$B$9136,$A8,DEBIT_HARIAN!$C$6:$C$9136,O$4,DEBIT_HARIAN!$E$6:$E$9136,O$5),"")</f>
        <v/>
      </c>
      <c r="P8" s="13">
        <f>IFERROR(AVERAGEIFS(DEBIT_HARIAN!$F$6:$F$9136,DEBIT_HARIAN!$B$6:$B$9136,$A8,DEBIT_HARIAN!$C$6:$C$9136,P$4,DEBIT_HARIAN!$E$6:$E$9136,P$5),"")</f>
        <v/>
      </c>
      <c r="Q8" s="13">
        <f>IFERROR(AVERAGEIFS(DEBIT_HARIAN!$F$6:$F$9136,DEBIT_HARIAN!$B$6:$B$9136,$A8,DEBIT_HARIAN!$C$6:$C$9136,Q$4,DEBIT_HARIAN!$E$6:$E$9136,Q$5),"")</f>
        <v/>
      </c>
      <c r="R8" s="13">
        <f>IFERROR(AVERAGEIFS(DEBIT_HARIAN!$F$6:$F$9136,DEBIT_HARIAN!$B$6:$B$9136,$A8,DEBIT_HARIAN!$C$6:$C$9136,R$4,DEBIT_HARIAN!$E$6:$E$9136,R$5),"")</f>
        <v/>
      </c>
      <c r="S8" s="13">
        <f>IFERROR(AVERAGEIFS(DEBIT_HARIAN!$F$6:$F$9136,DEBIT_HARIAN!$B$6:$B$9136,$A8,DEBIT_HARIAN!$C$6:$C$9136,S$4,DEBIT_HARIAN!$E$6:$E$9136,S$5),"")</f>
        <v/>
      </c>
      <c r="T8" s="13">
        <f>IFERROR(AVERAGEIFS(DEBIT_HARIAN!$F$6:$F$9136,DEBIT_HARIAN!$B$6:$B$9136,$A8,DEBIT_HARIAN!$C$6:$C$9136,T$4,DEBIT_HARIAN!$E$6:$E$9136,T$5),"")</f>
        <v/>
      </c>
      <c r="U8" s="13">
        <f>IFERROR(AVERAGEIFS(DEBIT_HARIAN!$F$6:$F$9136,DEBIT_HARIAN!$B$6:$B$9136,$A8,DEBIT_HARIAN!$C$6:$C$9136,U$4,DEBIT_HARIAN!$E$6:$E$9136,U$5),"")</f>
        <v/>
      </c>
      <c r="V8" s="13">
        <f>IFERROR(AVERAGEIFS(DEBIT_HARIAN!$F$6:$F$9136,DEBIT_HARIAN!$B$6:$B$9136,$A8,DEBIT_HARIAN!$C$6:$C$9136,V$4,DEBIT_HARIAN!$E$6:$E$9136,V$5),"")</f>
        <v/>
      </c>
      <c r="W8" s="13">
        <f>IFERROR(AVERAGEIFS(DEBIT_HARIAN!$F$6:$F$9136,DEBIT_HARIAN!$B$6:$B$9136,$A8,DEBIT_HARIAN!$C$6:$C$9136,W$4,DEBIT_HARIAN!$E$6:$E$9136,W$5),"")</f>
        <v/>
      </c>
      <c r="X8" s="13">
        <f>IFERROR(AVERAGEIFS(DEBIT_HARIAN!$F$6:$F$9136,DEBIT_HARIAN!$B$6:$B$9136,$A8,DEBIT_HARIAN!$C$6:$C$9136,X$4,DEBIT_HARIAN!$E$6:$E$9136,X$5),"")</f>
        <v/>
      </c>
      <c r="Y8" s="13">
        <f>IFERROR(AVERAGEIFS(DEBIT_HARIAN!$F$6:$F$9136,DEBIT_HARIAN!$B$6:$B$9136,$A8,DEBIT_HARIAN!$C$6:$C$9136,Y$4,DEBIT_HARIAN!$E$6:$E$9136,Y$5),"")</f>
        <v/>
      </c>
      <c r="Z8" s="10">
        <f>IFERROR(AVERAGEIFS(DEBIT_HARIAN!$F$6:$F$9136,DEBIT_HARIAN!$B$6:$B$9136,$A8),"")</f>
        <v/>
      </c>
    </row>
    <row r="9">
      <c r="A9" s="18" t="n">
        <v>2003</v>
      </c>
      <c r="B9" s="13">
        <f>IFERROR(AVERAGEIFS(DEBIT_HARIAN!$F$6:$F$9136,DEBIT_HARIAN!$B$6:$B$9136,$A9,DEBIT_HARIAN!$C$6:$C$9136,B$4,DEBIT_HARIAN!$E$6:$E$9136,B$5),"")</f>
        <v/>
      </c>
      <c r="C9" s="13">
        <f>IFERROR(AVERAGEIFS(DEBIT_HARIAN!$F$6:$F$9136,DEBIT_HARIAN!$B$6:$B$9136,$A9,DEBIT_HARIAN!$C$6:$C$9136,C$4,DEBIT_HARIAN!$E$6:$E$9136,C$5),"")</f>
        <v/>
      </c>
      <c r="D9" s="13">
        <f>IFERROR(AVERAGEIFS(DEBIT_HARIAN!$F$6:$F$9136,DEBIT_HARIAN!$B$6:$B$9136,$A9,DEBIT_HARIAN!$C$6:$C$9136,D$4,DEBIT_HARIAN!$E$6:$E$9136,D$5),"")</f>
        <v/>
      </c>
      <c r="E9" s="13">
        <f>IFERROR(AVERAGEIFS(DEBIT_HARIAN!$F$6:$F$9136,DEBIT_HARIAN!$B$6:$B$9136,$A9,DEBIT_HARIAN!$C$6:$C$9136,E$4,DEBIT_HARIAN!$E$6:$E$9136,E$5),"")</f>
        <v/>
      </c>
      <c r="F9" s="13">
        <f>IFERROR(AVERAGEIFS(DEBIT_HARIAN!$F$6:$F$9136,DEBIT_HARIAN!$B$6:$B$9136,$A9,DEBIT_HARIAN!$C$6:$C$9136,F$4,DEBIT_HARIAN!$E$6:$E$9136,F$5),"")</f>
        <v/>
      </c>
      <c r="G9" s="13">
        <f>IFERROR(AVERAGEIFS(DEBIT_HARIAN!$F$6:$F$9136,DEBIT_HARIAN!$B$6:$B$9136,$A9,DEBIT_HARIAN!$C$6:$C$9136,G$4,DEBIT_HARIAN!$E$6:$E$9136,G$5),"")</f>
        <v/>
      </c>
      <c r="H9" s="13">
        <f>IFERROR(AVERAGEIFS(DEBIT_HARIAN!$F$6:$F$9136,DEBIT_HARIAN!$B$6:$B$9136,$A9,DEBIT_HARIAN!$C$6:$C$9136,H$4,DEBIT_HARIAN!$E$6:$E$9136,H$5),"")</f>
        <v/>
      </c>
      <c r="I9" s="13">
        <f>IFERROR(AVERAGEIFS(DEBIT_HARIAN!$F$6:$F$9136,DEBIT_HARIAN!$B$6:$B$9136,$A9,DEBIT_HARIAN!$C$6:$C$9136,I$4,DEBIT_HARIAN!$E$6:$E$9136,I$5),"")</f>
        <v/>
      </c>
      <c r="J9" s="13">
        <f>IFERROR(AVERAGEIFS(DEBIT_HARIAN!$F$6:$F$9136,DEBIT_HARIAN!$B$6:$B$9136,$A9,DEBIT_HARIAN!$C$6:$C$9136,J$4,DEBIT_HARIAN!$E$6:$E$9136,J$5),"")</f>
        <v/>
      </c>
      <c r="K9" s="13">
        <f>IFERROR(AVERAGEIFS(DEBIT_HARIAN!$F$6:$F$9136,DEBIT_HARIAN!$B$6:$B$9136,$A9,DEBIT_HARIAN!$C$6:$C$9136,K$4,DEBIT_HARIAN!$E$6:$E$9136,K$5),"")</f>
        <v/>
      </c>
      <c r="L9" s="13">
        <f>IFERROR(AVERAGEIFS(DEBIT_HARIAN!$F$6:$F$9136,DEBIT_HARIAN!$B$6:$B$9136,$A9,DEBIT_HARIAN!$C$6:$C$9136,L$4,DEBIT_HARIAN!$E$6:$E$9136,L$5),"")</f>
        <v/>
      </c>
      <c r="M9" s="13">
        <f>IFERROR(AVERAGEIFS(DEBIT_HARIAN!$F$6:$F$9136,DEBIT_HARIAN!$B$6:$B$9136,$A9,DEBIT_HARIAN!$C$6:$C$9136,M$4,DEBIT_HARIAN!$E$6:$E$9136,M$5),"")</f>
        <v/>
      </c>
      <c r="N9" s="13">
        <f>IFERROR(AVERAGEIFS(DEBIT_HARIAN!$F$6:$F$9136,DEBIT_HARIAN!$B$6:$B$9136,$A9,DEBIT_HARIAN!$C$6:$C$9136,N$4,DEBIT_HARIAN!$E$6:$E$9136,N$5),"")</f>
        <v/>
      </c>
      <c r="O9" s="13">
        <f>IFERROR(AVERAGEIFS(DEBIT_HARIAN!$F$6:$F$9136,DEBIT_HARIAN!$B$6:$B$9136,$A9,DEBIT_HARIAN!$C$6:$C$9136,O$4,DEBIT_HARIAN!$E$6:$E$9136,O$5),"")</f>
        <v/>
      </c>
      <c r="P9" s="13">
        <f>IFERROR(AVERAGEIFS(DEBIT_HARIAN!$F$6:$F$9136,DEBIT_HARIAN!$B$6:$B$9136,$A9,DEBIT_HARIAN!$C$6:$C$9136,P$4,DEBIT_HARIAN!$E$6:$E$9136,P$5),"")</f>
        <v/>
      </c>
      <c r="Q9" s="13">
        <f>IFERROR(AVERAGEIFS(DEBIT_HARIAN!$F$6:$F$9136,DEBIT_HARIAN!$B$6:$B$9136,$A9,DEBIT_HARIAN!$C$6:$C$9136,Q$4,DEBIT_HARIAN!$E$6:$E$9136,Q$5),"")</f>
        <v/>
      </c>
      <c r="R9" s="13">
        <f>IFERROR(AVERAGEIFS(DEBIT_HARIAN!$F$6:$F$9136,DEBIT_HARIAN!$B$6:$B$9136,$A9,DEBIT_HARIAN!$C$6:$C$9136,R$4,DEBIT_HARIAN!$E$6:$E$9136,R$5),"")</f>
        <v/>
      </c>
      <c r="S9" s="13">
        <f>IFERROR(AVERAGEIFS(DEBIT_HARIAN!$F$6:$F$9136,DEBIT_HARIAN!$B$6:$B$9136,$A9,DEBIT_HARIAN!$C$6:$C$9136,S$4,DEBIT_HARIAN!$E$6:$E$9136,S$5),"")</f>
        <v/>
      </c>
      <c r="T9" s="13">
        <f>IFERROR(AVERAGEIFS(DEBIT_HARIAN!$F$6:$F$9136,DEBIT_HARIAN!$B$6:$B$9136,$A9,DEBIT_HARIAN!$C$6:$C$9136,T$4,DEBIT_HARIAN!$E$6:$E$9136,T$5),"")</f>
        <v/>
      </c>
      <c r="U9" s="13">
        <f>IFERROR(AVERAGEIFS(DEBIT_HARIAN!$F$6:$F$9136,DEBIT_HARIAN!$B$6:$B$9136,$A9,DEBIT_HARIAN!$C$6:$C$9136,U$4,DEBIT_HARIAN!$E$6:$E$9136,U$5),"")</f>
        <v/>
      </c>
      <c r="V9" s="13">
        <f>IFERROR(AVERAGEIFS(DEBIT_HARIAN!$F$6:$F$9136,DEBIT_HARIAN!$B$6:$B$9136,$A9,DEBIT_HARIAN!$C$6:$C$9136,V$4,DEBIT_HARIAN!$E$6:$E$9136,V$5),"")</f>
        <v/>
      </c>
      <c r="W9" s="13">
        <f>IFERROR(AVERAGEIFS(DEBIT_HARIAN!$F$6:$F$9136,DEBIT_HARIAN!$B$6:$B$9136,$A9,DEBIT_HARIAN!$C$6:$C$9136,W$4,DEBIT_HARIAN!$E$6:$E$9136,W$5),"")</f>
        <v/>
      </c>
      <c r="X9" s="13">
        <f>IFERROR(AVERAGEIFS(DEBIT_HARIAN!$F$6:$F$9136,DEBIT_HARIAN!$B$6:$B$9136,$A9,DEBIT_HARIAN!$C$6:$C$9136,X$4,DEBIT_HARIAN!$E$6:$E$9136,X$5),"")</f>
        <v/>
      </c>
      <c r="Y9" s="13">
        <f>IFERROR(AVERAGEIFS(DEBIT_HARIAN!$F$6:$F$9136,DEBIT_HARIAN!$B$6:$B$9136,$A9,DEBIT_HARIAN!$C$6:$C$9136,Y$4,DEBIT_HARIAN!$E$6:$E$9136,Y$5),"")</f>
        <v/>
      </c>
      <c r="Z9" s="10">
        <f>IFERROR(AVERAGEIFS(DEBIT_HARIAN!$F$6:$F$9136,DEBIT_HARIAN!$B$6:$B$9136,$A9),"")</f>
        <v/>
      </c>
    </row>
    <row r="10">
      <c r="A10" s="18" t="n">
        <v>2004</v>
      </c>
      <c r="B10" s="13">
        <f>IFERROR(AVERAGEIFS(DEBIT_HARIAN!$F$6:$F$9136,DEBIT_HARIAN!$B$6:$B$9136,$A10,DEBIT_HARIAN!$C$6:$C$9136,B$4,DEBIT_HARIAN!$E$6:$E$9136,B$5),"")</f>
        <v/>
      </c>
      <c r="C10" s="13">
        <f>IFERROR(AVERAGEIFS(DEBIT_HARIAN!$F$6:$F$9136,DEBIT_HARIAN!$B$6:$B$9136,$A10,DEBIT_HARIAN!$C$6:$C$9136,C$4,DEBIT_HARIAN!$E$6:$E$9136,C$5),"")</f>
        <v/>
      </c>
      <c r="D10" s="13">
        <f>IFERROR(AVERAGEIFS(DEBIT_HARIAN!$F$6:$F$9136,DEBIT_HARIAN!$B$6:$B$9136,$A10,DEBIT_HARIAN!$C$6:$C$9136,D$4,DEBIT_HARIAN!$E$6:$E$9136,D$5),"")</f>
        <v/>
      </c>
      <c r="E10" s="13">
        <f>IFERROR(AVERAGEIFS(DEBIT_HARIAN!$F$6:$F$9136,DEBIT_HARIAN!$B$6:$B$9136,$A10,DEBIT_HARIAN!$C$6:$C$9136,E$4,DEBIT_HARIAN!$E$6:$E$9136,E$5),"")</f>
        <v/>
      </c>
      <c r="F10" s="13">
        <f>IFERROR(AVERAGEIFS(DEBIT_HARIAN!$F$6:$F$9136,DEBIT_HARIAN!$B$6:$B$9136,$A10,DEBIT_HARIAN!$C$6:$C$9136,F$4,DEBIT_HARIAN!$E$6:$E$9136,F$5),"")</f>
        <v/>
      </c>
      <c r="G10" s="13">
        <f>IFERROR(AVERAGEIFS(DEBIT_HARIAN!$F$6:$F$9136,DEBIT_HARIAN!$B$6:$B$9136,$A10,DEBIT_HARIAN!$C$6:$C$9136,G$4,DEBIT_HARIAN!$E$6:$E$9136,G$5),"")</f>
        <v/>
      </c>
      <c r="H10" s="13">
        <f>IFERROR(AVERAGEIFS(DEBIT_HARIAN!$F$6:$F$9136,DEBIT_HARIAN!$B$6:$B$9136,$A10,DEBIT_HARIAN!$C$6:$C$9136,H$4,DEBIT_HARIAN!$E$6:$E$9136,H$5),"")</f>
        <v/>
      </c>
      <c r="I10" s="13">
        <f>IFERROR(AVERAGEIFS(DEBIT_HARIAN!$F$6:$F$9136,DEBIT_HARIAN!$B$6:$B$9136,$A10,DEBIT_HARIAN!$C$6:$C$9136,I$4,DEBIT_HARIAN!$E$6:$E$9136,I$5),"")</f>
        <v/>
      </c>
      <c r="J10" s="13">
        <f>IFERROR(AVERAGEIFS(DEBIT_HARIAN!$F$6:$F$9136,DEBIT_HARIAN!$B$6:$B$9136,$A10,DEBIT_HARIAN!$C$6:$C$9136,J$4,DEBIT_HARIAN!$E$6:$E$9136,J$5),"")</f>
        <v/>
      </c>
      <c r="K10" s="13">
        <f>IFERROR(AVERAGEIFS(DEBIT_HARIAN!$F$6:$F$9136,DEBIT_HARIAN!$B$6:$B$9136,$A10,DEBIT_HARIAN!$C$6:$C$9136,K$4,DEBIT_HARIAN!$E$6:$E$9136,K$5),"")</f>
        <v/>
      </c>
      <c r="L10" s="13">
        <f>IFERROR(AVERAGEIFS(DEBIT_HARIAN!$F$6:$F$9136,DEBIT_HARIAN!$B$6:$B$9136,$A10,DEBIT_HARIAN!$C$6:$C$9136,L$4,DEBIT_HARIAN!$E$6:$E$9136,L$5),"")</f>
        <v/>
      </c>
      <c r="M10" s="13">
        <f>IFERROR(AVERAGEIFS(DEBIT_HARIAN!$F$6:$F$9136,DEBIT_HARIAN!$B$6:$B$9136,$A10,DEBIT_HARIAN!$C$6:$C$9136,M$4,DEBIT_HARIAN!$E$6:$E$9136,M$5),"")</f>
        <v/>
      </c>
      <c r="N10" s="13">
        <f>IFERROR(AVERAGEIFS(DEBIT_HARIAN!$F$6:$F$9136,DEBIT_HARIAN!$B$6:$B$9136,$A10,DEBIT_HARIAN!$C$6:$C$9136,N$4,DEBIT_HARIAN!$E$6:$E$9136,N$5),"")</f>
        <v/>
      </c>
      <c r="O10" s="13">
        <f>IFERROR(AVERAGEIFS(DEBIT_HARIAN!$F$6:$F$9136,DEBIT_HARIAN!$B$6:$B$9136,$A10,DEBIT_HARIAN!$C$6:$C$9136,O$4,DEBIT_HARIAN!$E$6:$E$9136,O$5),"")</f>
        <v/>
      </c>
      <c r="P10" s="13">
        <f>IFERROR(AVERAGEIFS(DEBIT_HARIAN!$F$6:$F$9136,DEBIT_HARIAN!$B$6:$B$9136,$A10,DEBIT_HARIAN!$C$6:$C$9136,P$4,DEBIT_HARIAN!$E$6:$E$9136,P$5),"")</f>
        <v/>
      </c>
      <c r="Q10" s="13">
        <f>IFERROR(AVERAGEIFS(DEBIT_HARIAN!$F$6:$F$9136,DEBIT_HARIAN!$B$6:$B$9136,$A10,DEBIT_HARIAN!$C$6:$C$9136,Q$4,DEBIT_HARIAN!$E$6:$E$9136,Q$5),"")</f>
        <v/>
      </c>
      <c r="R10" s="13">
        <f>IFERROR(AVERAGEIFS(DEBIT_HARIAN!$F$6:$F$9136,DEBIT_HARIAN!$B$6:$B$9136,$A10,DEBIT_HARIAN!$C$6:$C$9136,R$4,DEBIT_HARIAN!$E$6:$E$9136,R$5),"")</f>
        <v/>
      </c>
      <c r="S10" s="13">
        <f>IFERROR(AVERAGEIFS(DEBIT_HARIAN!$F$6:$F$9136,DEBIT_HARIAN!$B$6:$B$9136,$A10,DEBIT_HARIAN!$C$6:$C$9136,S$4,DEBIT_HARIAN!$E$6:$E$9136,S$5),"")</f>
        <v/>
      </c>
      <c r="T10" s="13">
        <f>IFERROR(AVERAGEIFS(DEBIT_HARIAN!$F$6:$F$9136,DEBIT_HARIAN!$B$6:$B$9136,$A10,DEBIT_HARIAN!$C$6:$C$9136,T$4,DEBIT_HARIAN!$E$6:$E$9136,T$5),"")</f>
        <v/>
      </c>
      <c r="U10" s="13">
        <f>IFERROR(AVERAGEIFS(DEBIT_HARIAN!$F$6:$F$9136,DEBIT_HARIAN!$B$6:$B$9136,$A10,DEBIT_HARIAN!$C$6:$C$9136,U$4,DEBIT_HARIAN!$E$6:$E$9136,U$5),"")</f>
        <v/>
      </c>
      <c r="V10" s="13">
        <f>IFERROR(AVERAGEIFS(DEBIT_HARIAN!$F$6:$F$9136,DEBIT_HARIAN!$B$6:$B$9136,$A10,DEBIT_HARIAN!$C$6:$C$9136,V$4,DEBIT_HARIAN!$E$6:$E$9136,V$5),"")</f>
        <v/>
      </c>
      <c r="W10" s="13">
        <f>IFERROR(AVERAGEIFS(DEBIT_HARIAN!$F$6:$F$9136,DEBIT_HARIAN!$B$6:$B$9136,$A10,DEBIT_HARIAN!$C$6:$C$9136,W$4,DEBIT_HARIAN!$E$6:$E$9136,W$5),"")</f>
        <v/>
      </c>
      <c r="X10" s="13">
        <f>IFERROR(AVERAGEIFS(DEBIT_HARIAN!$F$6:$F$9136,DEBIT_HARIAN!$B$6:$B$9136,$A10,DEBIT_HARIAN!$C$6:$C$9136,X$4,DEBIT_HARIAN!$E$6:$E$9136,X$5),"")</f>
        <v/>
      </c>
      <c r="Y10" s="13">
        <f>IFERROR(AVERAGEIFS(DEBIT_HARIAN!$F$6:$F$9136,DEBIT_HARIAN!$B$6:$B$9136,$A10,DEBIT_HARIAN!$C$6:$C$9136,Y$4,DEBIT_HARIAN!$E$6:$E$9136,Y$5),"")</f>
        <v/>
      </c>
      <c r="Z10" s="10">
        <f>IFERROR(AVERAGEIFS(DEBIT_HARIAN!$F$6:$F$9136,DEBIT_HARIAN!$B$6:$B$9136,$A10),"")</f>
        <v/>
      </c>
    </row>
    <row r="11">
      <c r="A11" s="18" t="n">
        <v>2005</v>
      </c>
      <c r="B11" s="13">
        <f>IFERROR(AVERAGEIFS(DEBIT_HARIAN!$F$6:$F$9136,DEBIT_HARIAN!$B$6:$B$9136,$A11,DEBIT_HARIAN!$C$6:$C$9136,B$4,DEBIT_HARIAN!$E$6:$E$9136,B$5),"")</f>
        <v/>
      </c>
      <c r="C11" s="13">
        <f>IFERROR(AVERAGEIFS(DEBIT_HARIAN!$F$6:$F$9136,DEBIT_HARIAN!$B$6:$B$9136,$A11,DEBIT_HARIAN!$C$6:$C$9136,C$4,DEBIT_HARIAN!$E$6:$E$9136,C$5),"")</f>
        <v/>
      </c>
      <c r="D11" s="13">
        <f>IFERROR(AVERAGEIFS(DEBIT_HARIAN!$F$6:$F$9136,DEBIT_HARIAN!$B$6:$B$9136,$A11,DEBIT_HARIAN!$C$6:$C$9136,D$4,DEBIT_HARIAN!$E$6:$E$9136,D$5),"")</f>
        <v/>
      </c>
      <c r="E11" s="13">
        <f>IFERROR(AVERAGEIFS(DEBIT_HARIAN!$F$6:$F$9136,DEBIT_HARIAN!$B$6:$B$9136,$A11,DEBIT_HARIAN!$C$6:$C$9136,E$4,DEBIT_HARIAN!$E$6:$E$9136,E$5),"")</f>
        <v/>
      </c>
      <c r="F11" s="13">
        <f>IFERROR(AVERAGEIFS(DEBIT_HARIAN!$F$6:$F$9136,DEBIT_HARIAN!$B$6:$B$9136,$A11,DEBIT_HARIAN!$C$6:$C$9136,F$4,DEBIT_HARIAN!$E$6:$E$9136,F$5),"")</f>
        <v/>
      </c>
      <c r="G11" s="13">
        <f>IFERROR(AVERAGEIFS(DEBIT_HARIAN!$F$6:$F$9136,DEBIT_HARIAN!$B$6:$B$9136,$A11,DEBIT_HARIAN!$C$6:$C$9136,G$4,DEBIT_HARIAN!$E$6:$E$9136,G$5),"")</f>
        <v/>
      </c>
      <c r="H11" s="13">
        <f>IFERROR(AVERAGEIFS(DEBIT_HARIAN!$F$6:$F$9136,DEBIT_HARIAN!$B$6:$B$9136,$A11,DEBIT_HARIAN!$C$6:$C$9136,H$4,DEBIT_HARIAN!$E$6:$E$9136,H$5),"")</f>
        <v/>
      </c>
      <c r="I11" s="13">
        <f>IFERROR(AVERAGEIFS(DEBIT_HARIAN!$F$6:$F$9136,DEBIT_HARIAN!$B$6:$B$9136,$A11,DEBIT_HARIAN!$C$6:$C$9136,I$4,DEBIT_HARIAN!$E$6:$E$9136,I$5),"")</f>
        <v/>
      </c>
      <c r="J11" s="13">
        <f>IFERROR(AVERAGEIFS(DEBIT_HARIAN!$F$6:$F$9136,DEBIT_HARIAN!$B$6:$B$9136,$A11,DEBIT_HARIAN!$C$6:$C$9136,J$4,DEBIT_HARIAN!$E$6:$E$9136,J$5),"")</f>
        <v/>
      </c>
      <c r="K11" s="13">
        <f>IFERROR(AVERAGEIFS(DEBIT_HARIAN!$F$6:$F$9136,DEBIT_HARIAN!$B$6:$B$9136,$A11,DEBIT_HARIAN!$C$6:$C$9136,K$4,DEBIT_HARIAN!$E$6:$E$9136,K$5),"")</f>
        <v/>
      </c>
      <c r="L11" s="13">
        <f>IFERROR(AVERAGEIFS(DEBIT_HARIAN!$F$6:$F$9136,DEBIT_HARIAN!$B$6:$B$9136,$A11,DEBIT_HARIAN!$C$6:$C$9136,L$4,DEBIT_HARIAN!$E$6:$E$9136,L$5),"")</f>
        <v/>
      </c>
      <c r="M11" s="13">
        <f>IFERROR(AVERAGEIFS(DEBIT_HARIAN!$F$6:$F$9136,DEBIT_HARIAN!$B$6:$B$9136,$A11,DEBIT_HARIAN!$C$6:$C$9136,M$4,DEBIT_HARIAN!$E$6:$E$9136,M$5),"")</f>
        <v/>
      </c>
      <c r="N11" s="13">
        <f>IFERROR(AVERAGEIFS(DEBIT_HARIAN!$F$6:$F$9136,DEBIT_HARIAN!$B$6:$B$9136,$A11,DEBIT_HARIAN!$C$6:$C$9136,N$4,DEBIT_HARIAN!$E$6:$E$9136,N$5),"")</f>
        <v/>
      </c>
      <c r="O11" s="13">
        <f>IFERROR(AVERAGEIFS(DEBIT_HARIAN!$F$6:$F$9136,DEBIT_HARIAN!$B$6:$B$9136,$A11,DEBIT_HARIAN!$C$6:$C$9136,O$4,DEBIT_HARIAN!$E$6:$E$9136,O$5),"")</f>
        <v/>
      </c>
      <c r="P11" s="13">
        <f>IFERROR(AVERAGEIFS(DEBIT_HARIAN!$F$6:$F$9136,DEBIT_HARIAN!$B$6:$B$9136,$A11,DEBIT_HARIAN!$C$6:$C$9136,P$4,DEBIT_HARIAN!$E$6:$E$9136,P$5),"")</f>
        <v/>
      </c>
      <c r="Q11" s="13">
        <f>IFERROR(AVERAGEIFS(DEBIT_HARIAN!$F$6:$F$9136,DEBIT_HARIAN!$B$6:$B$9136,$A11,DEBIT_HARIAN!$C$6:$C$9136,Q$4,DEBIT_HARIAN!$E$6:$E$9136,Q$5),"")</f>
        <v/>
      </c>
      <c r="R11" s="13">
        <f>IFERROR(AVERAGEIFS(DEBIT_HARIAN!$F$6:$F$9136,DEBIT_HARIAN!$B$6:$B$9136,$A11,DEBIT_HARIAN!$C$6:$C$9136,R$4,DEBIT_HARIAN!$E$6:$E$9136,R$5),"")</f>
        <v/>
      </c>
      <c r="S11" s="13">
        <f>IFERROR(AVERAGEIFS(DEBIT_HARIAN!$F$6:$F$9136,DEBIT_HARIAN!$B$6:$B$9136,$A11,DEBIT_HARIAN!$C$6:$C$9136,S$4,DEBIT_HARIAN!$E$6:$E$9136,S$5),"")</f>
        <v/>
      </c>
      <c r="T11" s="13">
        <f>IFERROR(AVERAGEIFS(DEBIT_HARIAN!$F$6:$F$9136,DEBIT_HARIAN!$B$6:$B$9136,$A11,DEBIT_HARIAN!$C$6:$C$9136,T$4,DEBIT_HARIAN!$E$6:$E$9136,T$5),"")</f>
        <v/>
      </c>
      <c r="U11" s="13">
        <f>IFERROR(AVERAGEIFS(DEBIT_HARIAN!$F$6:$F$9136,DEBIT_HARIAN!$B$6:$B$9136,$A11,DEBIT_HARIAN!$C$6:$C$9136,U$4,DEBIT_HARIAN!$E$6:$E$9136,U$5),"")</f>
        <v/>
      </c>
      <c r="V11" s="13">
        <f>IFERROR(AVERAGEIFS(DEBIT_HARIAN!$F$6:$F$9136,DEBIT_HARIAN!$B$6:$B$9136,$A11,DEBIT_HARIAN!$C$6:$C$9136,V$4,DEBIT_HARIAN!$E$6:$E$9136,V$5),"")</f>
        <v/>
      </c>
      <c r="W11" s="13">
        <f>IFERROR(AVERAGEIFS(DEBIT_HARIAN!$F$6:$F$9136,DEBIT_HARIAN!$B$6:$B$9136,$A11,DEBIT_HARIAN!$C$6:$C$9136,W$4,DEBIT_HARIAN!$E$6:$E$9136,W$5),"")</f>
        <v/>
      </c>
      <c r="X11" s="13">
        <f>IFERROR(AVERAGEIFS(DEBIT_HARIAN!$F$6:$F$9136,DEBIT_HARIAN!$B$6:$B$9136,$A11,DEBIT_HARIAN!$C$6:$C$9136,X$4,DEBIT_HARIAN!$E$6:$E$9136,X$5),"")</f>
        <v/>
      </c>
      <c r="Y11" s="13">
        <f>IFERROR(AVERAGEIFS(DEBIT_HARIAN!$F$6:$F$9136,DEBIT_HARIAN!$B$6:$B$9136,$A11,DEBIT_HARIAN!$C$6:$C$9136,Y$4,DEBIT_HARIAN!$E$6:$E$9136,Y$5),"")</f>
        <v/>
      </c>
      <c r="Z11" s="10">
        <f>IFERROR(AVERAGEIFS(DEBIT_HARIAN!$F$6:$F$9136,DEBIT_HARIAN!$B$6:$B$9136,$A11),"")</f>
        <v/>
      </c>
    </row>
    <row r="12">
      <c r="A12" s="18" t="n">
        <v>2006</v>
      </c>
      <c r="B12" s="13">
        <f>IFERROR(AVERAGEIFS(DEBIT_HARIAN!$F$6:$F$9136,DEBIT_HARIAN!$B$6:$B$9136,$A12,DEBIT_HARIAN!$C$6:$C$9136,B$4,DEBIT_HARIAN!$E$6:$E$9136,B$5),"")</f>
        <v/>
      </c>
      <c r="C12" s="13">
        <f>IFERROR(AVERAGEIFS(DEBIT_HARIAN!$F$6:$F$9136,DEBIT_HARIAN!$B$6:$B$9136,$A12,DEBIT_HARIAN!$C$6:$C$9136,C$4,DEBIT_HARIAN!$E$6:$E$9136,C$5),"")</f>
        <v/>
      </c>
      <c r="D12" s="13">
        <f>IFERROR(AVERAGEIFS(DEBIT_HARIAN!$F$6:$F$9136,DEBIT_HARIAN!$B$6:$B$9136,$A12,DEBIT_HARIAN!$C$6:$C$9136,D$4,DEBIT_HARIAN!$E$6:$E$9136,D$5),"")</f>
        <v/>
      </c>
      <c r="E12" s="13">
        <f>IFERROR(AVERAGEIFS(DEBIT_HARIAN!$F$6:$F$9136,DEBIT_HARIAN!$B$6:$B$9136,$A12,DEBIT_HARIAN!$C$6:$C$9136,E$4,DEBIT_HARIAN!$E$6:$E$9136,E$5),"")</f>
        <v/>
      </c>
      <c r="F12" s="13">
        <f>IFERROR(AVERAGEIFS(DEBIT_HARIAN!$F$6:$F$9136,DEBIT_HARIAN!$B$6:$B$9136,$A12,DEBIT_HARIAN!$C$6:$C$9136,F$4,DEBIT_HARIAN!$E$6:$E$9136,F$5),"")</f>
        <v/>
      </c>
      <c r="G12" s="13">
        <f>IFERROR(AVERAGEIFS(DEBIT_HARIAN!$F$6:$F$9136,DEBIT_HARIAN!$B$6:$B$9136,$A12,DEBIT_HARIAN!$C$6:$C$9136,G$4,DEBIT_HARIAN!$E$6:$E$9136,G$5),"")</f>
        <v/>
      </c>
      <c r="H12" s="13">
        <f>IFERROR(AVERAGEIFS(DEBIT_HARIAN!$F$6:$F$9136,DEBIT_HARIAN!$B$6:$B$9136,$A12,DEBIT_HARIAN!$C$6:$C$9136,H$4,DEBIT_HARIAN!$E$6:$E$9136,H$5),"")</f>
        <v/>
      </c>
      <c r="I12" s="13">
        <f>IFERROR(AVERAGEIFS(DEBIT_HARIAN!$F$6:$F$9136,DEBIT_HARIAN!$B$6:$B$9136,$A12,DEBIT_HARIAN!$C$6:$C$9136,I$4,DEBIT_HARIAN!$E$6:$E$9136,I$5),"")</f>
        <v/>
      </c>
      <c r="J12" s="13">
        <f>IFERROR(AVERAGEIFS(DEBIT_HARIAN!$F$6:$F$9136,DEBIT_HARIAN!$B$6:$B$9136,$A12,DEBIT_HARIAN!$C$6:$C$9136,J$4,DEBIT_HARIAN!$E$6:$E$9136,J$5),"")</f>
        <v/>
      </c>
      <c r="K12" s="13">
        <f>IFERROR(AVERAGEIFS(DEBIT_HARIAN!$F$6:$F$9136,DEBIT_HARIAN!$B$6:$B$9136,$A12,DEBIT_HARIAN!$C$6:$C$9136,K$4,DEBIT_HARIAN!$E$6:$E$9136,K$5),"")</f>
        <v/>
      </c>
      <c r="L12" s="13">
        <f>IFERROR(AVERAGEIFS(DEBIT_HARIAN!$F$6:$F$9136,DEBIT_HARIAN!$B$6:$B$9136,$A12,DEBIT_HARIAN!$C$6:$C$9136,L$4,DEBIT_HARIAN!$E$6:$E$9136,L$5),"")</f>
        <v/>
      </c>
      <c r="M12" s="13">
        <f>IFERROR(AVERAGEIFS(DEBIT_HARIAN!$F$6:$F$9136,DEBIT_HARIAN!$B$6:$B$9136,$A12,DEBIT_HARIAN!$C$6:$C$9136,M$4,DEBIT_HARIAN!$E$6:$E$9136,M$5),"")</f>
        <v/>
      </c>
      <c r="N12" s="13">
        <f>IFERROR(AVERAGEIFS(DEBIT_HARIAN!$F$6:$F$9136,DEBIT_HARIAN!$B$6:$B$9136,$A12,DEBIT_HARIAN!$C$6:$C$9136,N$4,DEBIT_HARIAN!$E$6:$E$9136,N$5),"")</f>
        <v/>
      </c>
      <c r="O12" s="13">
        <f>IFERROR(AVERAGEIFS(DEBIT_HARIAN!$F$6:$F$9136,DEBIT_HARIAN!$B$6:$B$9136,$A12,DEBIT_HARIAN!$C$6:$C$9136,O$4,DEBIT_HARIAN!$E$6:$E$9136,O$5),"")</f>
        <v/>
      </c>
      <c r="P12" s="13">
        <f>IFERROR(AVERAGEIFS(DEBIT_HARIAN!$F$6:$F$9136,DEBIT_HARIAN!$B$6:$B$9136,$A12,DEBIT_HARIAN!$C$6:$C$9136,P$4,DEBIT_HARIAN!$E$6:$E$9136,P$5),"")</f>
        <v/>
      </c>
      <c r="Q12" s="13">
        <f>IFERROR(AVERAGEIFS(DEBIT_HARIAN!$F$6:$F$9136,DEBIT_HARIAN!$B$6:$B$9136,$A12,DEBIT_HARIAN!$C$6:$C$9136,Q$4,DEBIT_HARIAN!$E$6:$E$9136,Q$5),"")</f>
        <v/>
      </c>
      <c r="R12" s="13">
        <f>IFERROR(AVERAGEIFS(DEBIT_HARIAN!$F$6:$F$9136,DEBIT_HARIAN!$B$6:$B$9136,$A12,DEBIT_HARIAN!$C$6:$C$9136,R$4,DEBIT_HARIAN!$E$6:$E$9136,R$5),"")</f>
        <v/>
      </c>
      <c r="S12" s="13">
        <f>IFERROR(AVERAGEIFS(DEBIT_HARIAN!$F$6:$F$9136,DEBIT_HARIAN!$B$6:$B$9136,$A12,DEBIT_HARIAN!$C$6:$C$9136,S$4,DEBIT_HARIAN!$E$6:$E$9136,S$5),"")</f>
        <v/>
      </c>
      <c r="T12" s="13">
        <f>IFERROR(AVERAGEIFS(DEBIT_HARIAN!$F$6:$F$9136,DEBIT_HARIAN!$B$6:$B$9136,$A12,DEBIT_HARIAN!$C$6:$C$9136,T$4,DEBIT_HARIAN!$E$6:$E$9136,T$5),"")</f>
        <v/>
      </c>
      <c r="U12" s="13">
        <f>IFERROR(AVERAGEIFS(DEBIT_HARIAN!$F$6:$F$9136,DEBIT_HARIAN!$B$6:$B$9136,$A12,DEBIT_HARIAN!$C$6:$C$9136,U$4,DEBIT_HARIAN!$E$6:$E$9136,U$5),"")</f>
        <v/>
      </c>
      <c r="V12" s="13">
        <f>IFERROR(AVERAGEIFS(DEBIT_HARIAN!$F$6:$F$9136,DEBIT_HARIAN!$B$6:$B$9136,$A12,DEBIT_HARIAN!$C$6:$C$9136,V$4,DEBIT_HARIAN!$E$6:$E$9136,V$5),"")</f>
        <v/>
      </c>
      <c r="W12" s="13">
        <f>IFERROR(AVERAGEIFS(DEBIT_HARIAN!$F$6:$F$9136,DEBIT_HARIAN!$B$6:$B$9136,$A12,DEBIT_HARIAN!$C$6:$C$9136,W$4,DEBIT_HARIAN!$E$6:$E$9136,W$5),"")</f>
        <v/>
      </c>
      <c r="X12" s="13">
        <f>IFERROR(AVERAGEIFS(DEBIT_HARIAN!$F$6:$F$9136,DEBIT_HARIAN!$B$6:$B$9136,$A12,DEBIT_HARIAN!$C$6:$C$9136,X$4,DEBIT_HARIAN!$E$6:$E$9136,X$5),"")</f>
        <v/>
      </c>
      <c r="Y12" s="13">
        <f>IFERROR(AVERAGEIFS(DEBIT_HARIAN!$F$6:$F$9136,DEBIT_HARIAN!$B$6:$B$9136,$A12,DEBIT_HARIAN!$C$6:$C$9136,Y$4,DEBIT_HARIAN!$E$6:$E$9136,Y$5),"")</f>
        <v/>
      </c>
      <c r="Z12" s="10">
        <f>IFERROR(AVERAGEIFS(DEBIT_HARIAN!$F$6:$F$9136,DEBIT_HARIAN!$B$6:$B$9136,$A12),"")</f>
        <v/>
      </c>
    </row>
    <row r="13">
      <c r="A13" s="18" t="n">
        <v>2007</v>
      </c>
      <c r="B13" s="13">
        <f>IFERROR(AVERAGEIFS(DEBIT_HARIAN!$F$6:$F$9136,DEBIT_HARIAN!$B$6:$B$9136,$A13,DEBIT_HARIAN!$C$6:$C$9136,B$4,DEBIT_HARIAN!$E$6:$E$9136,B$5),"")</f>
        <v/>
      </c>
      <c r="C13" s="13">
        <f>IFERROR(AVERAGEIFS(DEBIT_HARIAN!$F$6:$F$9136,DEBIT_HARIAN!$B$6:$B$9136,$A13,DEBIT_HARIAN!$C$6:$C$9136,C$4,DEBIT_HARIAN!$E$6:$E$9136,C$5),"")</f>
        <v/>
      </c>
      <c r="D13" s="13">
        <f>IFERROR(AVERAGEIFS(DEBIT_HARIAN!$F$6:$F$9136,DEBIT_HARIAN!$B$6:$B$9136,$A13,DEBIT_HARIAN!$C$6:$C$9136,D$4,DEBIT_HARIAN!$E$6:$E$9136,D$5),"")</f>
        <v/>
      </c>
      <c r="E13" s="13">
        <f>IFERROR(AVERAGEIFS(DEBIT_HARIAN!$F$6:$F$9136,DEBIT_HARIAN!$B$6:$B$9136,$A13,DEBIT_HARIAN!$C$6:$C$9136,E$4,DEBIT_HARIAN!$E$6:$E$9136,E$5),"")</f>
        <v/>
      </c>
      <c r="F13" s="13">
        <f>IFERROR(AVERAGEIFS(DEBIT_HARIAN!$F$6:$F$9136,DEBIT_HARIAN!$B$6:$B$9136,$A13,DEBIT_HARIAN!$C$6:$C$9136,F$4,DEBIT_HARIAN!$E$6:$E$9136,F$5),"")</f>
        <v/>
      </c>
      <c r="G13" s="13">
        <f>IFERROR(AVERAGEIFS(DEBIT_HARIAN!$F$6:$F$9136,DEBIT_HARIAN!$B$6:$B$9136,$A13,DEBIT_HARIAN!$C$6:$C$9136,G$4,DEBIT_HARIAN!$E$6:$E$9136,G$5),"")</f>
        <v/>
      </c>
      <c r="H13" s="13">
        <f>IFERROR(AVERAGEIFS(DEBIT_HARIAN!$F$6:$F$9136,DEBIT_HARIAN!$B$6:$B$9136,$A13,DEBIT_HARIAN!$C$6:$C$9136,H$4,DEBIT_HARIAN!$E$6:$E$9136,H$5),"")</f>
        <v/>
      </c>
      <c r="I13" s="13">
        <f>IFERROR(AVERAGEIFS(DEBIT_HARIAN!$F$6:$F$9136,DEBIT_HARIAN!$B$6:$B$9136,$A13,DEBIT_HARIAN!$C$6:$C$9136,I$4,DEBIT_HARIAN!$E$6:$E$9136,I$5),"")</f>
        <v/>
      </c>
      <c r="J13" s="13">
        <f>IFERROR(AVERAGEIFS(DEBIT_HARIAN!$F$6:$F$9136,DEBIT_HARIAN!$B$6:$B$9136,$A13,DEBIT_HARIAN!$C$6:$C$9136,J$4,DEBIT_HARIAN!$E$6:$E$9136,J$5),"")</f>
        <v/>
      </c>
      <c r="K13" s="13">
        <f>IFERROR(AVERAGEIFS(DEBIT_HARIAN!$F$6:$F$9136,DEBIT_HARIAN!$B$6:$B$9136,$A13,DEBIT_HARIAN!$C$6:$C$9136,K$4,DEBIT_HARIAN!$E$6:$E$9136,K$5),"")</f>
        <v/>
      </c>
      <c r="L13" s="13">
        <f>IFERROR(AVERAGEIFS(DEBIT_HARIAN!$F$6:$F$9136,DEBIT_HARIAN!$B$6:$B$9136,$A13,DEBIT_HARIAN!$C$6:$C$9136,L$4,DEBIT_HARIAN!$E$6:$E$9136,L$5),"")</f>
        <v/>
      </c>
      <c r="M13" s="13">
        <f>IFERROR(AVERAGEIFS(DEBIT_HARIAN!$F$6:$F$9136,DEBIT_HARIAN!$B$6:$B$9136,$A13,DEBIT_HARIAN!$C$6:$C$9136,M$4,DEBIT_HARIAN!$E$6:$E$9136,M$5),"")</f>
        <v/>
      </c>
      <c r="N13" s="13">
        <f>IFERROR(AVERAGEIFS(DEBIT_HARIAN!$F$6:$F$9136,DEBIT_HARIAN!$B$6:$B$9136,$A13,DEBIT_HARIAN!$C$6:$C$9136,N$4,DEBIT_HARIAN!$E$6:$E$9136,N$5),"")</f>
        <v/>
      </c>
      <c r="O13" s="13">
        <f>IFERROR(AVERAGEIFS(DEBIT_HARIAN!$F$6:$F$9136,DEBIT_HARIAN!$B$6:$B$9136,$A13,DEBIT_HARIAN!$C$6:$C$9136,O$4,DEBIT_HARIAN!$E$6:$E$9136,O$5),"")</f>
        <v/>
      </c>
      <c r="P13" s="13">
        <f>IFERROR(AVERAGEIFS(DEBIT_HARIAN!$F$6:$F$9136,DEBIT_HARIAN!$B$6:$B$9136,$A13,DEBIT_HARIAN!$C$6:$C$9136,P$4,DEBIT_HARIAN!$E$6:$E$9136,P$5),"")</f>
        <v/>
      </c>
      <c r="Q13" s="13">
        <f>IFERROR(AVERAGEIFS(DEBIT_HARIAN!$F$6:$F$9136,DEBIT_HARIAN!$B$6:$B$9136,$A13,DEBIT_HARIAN!$C$6:$C$9136,Q$4,DEBIT_HARIAN!$E$6:$E$9136,Q$5),"")</f>
        <v/>
      </c>
      <c r="R13" s="13">
        <f>IFERROR(AVERAGEIFS(DEBIT_HARIAN!$F$6:$F$9136,DEBIT_HARIAN!$B$6:$B$9136,$A13,DEBIT_HARIAN!$C$6:$C$9136,R$4,DEBIT_HARIAN!$E$6:$E$9136,R$5),"")</f>
        <v/>
      </c>
      <c r="S13" s="13">
        <f>IFERROR(AVERAGEIFS(DEBIT_HARIAN!$F$6:$F$9136,DEBIT_HARIAN!$B$6:$B$9136,$A13,DEBIT_HARIAN!$C$6:$C$9136,S$4,DEBIT_HARIAN!$E$6:$E$9136,S$5),"")</f>
        <v/>
      </c>
      <c r="T13" s="13">
        <f>IFERROR(AVERAGEIFS(DEBIT_HARIAN!$F$6:$F$9136,DEBIT_HARIAN!$B$6:$B$9136,$A13,DEBIT_HARIAN!$C$6:$C$9136,T$4,DEBIT_HARIAN!$E$6:$E$9136,T$5),"")</f>
        <v/>
      </c>
      <c r="U13" s="13">
        <f>IFERROR(AVERAGEIFS(DEBIT_HARIAN!$F$6:$F$9136,DEBIT_HARIAN!$B$6:$B$9136,$A13,DEBIT_HARIAN!$C$6:$C$9136,U$4,DEBIT_HARIAN!$E$6:$E$9136,U$5),"")</f>
        <v/>
      </c>
      <c r="V13" s="13">
        <f>IFERROR(AVERAGEIFS(DEBIT_HARIAN!$F$6:$F$9136,DEBIT_HARIAN!$B$6:$B$9136,$A13,DEBIT_HARIAN!$C$6:$C$9136,V$4,DEBIT_HARIAN!$E$6:$E$9136,V$5),"")</f>
        <v/>
      </c>
      <c r="W13" s="13">
        <f>IFERROR(AVERAGEIFS(DEBIT_HARIAN!$F$6:$F$9136,DEBIT_HARIAN!$B$6:$B$9136,$A13,DEBIT_HARIAN!$C$6:$C$9136,W$4,DEBIT_HARIAN!$E$6:$E$9136,W$5),"")</f>
        <v/>
      </c>
      <c r="X13" s="13">
        <f>IFERROR(AVERAGEIFS(DEBIT_HARIAN!$F$6:$F$9136,DEBIT_HARIAN!$B$6:$B$9136,$A13,DEBIT_HARIAN!$C$6:$C$9136,X$4,DEBIT_HARIAN!$E$6:$E$9136,X$5),"")</f>
        <v/>
      </c>
      <c r="Y13" s="13">
        <f>IFERROR(AVERAGEIFS(DEBIT_HARIAN!$F$6:$F$9136,DEBIT_HARIAN!$B$6:$B$9136,$A13,DEBIT_HARIAN!$C$6:$C$9136,Y$4,DEBIT_HARIAN!$E$6:$E$9136,Y$5),"")</f>
        <v/>
      </c>
      <c r="Z13" s="10">
        <f>IFERROR(AVERAGEIFS(DEBIT_HARIAN!$F$6:$F$9136,DEBIT_HARIAN!$B$6:$B$9136,$A13),"")</f>
        <v/>
      </c>
    </row>
    <row r="14">
      <c r="A14" s="18" t="n">
        <v>2008</v>
      </c>
      <c r="B14" s="13">
        <f>IFERROR(AVERAGEIFS(DEBIT_HARIAN!$F$6:$F$9136,DEBIT_HARIAN!$B$6:$B$9136,$A14,DEBIT_HARIAN!$C$6:$C$9136,B$4,DEBIT_HARIAN!$E$6:$E$9136,B$5),"")</f>
        <v/>
      </c>
      <c r="C14" s="13">
        <f>IFERROR(AVERAGEIFS(DEBIT_HARIAN!$F$6:$F$9136,DEBIT_HARIAN!$B$6:$B$9136,$A14,DEBIT_HARIAN!$C$6:$C$9136,C$4,DEBIT_HARIAN!$E$6:$E$9136,C$5),"")</f>
        <v/>
      </c>
      <c r="D14" s="13">
        <f>IFERROR(AVERAGEIFS(DEBIT_HARIAN!$F$6:$F$9136,DEBIT_HARIAN!$B$6:$B$9136,$A14,DEBIT_HARIAN!$C$6:$C$9136,D$4,DEBIT_HARIAN!$E$6:$E$9136,D$5),"")</f>
        <v/>
      </c>
      <c r="E14" s="13">
        <f>IFERROR(AVERAGEIFS(DEBIT_HARIAN!$F$6:$F$9136,DEBIT_HARIAN!$B$6:$B$9136,$A14,DEBIT_HARIAN!$C$6:$C$9136,E$4,DEBIT_HARIAN!$E$6:$E$9136,E$5),"")</f>
        <v/>
      </c>
      <c r="F14" s="13">
        <f>IFERROR(AVERAGEIFS(DEBIT_HARIAN!$F$6:$F$9136,DEBIT_HARIAN!$B$6:$B$9136,$A14,DEBIT_HARIAN!$C$6:$C$9136,F$4,DEBIT_HARIAN!$E$6:$E$9136,F$5),"")</f>
        <v/>
      </c>
      <c r="G14" s="13">
        <f>IFERROR(AVERAGEIFS(DEBIT_HARIAN!$F$6:$F$9136,DEBIT_HARIAN!$B$6:$B$9136,$A14,DEBIT_HARIAN!$C$6:$C$9136,G$4,DEBIT_HARIAN!$E$6:$E$9136,G$5),"")</f>
        <v/>
      </c>
      <c r="H14" s="13">
        <f>IFERROR(AVERAGEIFS(DEBIT_HARIAN!$F$6:$F$9136,DEBIT_HARIAN!$B$6:$B$9136,$A14,DEBIT_HARIAN!$C$6:$C$9136,H$4,DEBIT_HARIAN!$E$6:$E$9136,H$5),"")</f>
        <v/>
      </c>
      <c r="I14" s="13">
        <f>IFERROR(AVERAGEIFS(DEBIT_HARIAN!$F$6:$F$9136,DEBIT_HARIAN!$B$6:$B$9136,$A14,DEBIT_HARIAN!$C$6:$C$9136,I$4,DEBIT_HARIAN!$E$6:$E$9136,I$5),"")</f>
        <v/>
      </c>
      <c r="J14" s="13">
        <f>IFERROR(AVERAGEIFS(DEBIT_HARIAN!$F$6:$F$9136,DEBIT_HARIAN!$B$6:$B$9136,$A14,DEBIT_HARIAN!$C$6:$C$9136,J$4,DEBIT_HARIAN!$E$6:$E$9136,J$5),"")</f>
        <v/>
      </c>
      <c r="K14" s="13">
        <f>IFERROR(AVERAGEIFS(DEBIT_HARIAN!$F$6:$F$9136,DEBIT_HARIAN!$B$6:$B$9136,$A14,DEBIT_HARIAN!$C$6:$C$9136,K$4,DEBIT_HARIAN!$E$6:$E$9136,K$5),"")</f>
        <v/>
      </c>
      <c r="L14" s="13">
        <f>IFERROR(AVERAGEIFS(DEBIT_HARIAN!$F$6:$F$9136,DEBIT_HARIAN!$B$6:$B$9136,$A14,DEBIT_HARIAN!$C$6:$C$9136,L$4,DEBIT_HARIAN!$E$6:$E$9136,L$5),"")</f>
        <v/>
      </c>
      <c r="M14" s="13">
        <f>IFERROR(AVERAGEIFS(DEBIT_HARIAN!$F$6:$F$9136,DEBIT_HARIAN!$B$6:$B$9136,$A14,DEBIT_HARIAN!$C$6:$C$9136,M$4,DEBIT_HARIAN!$E$6:$E$9136,M$5),"")</f>
        <v/>
      </c>
      <c r="N14" s="13">
        <f>IFERROR(AVERAGEIFS(DEBIT_HARIAN!$F$6:$F$9136,DEBIT_HARIAN!$B$6:$B$9136,$A14,DEBIT_HARIAN!$C$6:$C$9136,N$4,DEBIT_HARIAN!$E$6:$E$9136,N$5),"")</f>
        <v/>
      </c>
      <c r="O14" s="13">
        <f>IFERROR(AVERAGEIFS(DEBIT_HARIAN!$F$6:$F$9136,DEBIT_HARIAN!$B$6:$B$9136,$A14,DEBIT_HARIAN!$C$6:$C$9136,O$4,DEBIT_HARIAN!$E$6:$E$9136,O$5),"")</f>
        <v/>
      </c>
      <c r="P14" s="13">
        <f>IFERROR(AVERAGEIFS(DEBIT_HARIAN!$F$6:$F$9136,DEBIT_HARIAN!$B$6:$B$9136,$A14,DEBIT_HARIAN!$C$6:$C$9136,P$4,DEBIT_HARIAN!$E$6:$E$9136,P$5),"")</f>
        <v/>
      </c>
      <c r="Q14" s="13">
        <f>IFERROR(AVERAGEIFS(DEBIT_HARIAN!$F$6:$F$9136,DEBIT_HARIAN!$B$6:$B$9136,$A14,DEBIT_HARIAN!$C$6:$C$9136,Q$4,DEBIT_HARIAN!$E$6:$E$9136,Q$5),"")</f>
        <v/>
      </c>
      <c r="R14" s="13">
        <f>IFERROR(AVERAGEIFS(DEBIT_HARIAN!$F$6:$F$9136,DEBIT_HARIAN!$B$6:$B$9136,$A14,DEBIT_HARIAN!$C$6:$C$9136,R$4,DEBIT_HARIAN!$E$6:$E$9136,R$5),"")</f>
        <v/>
      </c>
      <c r="S14" s="13">
        <f>IFERROR(AVERAGEIFS(DEBIT_HARIAN!$F$6:$F$9136,DEBIT_HARIAN!$B$6:$B$9136,$A14,DEBIT_HARIAN!$C$6:$C$9136,S$4,DEBIT_HARIAN!$E$6:$E$9136,S$5),"")</f>
        <v/>
      </c>
      <c r="T14" s="13">
        <f>IFERROR(AVERAGEIFS(DEBIT_HARIAN!$F$6:$F$9136,DEBIT_HARIAN!$B$6:$B$9136,$A14,DEBIT_HARIAN!$C$6:$C$9136,T$4,DEBIT_HARIAN!$E$6:$E$9136,T$5),"")</f>
        <v/>
      </c>
      <c r="U14" s="13">
        <f>IFERROR(AVERAGEIFS(DEBIT_HARIAN!$F$6:$F$9136,DEBIT_HARIAN!$B$6:$B$9136,$A14,DEBIT_HARIAN!$C$6:$C$9136,U$4,DEBIT_HARIAN!$E$6:$E$9136,U$5),"")</f>
        <v/>
      </c>
      <c r="V14" s="13">
        <f>IFERROR(AVERAGEIFS(DEBIT_HARIAN!$F$6:$F$9136,DEBIT_HARIAN!$B$6:$B$9136,$A14,DEBIT_HARIAN!$C$6:$C$9136,V$4,DEBIT_HARIAN!$E$6:$E$9136,V$5),"")</f>
        <v/>
      </c>
      <c r="W14" s="13">
        <f>IFERROR(AVERAGEIFS(DEBIT_HARIAN!$F$6:$F$9136,DEBIT_HARIAN!$B$6:$B$9136,$A14,DEBIT_HARIAN!$C$6:$C$9136,W$4,DEBIT_HARIAN!$E$6:$E$9136,W$5),"")</f>
        <v/>
      </c>
      <c r="X14" s="13">
        <f>IFERROR(AVERAGEIFS(DEBIT_HARIAN!$F$6:$F$9136,DEBIT_HARIAN!$B$6:$B$9136,$A14,DEBIT_HARIAN!$C$6:$C$9136,X$4,DEBIT_HARIAN!$E$6:$E$9136,X$5),"")</f>
        <v/>
      </c>
      <c r="Y14" s="13">
        <f>IFERROR(AVERAGEIFS(DEBIT_HARIAN!$F$6:$F$9136,DEBIT_HARIAN!$B$6:$B$9136,$A14,DEBIT_HARIAN!$C$6:$C$9136,Y$4,DEBIT_HARIAN!$E$6:$E$9136,Y$5),"")</f>
        <v/>
      </c>
      <c r="Z14" s="10">
        <f>IFERROR(AVERAGEIFS(DEBIT_HARIAN!$F$6:$F$9136,DEBIT_HARIAN!$B$6:$B$9136,$A14),"")</f>
        <v/>
      </c>
    </row>
    <row r="15">
      <c r="A15" s="18" t="n">
        <v>2009</v>
      </c>
      <c r="B15" s="13">
        <f>IFERROR(AVERAGEIFS(DEBIT_HARIAN!$F$6:$F$9136,DEBIT_HARIAN!$B$6:$B$9136,$A15,DEBIT_HARIAN!$C$6:$C$9136,B$4,DEBIT_HARIAN!$E$6:$E$9136,B$5),"")</f>
        <v/>
      </c>
      <c r="C15" s="13">
        <f>IFERROR(AVERAGEIFS(DEBIT_HARIAN!$F$6:$F$9136,DEBIT_HARIAN!$B$6:$B$9136,$A15,DEBIT_HARIAN!$C$6:$C$9136,C$4,DEBIT_HARIAN!$E$6:$E$9136,C$5),"")</f>
        <v/>
      </c>
      <c r="D15" s="13">
        <f>IFERROR(AVERAGEIFS(DEBIT_HARIAN!$F$6:$F$9136,DEBIT_HARIAN!$B$6:$B$9136,$A15,DEBIT_HARIAN!$C$6:$C$9136,D$4,DEBIT_HARIAN!$E$6:$E$9136,D$5),"")</f>
        <v/>
      </c>
      <c r="E15" s="13">
        <f>IFERROR(AVERAGEIFS(DEBIT_HARIAN!$F$6:$F$9136,DEBIT_HARIAN!$B$6:$B$9136,$A15,DEBIT_HARIAN!$C$6:$C$9136,E$4,DEBIT_HARIAN!$E$6:$E$9136,E$5),"")</f>
        <v/>
      </c>
      <c r="F15" s="13">
        <f>IFERROR(AVERAGEIFS(DEBIT_HARIAN!$F$6:$F$9136,DEBIT_HARIAN!$B$6:$B$9136,$A15,DEBIT_HARIAN!$C$6:$C$9136,F$4,DEBIT_HARIAN!$E$6:$E$9136,F$5),"")</f>
        <v/>
      </c>
      <c r="G15" s="13">
        <f>IFERROR(AVERAGEIFS(DEBIT_HARIAN!$F$6:$F$9136,DEBIT_HARIAN!$B$6:$B$9136,$A15,DEBIT_HARIAN!$C$6:$C$9136,G$4,DEBIT_HARIAN!$E$6:$E$9136,G$5),"")</f>
        <v/>
      </c>
      <c r="H15" s="13">
        <f>IFERROR(AVERAGEIFS(DEBIT_HARIAN!$F$6:$F$9136,DEBIT_HARIAN!$B$6:$B$9136,$A15,DEBIT_HARIAN!$C$6:$C$9136,H$4,DEBIT_HARIAN!$E$6:$E$9136,H$5),"")</f>
        <v/>
      </c>
      <c r="I15" s="13">
        <f>IFERROR(AVERAGEIFS(DEBIT_HARIAN!$F$6:$F$9136,DEBIT_HARIAN!$B$6:$B$9136,$A15,DEBIT_HARIAN!$C$6:$C$9136,I$4,DEBIT_HARIAN!$E$6:$E$9136,I$5),"")</f>
        <v/>
      </c>
      <c r="J15" s="13">
        <f>IFERROR(AVERAGEIFS(DEBIT_HARIAN!$F$6:$F$9136,DEBIT_HARIAN!$B$6:$B$9136,$A15,DEBIT_HARIAN!$C$6:$C$9136,J$4,DEBIT_HARIAN!$E$6:$E$9136,J$5),"")</f>
        <v/>
      </c>
      <c r="K15" s="13">
        <f>IFERROR(AVERAGEIFS(DEBIT_HARIAN!$F$6:$F$9136,DEBIT_HARIAN!$B$6:$B$9136,$A15,DEBIT_HARIAN!$C$6:$C$9136,K$4,DEBIT_HARIAN!$E$6:$E$9136,K$5),"")</f>
        <v/>
      </c>
      <c r="L15" s="13">
        <f>IFERROR(AVERAGEIFS(DEBIT_HARIAN!$F$6:$F$9136,DEBIT_HARIAN!$B$6:$B$9136,$A15,DEBIT_HARIAN!$C$6:$C$9136,L$4,DEBIT_HARIAN!$E$6:$E$9136,L$5),"")</f>
        <v/>
      </c>
      <c r="M15" s="13">
        <f>IFERROR(AVERAGEIFS(DEBIT_HARIAN!$F$6:$F$9136,DEBIT_HARIAN!$B$6:$B$9136,$A15,DEBIT_HARIAN!$C$6:$C$9136,M$4,DEBIT_HARIAN!$E$6:$E$9136,M$5),"")</f>
        <v/>
      </c>
      <c r="N15" s="13">
        <f>IFERROR(AVERAGEIFS(DEBIT_HARIAN!$F$6:$F$9136,DEBIT_HARIAN!$B$6:$B$9136,$A15,DEBIT_HARIAN!$C$6:$C$9136,N$4,DEBIT_HARIAN!$E$6:$E$9136,N$5),"")</f>
        <v/>
      </c>
      <c r="O15" s="13">
        <f>IFERROR(AVERAGEIFS(DEBIT_HARIAN!$F$6:$F$9136,DEBIT_HARIAN!$B$6:$B$9136,$A15,DEBIT_HARIAN!$C$6:$C$9136,O$4,DEBIT_HARIAN!$E$6:$E$9136,O$5),"")</f>
        <v/>
      </c>
      <c r="P15" s="13">
        <f>IFERROR(AVERAGEIFS(DEBIT_HARIAN!$F$6:$F$9136,DEBIT_HARIAN!$B$6:$B$9136,$A15,DEBIT_HARIAN!$C$6:$C$9136,P$4,DEBIT_HARIAN!$E$6:$E$9136,P$5),"")</f>
        <v/>
      </c>
      <c r="Q15" s="13">
        <f>IFERROR(AVERAGEIFS(DEBIT_HARIAN!$F$6:$F$9136,DEBIT_HARIAN!$B$6:$B$9136,$A15,DEBIT_HARIAN!$C$6:$C$9136,Q$4,DEBIT_HARIAN!$E$6:$E$9136,Q$5),"")</f>
        <v/>
      </c>
      <c r="R15" s="13">
        <f>IFERROR(AVERAGEIFS(DEBIT_HARIAN!$F$6:$F$9136,DEBIT_HARIAN!$B$6:$B$9136,$A15,DEBIT_HARIAN!$C$6:$C$9136,R$4,DEBIT_HARIAN!$E$6:$E$9136,R$5),"")</f>
        <v/>
      </c>
      <c r="S15" s="13">
        <f>IFERROR(AVERAGEIFS(DEBIT_HARIAN!$F$6:$F$9136,DEBIT_HARIAN!$B$6:$B$9136,$A15,DEBIT_HARIAN!$C$6:$C$9136,S$4,DEBIT_HARIAN!$E$6:$E$9136,S$5),"")</f>
        <v/>
      </c>
      <c r="T15" s="13">
        <f>IFERROR(AVERAGEIFS(DEBIT_HARIAN!$F$6:$F$9136,DEBIT_HARIAN!$B$6:$B$9136,$A15,DEBIT_HARIAN!$C$6:$C$9136,T$4,DEBIT_HARIAN!$E$6:$E$9136,T$5),"")</f>
        <v/>
      </c>
      <c r="U15" s="13">
        <f>IFERROR(AVERAGEIFS(DEBIT_HARIAN!$F$6:$F$9136,DEBIT_HARIAN!$B$6:$B$9136,$A15,DEBIT_HARIAN!$C$6:$C$9136,U$4,DEBIT_HARIAN!$E$6:$E$9136,U$5),"")</f>
        <v/>
      </c>
      <c r="V15" s="13">
        <f>IFERROR(AVERAGEIFS(DEBIT_HARIAN!$F$6:$F$9136,DEBIT_HARIAN!$B$6:$B$9136,$A15,DEBIT_HARIAN!$C$6:$C$9136,V$4,DEBIT_HARIAN!$E$6:$E$9136,V$5),"")</f>
        <v/>
      </c>
      <c r="W15" s="13">
        <f>IFERROR(AVERAGEIFS(DEBIT_HARIAN!$F$6:$F$9136,DEBIT_HARIAN!$B$6:$B$9136,$A15,DEBIT_HARIAN!$C$6:$C$9136,W$4,DEBIT_HARIAN!$E$6:$E$9136,W$5),"")</f>
        <v/>
      </c>
      <c r="X15" s="13">
        <f>IFERROR(AVERAGEIFS(DEBIT_HARIAN!$F$6:$F$9136,DEBIT_HARIAN!$B$6:$B$9136,$A15,DEBIT_HARIAN!$C$6:$C$9136,X$4,DEBIT_HARIAN!$E$6:$E$9136,X$5),"")</f>
        <v/>
      </c>
      <c r="Y15" s="13">
        <f>IFERROR(AVERAGEIFS(DEBIT_HARIAN!$F$6:$F$9136,DEBIT_HARIAN!$B$6:$B$9136,$A15,DEBIT_HARIAN!$C$6:$C$9136,Y$4,DEBIT_HARIAN!$E$6:$E$9136,Y$5),"")</f>
        <v/>
      </c>
      <c r="Z15" s="10">
        <f>IFERROR(AVERAGEIFS(DEBIT_HARIAN!$F$6:$F$9136,DEBIT_HARIAN!$B$6:$B$9136,$A15),"")</f>
        <v/>
      </c>
    </row>
    <row r="16">
      <c r="A16" s="18" t="n">
        <v>2010</v>
      </c>
      <c r="B16" s="13">
        <f>IFERROR(AVERAGEIFS(DEBIT_HARIAN!$F$6:$F$9136,DEBIT_HARIAN!$B$6:$B$9136,$A16,DEBIT_HARIAN!$C$6:$C$9136,B$4,DEBIT_HARIAN!$E$6:$E$9136,B$5),"")</f>
        <v/>
      </c>
      <c r="C16" s="13">
        <f>IFERROR(AVERAGEIFS(DEBIT_HARIAN!$F$6:$F$9136,DEBIT_HARIAN!$B$6:$B$9136,$A16,DEBIT_HARIAN!$C$6:$C$9136,C$4,DEBIT_HARIAN!$E$6:$E$9136,C$5),"")</f>
        <v/>
      </c>
      <c r="D16" s="13">
        <f>IFERROR(AVERAGEIFS(DEBIT_HARIAN!$F$6:$F$9136,DEBIT_HARIAN!$B$6:$B$9136,$A16,DEBIT_HARIAN!$C$6:$C$9136,D$4,DEBIT_HARIAN!$E$6:$E$9136,D$5),"")</f>
        <v/>
      </c>
      <c r="E16" s="13">
        <f>IFERROR(AVERAGEIFS(DEBIT_HARIAN!$F$6:$F$9136,DEBIT_HARIAN!$B$6:$B$9136,$A16,DEBIT_HARIAN!$C$6:$C$9136,E$4,DEBIT_HARIAN!$E$6:$E$9136,E$5),"")</f>
        <v/>
      </c>
      <c r="F16" s="13">
        <f>IFERROR(AVERAGEIFS(DEBIT_HARIAN!$F$6:$F$9136,DEBIT_HARIAN!$B$6:$B$9136,$A16,DEBIT_HARIAN!$C$6:$C$9136,F$4,DEBIT_HARIAN!$E$6:$E$9136,F$5),"")</f>
        <v/>
      </c>
      <c r="G16" s="13">
        <f>IFERROR(AVERAGEIFS(DEBIT_HARIAN!$F$6:$F$9136,DEBIT_HARIAN!$B$6:$B$9136,$A16,DEBIT_HARIAN!$C$6:$C$9136,G$4,DEBIT_HARIAN!$E$6:$E$9136,G$5),"")</f>
        <v/>
      </c>
      <c r="H16" s="13">
        <f>IFERROR(AVERAGEIFS(DEBIT_HARIAN!$F$6:$F$9136,DEBIT_HARIAN!$B$6:$B$9136,$A16,DEBIT_HARIAN!$C$6:$C$9136,H$4,DEBIT_HARIAN!$E$6:$E$9136,H$5),"")</f>
        <v/>
      </c>
      <c r="I16" s="13">
        <f>IFERROR(AVERAGEIFS(DEBIT_HARIAN!$F$6:$F$9136,DEBIT_HARIAN!$B$6:$B$9136,$A16,DEBIT_HARIAN!$C$6:$C$9136,I$4,DEBIT_HARIAN!$E$6:$E$9136,I$5),"")</f>
        <v/>
      </c>
      <c r="J16" s="13">
        <f>IFERROR(AVERAGEIFS(DEBIT_HARIAN!$F$6:$F$9136,DEBIT_HARIAN!$B$6:$B$9136,$A16,DEBIT_HARIAN!$C$6:$C$9136,J$4,DEBIT_HARIAN!$E$6:$E$9136,J$5),"")</f>
        <v/>
      </c>
      <c r="K16" s="13">
        <f>IFERROR(AVERAGEIFS(DEBIT_HARIAN!$F$6:$F$9136,DEBIT_HARIAN!$B$6:$B$9136,$A16,DEBIT_HARIAN!$C$6:$C$9136,K$4,DEBIT_HARIAN!$E$6:$E$9136,K$5),"")</f>
        <v/>
      </c>
      <c r="L16" s="13">
        <f>IFERROR(AVERAGEIFS(DEBIT_HARIAN!$F$6:$F$9136,DEBIT_HARIAN!$B$6:$B$9136,$A16,DEBIT_HARIAN!$C$6:$C$9136,L$4,DEBIT_HARIAN!$E$6:$E$9136,L$5),"")</f>
        <v/>
      </c>
      <c r="M16" s="13">
        <f>IFERROR(AVERAGEIFS(DEBIT_HARIAN!$F$6:$F$9136,DEBIT_HARIAN!$B$6:$B$9136,$A16,DEBIT_HARIAN!$C$6:$C$9136,M$4,DEBIT_HARIAN!$E$6:$E$9136,M$5),"")</f>
        <v/>
      </c>
      <c r="N16" s="13">
        <f>IFERROR(AVERAGEIFS(DEBIT_HARIAN!$F$6:$F$9136,DEBIT_HARIAN!$B$6:$B$9136,$A16,DEBIT_HARIAN!$C$6:$C$9136,N$4,DEBIT_HARIAN!$E$6:$E$9136,N$5),"")</f>
        <v/>
      </c>
      <c r="O16" s="13">
        <f>IFERROR(AVERAGEIFS(DEBIT_HARIAN!$F$6:$F$9136,DEBIT_HARIAN!$B$6:$B$9136,$A16,DEBIT_HARIAN!$C$6:$C$9136,O$4,DEBIT_HARIAN!$E$6:$E$9136,O$5),"")</f>
        <v/>
      </c>
      <c r="P16" s="13">
        <f>IFERROR(AVERAGEIFS(DEBIT_HARIAN!$F$6:$F$9136,DEBIT_HARIAN!$B$6:$B$9136,$A16,DEBIT_HARIAN!$C$6:$C$9136,P$4,DEBIT_HARIAN!$E$6:$E$9136,P$5),"")</f>
        <v/>
      </c>
      <c r="Q16" s="13">
        <f>IFERROR(AVERAGEIFS(DEBIT_HARIAN!$F$6:$F$9136,DEBIT_HARIAN!$B$6:$B$9136,$A16,DEBIT_HARIAN!$C$6:$C$9136,Q$4,DEBIT_HARIAN!$E$6:$E$9136,Q$5),"")</f>
        <v/>
      </c>
      <c r="R16" s="13">
        <f>IFERROR(AVERAGEIFS(DEBIT_HARIAN!$F$6:$F$9136,DEBIT_HARIAN!$B$6:$B$9136,$A16,DEBIT_HARIAN!$C$6:$C$9136,R$4,DEBIT_HARIAN!$E$6:$E$9136,R$5),"")</f>
        <v/>
      </c>
      <c r="S16" s="13">
        <f>IFERROR(AVERAGEIFS(DEBIT_HARIAN!$F$6:$F$9136,DEBIT_HARIAN!$B$6:$B$9136,$A16,DEBIT_HARIAN!$C$6:$C$9136,S$4,DEBIT_HARIAN!$E$6:$E$9136,S$5),"")</f>
        <v/>
      </c>
      <c r="T16" s="13">
        <f>IFERROR(AVERAGEIFS(DEBIT_HARIAN!$F$6:$F$9136,DEBIT_HARIAN!$B$6:$B$9136,$A16,DEBIT_HARIAN!$C$6:$C$9136,T$4,DEBIT_HARIAN!$E$6:$E$9136,T$5),"")</f>
        <v/>
      </c>
      <c r="U16" s="13">
        <f>IFERROR(AVERAGEIFS(DEBIT_HARIAN!$F$6:$F$9136,DEBIT_HARIAN!$B$6:$B$9136,$A16,DEBIT_HARIAN!$C$6:$C$9136,U$4,DEBIT_HARIAN!$E$6:$E$9136,U$5),"")</f>
        <v/>
      </c>
      <c r="V16" s="13">
        <f>IFERROR(AVERAGEIFS(DEBIT_HARIAN!$F$6:$F$9136,DEBIT_HARIAN!$B$6:$B$9136,$A16,DEBIT_HARIAN!$C$6:$C$9136,V$4,DEBIT_HARIAN!$E$6:$E$9136,V$5),"")</f>
        <v/>
      </c>
      <c r="W16" s="13">
        <f>IFERROR(AVERAGEIFS(DEBIT_HARIAN!$F$6:$F$9136,DEBIT_HARIAN!$B$6:$B$9136,$A16,DEBIT_HARIAN!$C$6:$C$9136,W$4,DEBIT_HARIAN!$E$6:$E$9136,W$5),"")</f>
        <v/>
      </c>
      <c r="X16" s="13">
        <f>IFERROR(AVERAGEIFS(DEBIT_HARIAN!$F$6:$F$9136,DEBIT_HARIAN!$B$6:$B$9136,$A16,DEBIT_HARIAN!$C$6:$C$9136,X$4,DEBIT_HARIAN!$E$6:$E$9136,X$5),"")</f>
        <v/>
      </c>
      <c r="Y16" s="13">
        <f>IFERROR(AVERAGEIFS(DEBIT_HARIAN!$F$6:$F$9136,DEBIT_HARIAN!$B$6:$B$9136,$A16,DEBIT_HARIAN!$C$6:$C$9136,Y$4,DEBIT_HARIAN!$E$6:$E$9136,Y$5),"")</f>
        <v/>
      </c>
      <c r="Z16" s="10">
        <f>IFERROR(AVERAGEIFS(DEBIT_HARIAN!$F$6:$F$9136,DEBIT_HARIAN!$B$6:$B$9136,$A16),"")</f>
        <v/>
      </c>
    </row>
    <row r="17">
      <c r="A17" s="18" t="n">
        <v>2011</v>
      </c>
      <c r="B17" s="13">
        <f>IFERROR(AVERAGEIFS(DEBIT_HARIAN!$F$6:$F$9136,DEBIT_HARIAN!$B$6:$B$9136,$A17,DEBIT_HARIAN!$C$6:$C$9136,B$4,DEBIT_HARIAN!$E$6:$E$9136,B$5),"")</f>
        <v/>
      </c>
      <c r="C17" s="13">
        <f>IFERROR(AVERAGEIFS(DEBIT_HARIAN!$F$6:$F$9136,DEBIT_HARIAN!$B$6:$B$9136,$A17,DEBIT_HARIAN!$C$6:$C$9136,C$4,DEBIT_HARIAN!$E$6:$E$9136,C$5),"")</f>
        <v/>
      </c>
      <c r="D17" s="13">
        <f>IFERROR(AVERAGEIFS(DEBIT_HARIAN!$F$6:$F$9136,DEBIT_HARIAN!$B$6:$B$9136,$A17,DEBIT_HARIAN!$C$6:$C$9136,D$4,DEBIT_HARIAN!$E$6:$E$9136,D$5),"")</f>
        <v/>
      </c>
      <c r="E17" s="13">
        <f>IFERROR(AVERAGEIFS(DEBIT_HARIAN!$F$6:$F$9136,DEBIT_HARIAN!$B$6:$B$9136,$A17,DEBIT_HARIAN!$C$6:$C$9136,E$4,DEBIT_HARIAN!$E$6:$E$9136,E$5),"")</f>
        <v/>
      </c>
      <c r="F17" s="13">
        <f>IFERROR(AVERAGEIFS(DEBIT_HARIAN!$F$6:$F$9136,DEBIT_HARIAN!$B$6:$B$9136,$A17,DEBIT_HARIAN!$C$6:$C$9136,F$4,DEBIT_HARIAN!$E$6:$E$9136,F$5),"")</f>
        <v/>
      </c>
      <c r="G17" s="13">
        <f>IFERROR(AVERAGEIFS(DEBIT_HARIAN!$F$6:$F$9136,DEBIT_HARIAN!$B$6:$B$9136,$A17,DEBIT_HARIAN!$C$6:$C$9136,G$4,DEBIT_HARIAN!$E$6:$E$9136,G$5),"")</f>
        <v/>
      </c>
      <c r="H17" s="13">
        <f>IFERROR(AVERAGEIFS(DEBIT_HARIAN!$F$6:$F$9136,DEBIT_HARIAN!$B$6:$B$9136,$A17,DEBIT_HARIAN!$C$6:$C$9136,H$4,DEBIT_HARIAN!$E$6:$E$9136,H$5),"")</f>
        <v/>
      </c>
      <c r="I17" s="13">
        <f>IFERROR(AVERAGEIFS(DEBIT_HARIAN!$F$6:$F$9136,DEBIT_HARIAN!$B$6:$B$9136,$A17,DEBIT_HARIAN!$C$6:$C$9136,I$4,DEBIT_HARIAN!$E$6:$E$9136,I$5),"")</f>
        <v/>
      </c>
      <c r="J17" s="13">
        <f>IFERROR(AVERAGEIFS(DEBIT_HARIAN!$F$6:$F$9136,DEBIT_HARIAN!$B$6:$B$9136,$A17,DEBIT_HARIAN!$C$6:$C$9136,J$4,DEBIT_HARIAN!$E$6:$E$9136,J$5),"")</f>
        <v/>
      </c>
      <c r="K17" s="13">
        <f>IFERROR(AVERAGEIFS(DEBIT_HARIAN!$F$6:$F$9136,DEBIT_HARIAN!$B$6:$B$9136,$A17,DEBIT_HARIAN!$C$6:$C$9136,K$4,DEBIT_HARIAN!$E$6:$E$9136,K$5),"")</f>
        <v/>
      </c>
      <c r="L17" s="13">
        <f>IFERROR(AVERAGEIFS(DEBIT_HARIAN!$F$6:$F$9136,DEBIT_HARIAN!$B$6:$B$9136,$A17,DEBIT_HARIAN!$C$6:$C$9136,L$4,DEBIT_HARIAN!$E$6:$E$9136,L$5),"")</f>
        <v/>
      </c>
      <c r="M17" s="13">
        <f>IFERROR(AVERAGEIFS(DEBIT_HARIAN!$F$6:$F$9136,DEBIT_HARIAN!$B$6:$B$9136,$A17,DEBIT_HARIAN!$C$6:$C$9136,M$4,DEBIT_HARIAN!$E$6:$E$9136,M$5),"")</f>
        <v/>
      </c>
      <c r="N17" s="13">
        <f>IFERROR(AVERAGEIFS(DEBIT_HARIAN!$F$6:$F$9136,DEBIT_HARIAN!$B$6:$B$9136,$A17,DEBIT_HARIAN!$C$6:$C$9136,N$4,DEBIT_HARIAN!$E$6:$E$9136,N$5),"")</f>
        <v/>
      </c>
      <c r="O17" s="13">
        <f>IFERROR(AVERAGEIFS(DEBIT_HARIAN!$F$6:$F$9136,DEBIT_HARIAN!$B$6:$B$9136,$A17,DEBIT_HARIAN!$C$6:$C$9136,O$4,DEBIT_HARIAN!$E$6:$E$9136,O$5),"")</f>
        <v/>
      </c>
      <c r="P17" s="13">
        <f>IFERROR(AVERAGEIFS(DEBIT_HARIAN!$F$6:$F$9136,DEBIT_HARIAN!$B$6:$B$9136,$A17,DEBIT_HARIAN!$C$6:$C$9136,P$4,DEBIT_HARIAN!$E$6:$E$9136,P$5),"")</f>
        <v/>
      </c>
      <c r="Q17" s="13">
        <f>IFERROR(AVERAGEIFS(DEBIT_HARIAN!$F$6:$F$9136,DEBIT_HARIAN!$B$6:$B$9136,$A17,DEBIT_HARIAN!$C$6:$C$9136,Q$4,DEBIT_HARIAN!$E$6:$E$9136,Q$5),"")</f>
        <v/>
      </c>
      <c r="R17" s="13">
        <f>IFERROR(AVERAGEIFS(DEBIT_HARIAN!$F$6:$F$9136,DEBIT_HARIAN!$B$6:$B$9136,$A17,DEBIT_HARIAN!$C$6:$C$9136,R$4,DEBIT_HARIAN!$E$6:$E$9136,R$5),"")</f>
        <v/>
      </c>
      <c r="S17" s="13">
        <f>IFERROR(AVERAGEIFS(DEBIT_HARIAN!$F$6:$F$9136,DEBIT_HARIAN!$B$6:$B$9136,$A17,DEBIT_HARIAN!$C$6:$C$9136,S$4,DEBIT_HARIAN!$E$6:$E$9136,S$5),"")</f>
        <v/>
      </c>
      <c r="T17" s="13">
        <f>IFERROR(AVERAGEIFS(DEBIT_HARIAN!$F$6:$F$9136,DEBIT_HARIAN!$B$6:$B$9136,$A17,DEBIT_HARIAN!$C$6:$C$9136,T$4,DEBIT_HARIAN!$E$6:$E$9136,T$5),"")</f>
        <v/>
      </c>
      <c r="U17" s="13">
        <f>IFERROR(AVERAGEIFS(DEBIT_HARIAN!$F$6:$F$9136,DEBIT_HARIAN!$B$6:$B$9136,$A17,DEBIT_HARIAN!$C$6:$C$9136,U$4,DEBIT_HARIAN!$E$6:$E$9136,U$5),"")</f>
        <v/>
      </c>
      <c r="V17" s="13">
        <f>IFERROR(AVERAGEIFS(DEBIT_HARIAN!$F$6:$F$9136,DEBIT_HARIAN!$B$6:$B$9136,$A17,DEBIT_HARIAN!$C$6:$C$9136,V$4,DEBIT_HARIAN!$E$6:$E$9136,V$5),"")</f>
        <v/>
      </c>
      <c r="W17" s="13">
        <f>IFERROR(AVERAGEIFS(DEBIT_HARIAN!$F$6:$F$9136,DEBIT_HARIAN!$B$6:$B$9136,$A17,DEBIT_HARIAN!$C$6:$C$9136,W$4,DEBIT_HARIAN!$E$6:$E$9136,W$5),"")</f>
        <v/>
      </c>
      <c r="X17" s="13">
        <f>IFERROR(AVERAGEIFS(DEBIT_HARIAN!$F$6:$F$9136,DEBIT_HARIAN!$B$6:$B$9136,$A17,DEBIT_HARIAN!$C$6:$C$9136,X$4,DEBIT_HARIAN!$E$6:$E$9136,X$5),"")</f>
        <v/>
      </c>
      <c r="Y17" s="13">
        <f>IFERROR(AVERAGEIFS(DEBIT_HARIAN!$F$6:$F$9136,DEBIT_HARIAN!$B$6:$B$9136,$A17,DEBIT_HARIAN!$C$6:$C$9136,Y$4,DEBIT_HARIAN!$E$6:$E$9136,Y$5),"")</f>
        <v/>
      </c>
      <c r="Z17" s="10">
        <f>IFERROR(AVERAGEIFS(DEBIT_HARIAN!$F$6:$F$9136,DEBIT_HARIAN!$B$6:$B$9136,$A17),"")</f>
        <v/>
      </c>
    </row>
    <row r="18">
      <c r="A18" s="18" t="n">
        <v>2012</v>
      </c>
      <c r="B18" s="13">
        <f>IFERROR(AVERAGEIFS(DEBIT_HARIAN!$F$6:$F$9136,DEBIT_HARIAN!$B$6:$B$9136,$A18,DEBIT_HARIAN!$C$6:$C$9136,B$4,DEBIT_HARIAN!$E$6:$E$9136,B$5),"")</f>
        <v/>
      </c>
      <c r="C18" s="13">
        <f>IFERROR(AVERAGEIFS(DEBIT_HARIAN!$F$6:$F$9136,DEBIT_HARIAN!$B$6:$B$9136,$A18,DEBIT_HARIAN!$C$6:$C$9136,C$4,DEBIT_HARIAN!$E$6:$E$9136,C$5),"")</f>
        <v/>
      </c>
      <c r="D18" s="13">
        <f>IFERROR(AVERAGEIFS(DEBIT_HARIAN!$F$6:$F$9136,DEBIT_HARIAN!$B$6:$B$9136,$A18,DEBIT_HARIAN!$C$6:$C$9136,D$4,DEBIT_HARIAN!$E$6:$E$9136,D$5),"")</f>
        <v/>
      </c>
      <c r="E18" s="13">
        <f>IFERROR(AVERAGEIFS(DEBIT_HARIAN!$F$6:$F$9136,DEBIT_HARIAN!$B$6:$B$9136,$A18,DEBIT_HARIAN!$C$6:$C$9136,E$4,DEBIT_HARIAN!$E$6:$E$9136,E$5),"")</f>
        <v/>
      </c>
      <c r="F18" s="13">
        <f>IFERROR(AVERAGEIFS(DEBIT_HARIAN!$F$6:$F$9136,DEBIT_HARIAN!$B$6:$B$9136,$A18,DEBIT_HARIAN!$C$6:$C$9136,F$4,DEBIT_HARIAN!$E$6:$E$9136,F$5),"")</f>
        <v/>
      </c>
      <c r="G18" s="13">
        <f>IFERROR(AVERAGEIFS(DEBIT_HARIAN!$F$6:$F$9136,DEBIT_HARIAN!$B$6:$B$9136,$A18,DEBIT_HARIAN!$C$6:$C$9136,G$4,DEBIT_HARIAN!$E$6:$E$9136,G$5),"")</f>
        <v/>
      </c>
      <c r="H18" s="13">
        <f>IFERROR(AVERAGEIFS(DEBIT_HARIAN!$F$6:$F$9136,DEBIT_HARIAN!$B$6:$B$9136,$A18,DEBIT_HARIAN!$C$6:$C$9136,H$4,DEBIT_HARIAN!$E$6:$E$9136,H$5),"")</f>
        <v/>
      </c>
      <c r="I18" s="13">
        <f>IFERROR(AVERAGEIFS(DEBIT_HARIAN!$F$6:$F$9136,DEBIT_HARIAN!$B$6:$B$9136,$A18,DEBIT_HARIAN!$C$6:$C$9136,I$4,DEBIT_HARIAN!$E$6:$E$9136,I$5),"")</f>
        <v/>
      </c>
      <c r="J18" s="13">
        <f>IFERROR(AVERAGEIFS(DEBIT_HARIAN!$F$6:$F$9136,DEBIT_HARIAN!$B$6:$B$9136,$A18,DEBIT_HARIAN!$C$6:$C$9136,J$4,DEBIT_HARIAN!$E$6:$E$9136,J$5),"")</f>
        <v/>
      </c>
      <c r="K18" s="13">
        <f>IFERROR(AVERAGEIFS(DEBIT_HARIAN!$F$6:$F$9136,DEBIT_HARIAN!$B$6:$B$9136,$A18,DEBIT_HARIAN!$C$6:$C$9136,K$4,DEBIT_HARIAN!$E$6:$E$9136,K$5),"")</f>
        <v/>
      </c>
      <c r="L18" s="13">
        <f>IFERROR(AVERAGEIFS(DEBIT_HARIAN!$F$6:$F$9136,DEBIT_HARIAN!$B$6:$B$9136,$A18,DEBIT_HARIAN!$C$6:$C$9136,L$4,DEBIT_HARIAN!$E$6:$E$9136,L$5),"")</f>
        <v/>
      </c>
      <c r="M18" s="13">
        <f>IFERROR(AVERAGEIFS(DEBIT_HARIAN!$F$6:$F$9136,DEBIT_HARIAN!$B$6:$B$9136,$A18,DEBIT_HARIAN!$C$6:$C$9136,M$4,DEBIT_HARIAN!$E$6:$E$9136,M$5),"")</f>
        <v/>
      </c>
      <c r="N18" s="13">
        <f>IFERROR(AVERAGEIFS(DEBIT_HARIAN!$F$6:$F$9136,DEBIT_HARIAN!$B$6:$B$9136,$A18,DEBIT_HARIAN!$C$6:$C$9136,N$4,DEBIT_HARIAN!$E$6:$E$9136,N$5),"")</f>
        <v/>
      </c>
      <c r="O18" s="13">
        <f>IFERROR(AVERAGEIFS(DEBIT_HARIAN!$F$6:$F$9136,DEBIT_HARIAN!$B$6:$B$9136,$A18,DEBIT_HARIAN!$C$6:$C$9136,O$4,DEBIT_HARIAN!$E$6:$E$9136,O$5),"")</f>
        <v/>
      </c>
      <c r="P18" s="13">
        <f>IFERROR(AVERAGEIFS(DEBIT_HARIAN!$F$6:$F$9136,DEBIT_HARIAN!$B$6:$B$9136,$A18,DEBIT_HARIAN!$C$6:$C$9136,P$4,DEBIT_HARIAN!$E$6:$E$9136,P$5),"")</f>
        <v/>
      </c>
      <c r="Q18" s="13">
        <f>IFERROR(AVERAGEIFS(DEBIT_HARIAN!$F$6:$F$9136,DEBIT_HARIAN!$B$6:$B$9136,$A18,DEBIT_HARIAN!$C$6:$C$9136,Q$4,DEBIT_HARIAN!$E$6:$E$9136,Q$5),"")</f>
        <v/>
      </c>
      <c r="R18" s="13">
        <f>IFERROR(AVERAGEIFS(DEBIT_HARIAN!$F$6:$F$9136,DEBIT_HARIAN!$B$6:$B$9136,$A18,DEBIT_HARIAN!$C$6:$C$9136,R$4,DEBIT_HARIAN!$E$6:$E$9136,R$5),"")</f>
        <v/>
      </c>
      <c r="S18" s="13">
        <f>IFERROR(AVERAGEIFS(DEBIT_HARIAN!$F$6:$F$9136,DEBIT_HARIAN!$B$6:$B$9136,$A18,DEBIT_HARIAN!$C$6:$C$9136,S$4,DEBIT_HARIAN!$E$6:$E$9136,S$5),"")</f>
        <v/>
      </c>
      <c r="T18" s="13">
        <f>IFERROR(AVERAGEIFS(DEBIT_HARIAN!$F$6:$F$9136,DEBIT_HARIAN!$B$6:$B$9136,$A18,DEBIT_HARIAN!$C$6:$C$9136,T$4,DEBIT_HARIAN!$E$6:$E$9136,T$5),"")</f>
        <v/>
      </c>
      <c r="U18" s="13">
        <f>IFERROR(AVERAGEIFS(DEBIT_HARIAN!$F$6:$F$9136,DEBIT_HARIAN!$B$6:$B$9136,$A18,DEBIT_HARIAN!$C$6:$C$9136,U$4,DEBIT_HARIAN!$E$6:$E$9136,U$5),"")</f>
        <v/>
      </c>
      <c r="V18" s="13">
        <f>IFERROR(AVERAGEIFS(DEBIT_HARIAN!$F$6:$F$9136,DEBIT_HARIAN!$B$6:$B$9136,$A18,DEBIT_HARIAN!$C$6:$C$9136,V$4,DEBIT_HARIAN!$E$6:$E$9136,V$5),"")</f>
        <v/>
      </c>
      <c r="W18" s="13">
        <f>IFERROR(AVERAGEIFS(DEBIT_HARIAN!$F$6:$F$9136,DEBIT_HARIAN!$B$6:$B$9136,$A18,DEBIT_HARIAN!$C$6:$C$9136,W$4,DEBIT_HARIAN!$E$6:$E$9136,W$5),"")</f>
        <v/>
      </c>
      <c r="X18" s="13">
        <f>IFERROR(AVERAGEIFS(DEBIT_HARIAN!$F$6:$F$9136,DEBIT_HARIAN!$B$6:$B$9136,$A18,DEBIT_HARIAN!$C$6:$C$9136,X$4,DEBIT_HARIAN!$E$6:$E$9136,X$5),"")</f>
        <v/>
      </c>
      <c r="Y18" s="13">
        <f>IFERROR(AVERAGEIFS(DEBIT_HARIAN!$F$6:$F$9136,DEBIT_HARIAN!$B$6:$B$9136,$A18,DEBIT_HARIAN!$C$6:$C$9136,Y$4,DEBIT_HARIAN!$E$6:$E$9136,Y$5),"")</f>
        <v/>
      </c>
      <c r="Z18" s="10">
        <f>IFERROR(AVERAGEIFS(DEBIT_HARIAN!$F$6:$F$9136,DEBIT_HARIAN!$B$6:$B$9136,$A18),"")</f>
        <v/>
      </c>
    </row>
    <row r="19">
      <c r="A19" s="18" t="n">
        <v>2013</v>
      </c>
      <c r="B19" s="13">
        <f>IFERROR(AVERAGEIFS(DEBIT_HARIAN!$F$6:$F$9136,DEBIT_HARIAN!$B$6:$B$9136,$A19,DEBIT_HARIAN!$C$6:$C$9136,B$4,DEBIT_HARIAN!$E$6:$E$9136,B$5),"")</f>
        <v/>
      </c>
      <c r="C19" s="13">
        <f>IFERROR(AVERAGEIFS(DEBIT_HARIAN!$F$6:$F$9136,DEBIT_HARIAN!$B$6:$B$9136,$A19,DEBIT_HARIAN!$C$6:$C$9136,C$4,DEBIT_HARIAN!$E$6:$E$9136,C$5),"")</f>
        <v/>
      </c>
      <c r="D19" s="13">
        <f>IFERROR(AVERAGEIFS(DEBIT_HARIAN!$F$6:$F$9136,DEBIT_HARIAN!$B$6:$B$9136,$A19,DEBIT_HARIAN!$C$6:$C$9136,D$4,DEBIT_HARIAN!$E$6:$E$9136,D$5),"")</f>
        <v/>
      </c>
      <c r="E19" s="13">
        <f>IFERROR(AVERAGEIFS(DEBIT_HARIAN!$F$6:$F$9136,DEBIT_HARIAN!$B$6:$B$9136,$A19,DEBIT_HARIAN!$C$6:$C$9136,E$4,DEBIT_HARIAN!$E$6:$E$9136,E$5),"")</f>
        <v/>
      </c>
      <c r="F19" s="13">
        <f>IFERROR(AVERAGEIFS(DEBIT_HARIAN!$F$6:$F$9136,DEBIT_HARIAN!$B$6:$B$9136,$A19,DEBIT_HARIAN!$C$6:$C$9136,F$4,DEBIT_HARIAN!$E$6:$E$9136,F$5),"")</f>
        <v/>
      </c>
      <c r="G19" s="13">
        <f>IFERROR(AVERAGEIFS(DEBIT_HARIAN!$F$6:$F$9136,DEBIT_HARIAN!$B$6:$B$9136,$A19,DEBIT_HARIAN!$C$6:$C$9136,G$4,DEBIT_HARIAN!$E$6:$E$9136,G$5),"")</f>
        <v/>
      </c>
      <c r="H19" s="13">
        <f>IFERROR(AVERAGEIFS(DEBIT_HARIAN!$F$6:$F$9136,DEBIT_HARIAN!$B$6:$B$9136,$A19,DEBIT_HARIAN!$C$6:$C$9136,H$4,DEBIT_HARIAN!$E$6:$E$9136,H$5),"")</f>
        <v/>
      </c>
      <c r="I19" s="13">
        <f>IFERROR(AVERAGEIFS(DEBIT_HARIAN!$F$6:$F$9136,DEBIT_HARIAN!$B$6:$B$9136,$A19,DEBIT_HARIAN!$C$6:$C$9136,I$4,DEBIT_HARIAN!$E$6:$E$9136,I$5),"")</f>
        <v/>
      </c>
      <c r="J19" s="13">
        <f>IFERROR(AVERAGEIFS(DEBIT_HARIAN!$F$6:$F$9136,DEBIT_HARIAN!$B$6:$B$9136,$A19,DEBIT_HARIAN!$C$6:$C$9136,J$4,DEBIT_HARIAN!$E$6:$E$9136,J$5),"")</f>
        <v/>
      </c>
      <c r="K19" s="13">
        <f>IFERROR(AVERAGEIFS(DEBIT_HARIAN!$F$6:$F$9136,DEBIT_HARIAN!$B$6:$B$9136,$A19,DEBIT_HARIAN!$C$6:$C$9136,K$4,DEBIT_HARIAN!$E$6:$E$9136,K$5),"")</f>
        <v/>
      </c>
      <c r="L19" s="13">
        <f>IFERROR(AVERAGEIFS(DEBIT_HARIAN!$F$6:$F$9136,DEBIT_HARIAN!$B$6:$B$9136,$A19,DEBIT_HARIAN!$C$6:$C$9136,L$4,DEBIT_HARIAN!$E$6:$E$9136,L$5),"")</f>
        <v/>
      </c>
      <c r="M19" s="13">
        <f>IFERROR(AVERAGEIFS(DEBIT_HARIAN!$F$6:$F$9136,DEBIT_HARIAN!$B$6:$B$9136,$A19,DEBIT_HARIAN!$C$6:$C$9136,M$4,DEBIT_HARIAN!$E$6:$E$9136,M$5),"")</f>
        <v/>
      </c>
      <c r="N19" s="13">
        <f>IFERROR(AVERAGEIFS(DEBIT_HARIAN!$F$6:$F$9136,DEBIT_HARIAN!$B$6:$B$9136,$A19,DEBIT_HARIAN!$C$6:$C$9136,N$4,DEBIT_HARIAN!$E$6:$E$9136,N$5),"")</f>
        <v/>
      </c>
      <c r="O19" s="13">
        <f>IFERROR(AVERAGEIFS(DEBIT_HARIAN!$F$6:$F$9136,DEBIT_HARIAN!$B$6:$B$9136,$A19,DEBIT_HARIAN!$C$6:$C$9136,O$4,DEBIT_HARIAN!$E$6:$E$9136,O$5),"")</f>
        <v/>
      </c>
      <c r="P19" s="13">
        <f>IFERROR(AVERAGEIFS(DEBIT_HARIAN!$F$6:$F$9136,DEBIT_HARIAN!$B$6:$B$9136,$A19,DEBIT_HARIAN!$C$6:$C$9136,P$4,DEBIT_HARIAN!$E$6:$E$9136,P$5),"")</f>
        <v/>
      </c>
      <c r="Q19" s="13">
        <f>IFERROR(AVERAGEIFS(DEBIT_HARIAN!$F$6:$F$9136,DEBIT_HARIAN!$B$6:$B$9136,$A19,DEBIT_HARIAN!$C$6:$C$9136,Q$4,DEBIT_HARIAN!$E$6:$E$9136,Q$5),"")</f>
        <v/>
      </c>
      <c r="R19" s="13">
        <f>IFERROR(AVERAGEIFS(DEBIT_HARIAN!$F$6:$F$9136,DEBIT_HARIAN!$B$6:$B$9136,$A19,DEBIT_HARIAN!$C$6:$C$9136,R$4,DEBIT_HARIAN!$E$6:$E$9136,R$5),"")</f>
        <v/>
      </c>
      <c r="S19" s="13">
        <f>IFERROR(AVERAGEIFS(DEBIT_HARIAN!$F$6:$F$9136,DEBIT_HARIAN!$B$6:$B$9136,$A19,DEBIT_HARIAN!$C$6:$C$9136,S$4,DEBIT_HARIAN!$E$6:$E$9136,S$5),"")</f>
        <v/>
      </c>
      <c r="T19" s="13">
        <f>IFERROR(AVERAGEIFS(DEBIT_HARIAN!$F$6:$F$9136,DEBIT_HARIAN!$B$6:$B$9136,$A19,DEBIT_HARIAN!$C$6:$C$9136,T$4,DEBIT_HARIAN!$E$6:$E$9136,T$5),"")</f>
        <v/>
      </c>
      <c r="U19" s="13">
        <f>IFERROR(AVERAGEIFS(DEBIT_HARIAN!$F$6:$F$9136,DEBIT_HARIAN!$B$6:$B$9136,$A19,DEBIT_HARIAN!$C$6:$C$9136,U$4,DEBIT_HARIAN!$E$6:$E$9136,U$5),"")</f>
        <v/>
      </c>
      <c r="V19" s="13">
        <f>IFERROR(AVERAGEIFS(DEBIT_HARIAN!$F$6:$F$9136,DEBIT_HARIAN!$B$6:$B$9136,$A19,DEBIT_HARIAN!$C$6:$C$9136,V$4,DEBIT_HARIAN!$E$6:$E$9136,V$5),"")</f>
        <v/>
      </c>
      <c r="W19" s="13">
        <f>IFERROR(AVERAGEIFS(DEBIT_HARIAN!$F$6:$F$9136,DEBIT_HARIAN!$B$6:$B$9136,$A19,DEBIT_HARIAN!$C$6:$C$9136,W$4,DEBIT_HARIAN!$E$6:$E$9136,W$5),"")</f>
        <v/>
      </c>
      <c r="X19" s="13">
        <f>IFERROR(AVERAGEIFS(DEBIT_HARIAN!$F$6:$F$9136,DEBIT_HARIAN!$B$6:$B$9136,$A19,DEBIT_HARIAN!$C$6:$C$9136,X$4,DEBIT_HARIAN!$E$6:$E$9136,X$5),"")</f>
        <v/>
      </c>
      <c r="Y19" s="13">
        <f>IFERROR(AVERAGEIFS(DEBIT_HARIAN!$F$6:$F$9136,DEBIT_HARIAN!$B$6:$B$9136,$A19,DEBIT_HARIAN!$C$6:$C$9136,Y$4,DEBIT_HARIAN!$E$6:$E$9136,Y$5),"")</f>
        <v/>
      </c>
      <c r="Z19" s="10">
        <f>IFERROR(AVERAGEIFS(DEBIT_HARIAN!$F$6:$F$9136,DEBIT_HARIAN!$B$6:$B$9136,$A19),"")</f>
        <v/>
      </c>
    </row>
    <row r="20">
      <c r="A20" s="18" t="n">
        <v>2014</v>
      </c>
      <c r="B20" s="13">
        <f>IFERROR(AVERAGEIFS(DEBIT_HARIAN!$F$6:$F$9136,DEBIT_HARIAN!$B$6:$B$9136,$A20,DEBIT_HARIAN!$C$6:$C$9136,B$4,DEBIT_HARIAN!$E$6:$E$9136,B$5),"")</f>
        <v/>
      </c>
      <c r="C20" s="13">
        <f>IFERROR(AVERAGEIFS(DEBIT_HARIAN!$F$6:$F$9136,DEBIT_HARIAN!$B$6:$B$9136,$A20,DEBIT_HARIAN!$C$6:$C$9136,C$4,DEBIT_HARIAN!$E$6:$E$9136,C$5),"")</f>
        <v/>
      </c>
      <c r="D20" s="13">
        <f>IFERROR(AVERAGEIFS(DEBIT_HARIAN!$F$6:$F$9136,DEBIT_HARIAN!$B$6:$B$9136,$A20,DEBIT_HARIAN!$C$6:$C$9136,D$4,DEBIT_HARIAN!$E$6:$E$9136,D$5),"")</f>
        <v/>
      </c>
      <c r="E20" s="13">
        <f>IFERROR(AVERAGEIFS(DEBIT_HARIAN!$F$6:$F$9136,DEBIT_HARIAN!$B$6:$B$9136,$A20,DEBIT_HARIAN!$C$6:$C$9136,E$4,DEBIT_HARIAN!$E$6:$E$9136,E$5),"")</f>
        <v/>
      </c>
      <c r="F20" s="13">
        <f>IFERROR(AVERAGEIFS(DEBIT_HARIAN!$F$6:$F$9136,DEBIT_HARIAN!$B$6:$B$9136,$A20,DEBIT_HARIAN!$C$6:$C$9136,F$4,DEBIT_HARIAN!$E$6:$E$9136,F$5),"")</f>
        <v/>
      </c>
      <c r="G20" s="13">
        <f>IFERROR(AVERAGEIFS(DEBIT_HARIAN!$F$6:$F$9136,DEBIT_HARIAN!$B$6:$B$9136,$A20,DEBIT_HARIAN!$C$6:$C$9136,G$4,DEBIT_HARIAN!$E$6:$E$9136,G$5),"")</f>
        <v/>
      </c>
      <c r="H20" s="13">
        <f>IFERROR(AVERAGEIFS(DEBIT_HARIAN!$F$6:$F$9136,DEBIT_HARIAN!$B$6:$B$9136,$A20,DEBIT_HARIAN!$C$6:$C$9136,H$4,DEBIT_HARIAN!$E$6:$E$9136,H$5),"")</f>
        <v/>
      </c>
      <c r="I20" s="13">
        <f>IFERROR(AVERAGEIFS(DEBIT_HARIAN!$F$6:$F$9136,DEBIT_HARIAN!$B$6:$B$9136,$A20,DEBIT_HARIAN!$C$6:$C$9136,I$4,DEBIT_HARIAN!$E$6:$E$9136,I$5),"")</f>
        <v/>
      </c>
      <c r="J20" s="13">
        <f>IFERROR(AVERAGEIFS(DEBIT_HARIAN!$F$6:$F$9136,DEBIT_HARIAN!$B$6:$B$9136,$A20,DEBIT_HARIAN!$C$6:$C$9136,J$4,DEBIT_HARIAN!$E$6:$E$9136,J$5),"")</f>
        <v/>
      </c>
      <c r="K20" s="13">
        <f>IFERROR(AVERAGEIFS(DEBIT_HARIAN!$F$6:$F$9136,DEBIT_HARIAN!$B$6:$B$9136,$A20,DEBIT_HARIAN!$C$6:$C$9136,K$4,DEBIT_HARIAN!$E$6:$E$9136,K$5),"")</f>
        <v/>
      </c>
      <c r="L20" s="13">
        <f>IFERROR(AVERAGEIFS(DEBIT_HARIAN!$F$6:$F$9136,DEBIT_HARIAN!$B$6:$B$9136,$A20,DEBIT_HARIAN!$C$6:$C$9136,L$4,DEBIT_HARIAN!$E$6:$E$9136,L$5),"")</f>
        <v/>
      </c>
      <c r="M20" s="13">
        <f>IFERROR(AVERAGEIFS(DEBIT_HARIAN!$F$6:$F$9136,DEBIT_HARIAN!$B$6:$B$9136,$A20,DEBIT_HARIAN!$C$6:$C$9136,M$4,DEBIT_HARIAN!$E$6:$E$9136,M$5),"")</f>
        <v/>
      </c>
      <c r="N20" s="13">
        <f>IFERROR(AVERAGEIFS(DEBIT_HARIAN!$F$6:$F$9136,DEBIT_HARIAN!$B$6:$B$9136,$A20,DEBIT_HARIAN!$C$6:$C$9136,N$4,DEBIT_HARIAN!$E$6:$E$9136,N$5),"")</f>
        <v/>
      </c>
      <c r="O20" s="13">
        <f>IFERROR(AVERAGEIFS(DEBIT_HARIAN!$F$6:$F$9136,DEBIT_HARIAN!$B$6:$B$9136,$A20,DEBIT_HARIAN!$C$6:$C$9136,O$4,DEBIT_HARIAN!$E$6:$E$9136,O$5),"")</f>
        <v/>
      </c>
      <c r="P20" s="13">
        <f>IFERROR(AVERAGEIFS(DEBIT_HARIAN!$F$6:$F$9136,DEBIT_HARIAN!$B$6:$B$9136,$A20,DEBIT_HARIAN!$C$6:$C$9136,P$4,DEBIT_HARIAN!$E$6:$E$9136,P$5),"")</f>
        <v/>
      </c>
      <c r="Q20" s="13">
        <f>IFERROR(AVERAGEIFS(DEBIT_HARIAN!$F$6:$F$9136,DEBIT_HARIAN!$B$6:$B$9136,$A20,DEBIT_HARIAN!$C$6:$C$9136,Q$4,DEBIT_HARIAN!$E$6:$E$9136,Q$5),"")</f>
        <v/>
      </c>
      <c r="R20" s="13">
        <f>IFERROR(AVERAGEIFS(DEBIT_HARIAN!$F$6:$F$9136,DEBIT_HARIAN!$B$6:$B$9136,$A20,DEBIT_HARIAN!$C$6:$C$9136,R$4,DEBIT_HARIAN!$E$6:$E$9136,R$5),"")</f>
        <v/>
      </c>
      <c r="S20" s="13">
        <f>IFERROR(AVERAGEIFS(DEBIT_HARIAN!$F$6:$F$9136,DEBIT_HARIAN!$B$6:$B$9136,$A20,DEBIT_HARIAN!$C$6:$C$9136,S$4,DEBIT_HARIAN!$E$6:$E$9136,S$5),"")</f>
        <v/>
      </c>
      <c r="T20" s="13">
        <f>IFERROR(AVERAGEIFS(DEBIT_HARIAN!$F$6:$F$9136,DEBIT_HARIAN!$B$6:$B$9136,$A20,DEBIT_HARIAN!$C$6:$C$9136,T$4,DEBIT_HARIAN!$E$6:$E$9136,T$5),"")</f>
        <v/>
      </c>
      <c r="U20" s="13">
        <f>IFERROR(AVERAGEIFS(DEBIT_HARIAN!$F$6:$F$9136,DEBIT_HARIAN!$B$6:$B$9136,$A20,DEBIT_HARIAN!$C$6:$C$9136,U$4,DEBIT_HARIAN!$E$6:$E$9136,U$5),"")</f>
        <v/>
      </c>
      <c r="V20" s="13">
        <f>IFERROR(AVERAGEIFS(DEBIT_HARIAN!$F$6:$F$9136,DEBIT_HARIAN!$B$6:$B$9136,$A20,DEBIT_HARIAN!$C$6:$C$9136,V$4,DEBIT_HARIAN!$E$6:$E$9136,V$5),"")</f>
        <v/>
      </c>
      <c r="W20" s="13">
        <f>IFERROR(AVERAGEIFS(DEBIT_HARIAN!$F$6:$F$9136,DEBIT_HARIAN!$B$6:$B$9136,$A20,DEBIT_HARIAN!$C$6:$C$9136,W$4,DEBIT_HARIAN!$E$6:$E$9136,W$5),"")</f>
        <v/>
      </c>
      <c r="X20" s="13">
        <f>IFERROR(AVERAGEIFS(DEBIT_HARIAN!$F$6:$F$9136,DEBIT_HARIAN!$B$6:$B$9136,$A20,DEBIT_HARIAN!$C$6:$C$9136,X$4,DEBIT_HARIAN!$E$6:$E$9136,X$5),"")</f>
        <v/>
      </c>
      <c r="Y20" s="13">
        <f>IFERROR(AVERAGEIFS(DEBIT_HARIAN!$F$6:$F$9136,DEBIT_HARIAN!$B$6:$B$9136,$A20,DEBIT_HARIAN!$C$6:$C$9136,Y$4,DEBIT_HARIAN!$E$6:$E$9136,Y$5),"")</f>
        <v/>
      </c>
      <c r="Z20" s="10">
        <f>IFERROR(AVERAGEIFS(DEBIT_HARIAN!$F$6:$F$9136,DEBIT_HARIAN!$B$6:$B$9136,$A20),"")</f>
        <v/>
      </c>
    </row>
    <row r="21">
      <c r="A21" s="18" t="n">
        <v>2015</v>
      </c>
      <c r="B21" s="13">
        <f>IFERROR(AVERAGEIFS(DEBIT_HARIAN!$F$6:$F$9136,DEBIT_HARIAN!$B$6:$B$9136,$A21,DEBIT_HARIAN!$C$6:$C$9136,B$4,DEBIT_HARIAN!$E$6:$E$9136,B$5),"")</f>
        <v/>
      </c>
      <c r="C21" s="13">
        <f>IFERROR(AVERAGEIFS(DEBIT_HARIAN!$F$6:$F$9136,DEBIT_HARIAN!$B$6:$B$9136,$A21,DEBIT_HARIAN!$C$6:$C$9136,C$4,DEBIT_HARIAN!$E$6:$E$9136,C$5),"")</f>
        <v/>
      </c>
      <c r="D21" s="13">
        <f>IFERROR(AVERAGEIFS(DEBIT_HARIAN!$F$6:$F$9136,DEBIT_HARIAN!$B$6:$B$9136,$A21,DEBIT_HARIAN!$C$6:$C$9136,D$4,DEBIT_HARIAN!$E$6:$E$9136,D$5),"")</f>
        <v/>
      </c>
      <c r="E21" s="13">
        <f>IFERROR(AVERAGEIFS(DEBIT_HARIAN!$F$6:$F$9136,DEBIT_HARIAN!$B$6:$B$9136,$A21,DEBIT_HARIAN!$C$6:$C$9136,E$4,DEBIT_HARIAN!$E$6:$E$9136,E$5),"")</f>
        <v/>
      </c>
      <c r="F21" s="13">
        <f>IFERROR(AVERAGEIFS(DEBIT_HARIAN!$F$6:$F$9136,DEBIT_HARIAN!$B$6:$B$9136,$A21,DEBIT_HARIAN!$C$6:$C$9136,F$4,DEBIT_HARIAN!$E$6:$E$9136,F$5),"")</f>
        <v/>
      </c>
      <c r="G21" s="13">
        <f>IFERROR(AVERAGEIFS(DEBIT_HARIAN!$F$6:$F$9136,DEBIT_HARIAN!$B$6:$B$9136,$A21,DEBIT_HARIAN!$C$6:$C$9136,G$4,DEBIT_HARIAN!$E$6:$E$9136,G$5),"")</f>
        <v/>
      </c>
      <c r="H21" s="13">
        <f>IFERROR(AVERAGEIFS(DEBIT_HARIAN!$F$6:$F$9136,DEBIT_HARIAN!$B$6:$B$9136,$A21,DEBIT_HARIAN!$C$6:$C$9136,H$4,DEBIT_HARIAN!$E$6:$E$9136,H$5),"")</f>
        <v/>
      </c>
      <c r="I21" s="13">
        <f>IFERROR(AVERAGEIFS(DEBIT_HARIAN!$F$6:$F$9136,DEBIT_HARIAN!$B$6:$B$9136,$A21,DEBIT_HARIAN!$C$6:$C$9136,I$4,DEBIT_HARIAN!$E$6:$E$9136,I$5),"")</f>
        <v/>
      </c>
      <c r="J21" s="13">
        <f>IFERROR(AVERAGEIFS(DEBIT_HARIAN!$F$6:$F$9136,DEBIT_HARIAN!$B$6:$B$9136,$A21,DEBIT_HARIAN!$C$6:$C$9136,J$4,DEBIT_HARIAN!$E$6:$E$9136,J$5),"")</f>
        <v/>
      </c>
      <c r="K21" s="13">
        <f>IFERROR(AVERAGEIFS(DEBIT_HARIAN!$F$6:$F$9136,DEBIT_HARIAN!$B$6:$B$9136,$A21,DEBIT_HARIAN!$C$6:$C$9136,K$4,DEBIT_HARIAN!$E$6:$E$9136,K$5),"")</f>
        <v/>
      </c>
      <c r="L21" s="13">
        <f>IFERROR(AVERAGEIFS(DEBIT_HARIAN!$F$6:$F$9136,DEBIT_HARIAN!$B$6:$B$9136,$A21,DEBIT_HARIAN!$C$6:$C$9136,L$4,DEBIT_HARIAN!$E$6:$E$9136,L$5),"")</f>
        <v/>
      </c>
      <c r="M21" s="13">
        <f>IFERROR(AVERAGEIFS(DEBIT_HARIAN!$F$6:$F$9136,DEBIT_HARIAN!$B$6:$B$9136,$A21,DEBIT_HARIAN!$C$6:$C$9136,M$4,DEBIT_HARIAN!$E$6:$E$9136,M$5),"")</f>
        <v/>
      </c>
      <c r="N21" s="13">
        <f>IFERROR(AVERAGEIFS(DEBIT_HARIAN!$F$6:$F$9136,DEBIT_HARIAN!$B$6:$B$9136,$A21,DEBIT_HARIAN!$C$6:$C$9136,N$4,DEBIT_HARIAN!$E$6:$E$9136,N$5),"")</f>
        <v/>
      </c>
      <c r="O21" s="13">
        <f>IFERROR(AVERAGEIFS(DEBIT_HARIAN!$F$6:$F$9136,DEBIT_HARIAN!$B$6:$B$9136,$A21,DEBIT_HARIAN!$C$6:$C$9136,O$4,DEBIT_HARIAN!$E$6:$E$9136,O$5),"")</f>
        <v/>
      </c>
      <c r="P21" s="13">
        <f>IFERROR(AVERAGEIFS(DEBIT_HARIAN!$F$6:$F$9136,DEBIT_HARIAN!$B$6:$B$9136,$A21,DEBIT_HARIAN!$C$6:$C$9136,P$4,DEBIT_HARIAN!$E$6:$E$9136,P$5),"")</f>
        <v/>
      </c>
      <c r="Q21" s="13">
        <f>IFERROR(AVERAGEIFS(DEBIT_HARIAN!$F$6:$F$9136,DEBIT_HARIAN!$B$6:$B$9136,$A21,DEBIT_HARIAN!$C$6:$C$9136,Q$4,DEBIT_HARIAN!$E$6:$E$9136,Q$5),"")</f>
        <v/>
      </c>
      <c r="R21" s="13">
        <f>IFERROR(AVERAGEIFS(DEBIT_HARIAN!$F$6:$F$9136,DEBIT_HARIAN!$B$6:$B$9136,$A21,DEBIT_HARIAN!$C$6:$C$9136,R$4,DEBIT_HARIAN!$E$6:$E$9136,R$5),"")</f>
        <v/>
      </c>
      <c r="S21" s="13">
        <f>IFERROR(AVERAGEIFS(DEBIT_HARIAN!$F$6:$F$9136,DEBIT_HARIAN!$B$6:$B$9136,$A21,DEBIT_HARIAN!$C$6:$C$9136,S$4,DEBIT_HARIAN!$E$6:$E$9136,S$5),"")</f>
        <v/>
      </c>
      <c r="T21" s="13">
        <f>IFERROR(AVERAGEIFS(DEBIT_HARIAN!$F$6:$F$9136,DEBIT_HARIAN!$B$6:$B$9136,$A21,DEBIT_HARIAN!$C$6:$C$9136,T$4,DEBIT_HARIAN!$E$6:$E$9136,T$5),"")</f>
        <v/>
      </c>
      <c r="U21" s="13">
        <f>IFERROR(AVERAGEIFS(DEBIT_HARIAN!$F$6:$F$9136,DEBIT_HARIAN!$B$6:$B$9136,$A21,DEBIT_HARIAN!$C$6:$C$9136,U$4,DEBIT_HARIAN!$E$6:$E$9136,U$5),"")</f>
        <v/>
      </c>
      <c r="V21" s="13">
        <f>IFERROR(AVERAGEIFS(DEBIT_HARIAN!$F$6:$F$9136,DEBIT_HARIAN!$B$6:$B$9136,$A21,DEBIT_HARIAN!$C$6:$C$9136,V$4,DEBIT_HARIAN!$E$6:$E$9136,V$5),"")</f>
        <v/>
      </c>
      <c r="W21" s="13">
        <f>IFERROR(AVERAGEIFS(DEBIT_HARIAN!$F$6:$F$9136,DEBIT_HARIAN!$B$6:$B$9136,$A21,DEBIT_HARIAN!$C$6:$C$9136,W$4,DEBIT_HARIAN!$E$6:$E$9136,W$5),"")</f>
        <v/>
      </c>
      <c r="X21" s="13">
        <f>IFERROR(AVERAGEIFS(DEBIT_HARIAN!$F$6:$F$9136,DEBIT_HARIAN!$B$6:$B$9136,$A21,DEBIT_HARIAN!$C$6:$C$9136,X$4,DEBIT_HARIAN!$E$6:$E$9136,X$5),"")</f>
        <v/>
      </c>
      <c r="Y21" s="13">
        <f>IFERROR(AVERAGEIFS(DEBIT_HARIAN!$F$6:$F$9136,DEBIT_HARIAN!$B$6:$B$9136,$A21,DEBIT_HARIAN!$C$6:$C$9136,Y$4,DEBIT_HARIAN!$E$6:$E$9136,Y$5),"")</f>
        <v/>
      </c>
      <c r="Z21" s="10">
        <f>IFERROR(AVERAGEIFS(DEBIT_HARIAN!$F$6:$F$9136,DEBIT_HARIAN!$B$6:$B$9136,$A21),"")</f>
        <v/>
      </c>
    </row>
    <row r="22">
      <c r="A22" s="18" t="n">
        <v>2016</v>
      </c>
      <c r="B22" s="13">
        <f>IFERROR(AVERAGEIFS(DEBIT_HARIAN!$F$6:$F$9136,DEBIT_HARIAN!$B$6:$B$9136,$A22,DEBIT_HARIAN!$C$6:$C$9136,B$4,DEBIT_HARIAN!$E$6:$E$9136,B$5),"")</f>
        <v/>
      </c>
      <c r="C22" s="13">
        <f>IFERROR(AVERAGEIFS(DEBIT_HARIAN!$F$6:$F$9136,DEBIT_HARIAN!$B$6:$B$9136,$A22,DEBIT_HARIAN!$C$6:$C$9136,C$4,DEBIT_HARIAN!$E$6:$E$9136,C$5),"")</f>
        <v/>
      </c>
      <c r="D22" s="13">
        <f>IFERROR(AVERAGEIFS(DEBIT_HARIAN!$F$6:$F$9136,DEBIT_HARIAN!$B$6:$B$9136,$A22,DEBIT_HARIAN!$C$6:$C$9136,D$4,DEBIT_HARIAN!$E$6:$E$9136,D$5),"")</f>
        <v/>
      </c>
      <c r="E22" s="13">
        <f>IFERROR(AVERAGEIFS(DEBIT_HARIAN!$F$6:$F$9136,DEBIT_HARIAN!$B$6:$B$9136,$A22,DEBIT_HARIAN!$C$6:$C$9136,E$4,DEBIT_HARIAN!$E$6:$E$9136,E$5),"")</f>
        <v/>
      </c>
      <c r="F22" s="13">
        <f>IFERROR(AVERAGEIFS(DEBIT_HARIAN!$F$6:$F$9136,DEBIT_HARIAN!$B$6:$B$9136,$A22,DEBIT_HARIAN!$C$6:$C$9136,F$4,DEBIT_HARIAN!$E$6:$E$9136,F$5),"")</f>
        <v/>
      </c>
      <c r="G22" s="13">
        <f>IFERROR(AVERAGEIFS(DEBIT_HARIAN!$F$6:$F$9136,DEBIT_HARIAN!$B$6:$B$9136,$A22,DEBIT_HARIAN!$C$6:$C$9136,G$4,DEBIT_HARIAN!$E$6:$E$9136,G$5),"")</f>
        <v/>
      </c>
      <c r="H22" s="13">
        <f>IFERROR(AVERAGEIFS(DEBIT_HARIAN!$F$6:$F$9136,DEBIT_HARIAN!$B$6:$B$9136,$A22,DEBIT_HARIAN!$C$6:$C$9136,H$4,DEBIT_HARIAN!$E$6:$E$9136,H$5),"")</f>
        <v/>
      </c>
      <c r="I22" s="13">
        <f>IFERROR(AVERAGEIFS(DEBIT_HARIAN!$F$6:$F$9136,DEBIT_HARIAN!$B$6:$B$9136,$A22,DEBIT_HARIAN!$C$6:$C$9136,I$4,DEBIT_HARIAN!$E$6:$E$9136,I$5),"")</f>
        <v/>
      </c>
      <c r="J22" s="13">
        <f>IFERROR(AVERAGEIFS(DEBIT_HARIAN!$F$6:$F$9136,DEBIT_HARIAN!$B$6:$B$9136,$A22,DEBIT_HARIAN!$C$6:$C$9136,J$4,DEBIT_HARIAN!$E$6:$E$9136,J$5),"")</f>
        <v/>
      </c>
      <c r="K22" s="13">
        <f>IFERROR(AVERAGEIFS(DEBIT_HARIAN!$F$6:$F$9136,DEBIT_HARIAN!$B$6:$B$9136,$A22,DEBIT_HARIAN!$C$6:$C$9136,K$4,DEBIT_HARIAN!$E$6:$E$9136,K$5),"")</f>
        <v/>
      </c>
      <c r="L22" s="13">
        <f>IFERROR(AVERAGEIFS(DEBIT_HARIAN!$F$6:$F$9136,DEBIT_HARIAN!$B$6:$B$9136,$A22,DEBIT_HARIAN!$C$6:$C$9136,L$4,DEBIT_HARIAN!$E$6:$E$9136,L$5),"")</f>
        <v/>
      </c>
      <c r="M22" s="13">
        <f>IFERROR(AVERAGEIFS(DEBIT_HARIAN!$F$6:$F$9136,DEBIT_HARIAN!$B$6:$B$9136,$A22,DEBIT_HARIAN!$C$6:$C$9136,M$4,DEBIT_HARIAN!$E$6:$E$9136,M$5),"")</f>
        <v/>
      </c>
      <c r="N22" s="13">
        <f>IFERROR(AVERAGEIFS(DEBIT_HARIAN!$F$6:$F$9136,DEBIT_HARIAN!$B$6:$B$9136,$A22,DEBIT_HARIAN!$C$6:$C$9136,N$4,DEBIT_HARIAN!$E$6:$E$9136,N$5),"")</f>
        <v/>
      </c>
      <c r="O22" s="13">
        <f>IFERROR(AVERAGEIFS(DEBIT_HARIAN!$F$6:$F$9136,DEBIT_HARIAN!$B$6:$B$9136,$A22,DEBIT_HARIAN!$C$6:$C$9136,O$4,DEBIT_HARIAN!$E$6:$E$9136,O$5),"")</f>
        <v/>
      </c>
      <c r="P22" s="13">
        <f>IFERROR(AVERAGEIFS(DEBIT_HARIAN!$F$6:$F$9136,DEBIT_HARIAN!$B$6:$B$9136,$A22,DEBIT_HARIAN!$C$6:$C$9136,P$4,DEBIT_HARIAN!$E$6:$E$9136,P$5),"")</f>
        <v/>
      </c>
      <c r="Q22" s="13">
        <f>IFERROR(AVERAGEIFS(DEBIT_HARIAN!$F$6:$F$9136,DEBIT_HARIAN!$B$6:$B$9136,$A22,DEBIT_HARIAN!$C$6:$C$9136,Q$4,DEBIT_HARIAN!$E$6:$E$9136,Q$5),"")</f>
        <v/>
      </c>
      <c r="R22" s="13">
        <f>IFERROR(AVERAGEIFS(DEBIT_HARIAN!$F$6:$F$9136,DEBIT_HARIAN!$B$6:$B$9136,$A22,DEBIT_HARIAN!$C$6:$C$9136,R$4,DEBIT_HARIAN!$E$6:$E$9136,R$5),"")</f>
        <v/>
      </c>
      <c r="S22" s="13">
        <f>IFERROR(AVERAGEIFS(DEBIT_HARIAN!$F$6:$F$9136,DEBIT_HARIAN!$B$6:$B$9136,$A22,DEBIT_HARIAN!$C$6:$C$9136,S$4,DEBIT_HARIAN!$E$6:$E$9136,S$5),"")</f>
        <v/>
      </c>
      <c r="T22" s="13">
        <f>IFERROR(AVERAGEIFS(DEBIT_HARIAN!$F$6:$F$9136,DEBIT_HARIAN!$B$6:$B$9136,$A22,DEBIT_HARIAN!$C$6:$C$9136,T$4,DEBIT_HARIAN!$E$6:$E$9136,T$5),"")</f>
        <v/>
      </c>
      <c r="U22" s="13">
        <f>IFERROR(AVERAGEIFS(DEBIT_HARIAN!$F$6:$F$9136,DEBIT_HARIAN!$B$6:$B$9136,$A22,DEBIT_HARIAN!$C$6:$C$9136,U$4,DEBIT_HARIAN!$E$6:$E$9136,U$5),"")</f>
        <v/>
      </c>
      <c r="V22" s="13">
        <f>IFERROR(AVERAGEIFS(DEBIT_HARIAN!$F$6:$F$9136,DEBIT_HARIAN!$B$6:$B$9136,$A22,DEBIT_HARIAN!$C$6:$C$9136,V$4,DEBIT_HARIAN!$E$6:$E$9136,V$5),"")</f>
        <v/>
      </c>
      <c r="W22" s="13">
        <f>IFERROR(AVERAGEIFS(DEBIT_HARIAN!$F$6:$F$9136,DEBIT_HARIAN!$B$6:$B$9136,$A22,DEBIT_HARIAN!$C$6:$C$9136,W$4,DEBIT_HARIAN!$E$6:$E$9136,W$5),"")</f>
        <v/>
      </c>
      <c r="X22" s="13">
        <f>IFERROR(AVERAGEIFS(DEBIT_HARIAN!$F$6:$F$9136,DEBIT_HARIAN!$B$6:$B$9136,$A22,DEBIT_HARIAN!$C$6:$C$9136,X$4,DEBIT_HARIAN!$E$6:$E$9136,X$5),"")</f>
        <v/>
      </c>
      <c r="Y22" s="13">
        <f>IFERROR(AVERAGEIFS(DEBIT_HARIAN!$F$6:$F$9136,DEBIT_HARIAN!$B$6:$B$9136,$A22,DEBIT_HARIAN!$C$6:$C$9136,Y$4,DEBIT_HARIAN!$E$6:$E$9136,Y$5),"")</f>
        <v/>
      </c>
      <c r="Z22" s="10">
        <f>IFERROR(AVERAGEIFS(DEBIT_HARIAN!$F$6:$F$9136,DEBIT_HARIAN!$B$6:$B$9136,$A22),"")</f>
        <v/>
      </c>
    </row>
    <row r="23">
      <c r="A23" s="18" t="n">
        <v>2017</v>
      </c>
      <c r="B23" s="13">
        <f>IFERROR(AVERAGEIFS(DEBIT_HARIAN!$F$6:$F$9136,DEBIT_HARIAN!$B$6:$B$9136,$A23,DEBIT_HARIAN!$C$6:$C$9136,B$4,DEBIT_HARIAN!$E$6:$E$9136,B$5),"")</f>
        <v/>
      </c>
      <c r="C23" s="13">
        <f>IFERROR(AVERAGEIFS(DEBIT_HARIAN!$F$6:$F$9136,DEBIT_HARIAN!$B$6:$B$9136,$A23,DEBIT_HARIAN!$C$6:$C$9136,C$4,DEBIT_HARIAN!$E$6:$E$9136,C$5),"")</f>
        <v/>
      </c>
      <c r="D23" s="13">
        <f>IFERROR(AVERAGEIFS(DEBIT_HARIAN!$F$6:$F$9136,DEBIT_HARIAN!$B$6:$B$9136,$A23,DEBIT_HARIAN!$C$6:$C$9136,D$4,DEBIT_HARIAN!$E$6:$E$9136,D$5),"")</f>
        <v/>
      </c>
      <c r="E23" s="13">
        <f>IFERROR(AVERAGEIFS(DEBIT_HARIAN!$F$6:$F$9136,DEBIT_HARIAN!$B$6:$B$9136,$A23,DEBIT_HARIAN!$C$6:$C$9136,E$4,DEBIT_HARIAN!$E$6:$E$9136,E$5),"")</f>
        <v/>
      </c>
      <c r="F23" s="13">
        <f>IFERROR(AVERAGEIFS(DEBIT_HARIAN!$F$6:$F$9136,DEBIT_HARIAN!$B$6:$B$9136,$A23,DEBIT_HARIAN!$C$6:$C$9136,F$4,DEBIT_HARIAN!$E$6:$E$9136,F$5),"")</f>
        <v/>
      </c>
      <c r="G23" s="13">
        <f>IFERROR(AVERAGEIFS(DEBIT_HARIAN!$F$6:$F$9136,DEBIT_HARIAN!$B$6:$B$9136,$A23,DEBIT_HARIAN!$C$6:$C$9136,G$4,DEBIT_HARIAN!$E$6:$E$9136,G$5),"")</f>
        <v/>
      </c>
      <c r="H23" s="13">
        <f>IFERROR(AVERAGEIFS(DEBIT_HARIAN!$F$6:$F$9136,DEBIT_HARIAN!$B$6:$B$9136,$A23,DEBIT_HARIAN!$C$6:$C$9136,H$4,DEBIT_HARIAN!$E$6:$E$9136,H$5),"")</f>
        <v/>
      </c>
      <c r="I23" s="13">
        <f>IFERROR(AVERAGEIFS(DEBIT_HARIAN!$F$6:$F$9136,DEBIT_HARIAN!$B$6:$B$9136,$A23,DEBIT_HARIAN!$C$6:$C$9136,I$4,DEBIT_HARIAN!$E$6:$E$9136,I$5),"")</f>
        <v/>
      </c>
      <c r="J23" s="13">
        <f>IFERROR(AVERAGEIFS(DEBIT_HARIAN!$F$6:$F$9136,DEBIT_HARIAN!$B$6:$B$9136,$A23,DEBIT_HARIAN!$C$6:$C$9136,J$4,DEBIT_HARIAN!$E$6:$E$9136,J$5),"")</f>
        <v/>
      </c>
      <c r="K23" s="13">
        <f>IFERROR(AVERAGEIFS(DEBIT_HARIAN!$F$6:$F$9136,DEBIT_HARIAN!$B$6:$B$9136,$A23,DEBIT_HARIAN!$C$6:$C$9136,K$4,DEBIT_HARIAN!$E$6:$E$9136,K$5),"")</f>
        <v/>
      </c>
      <c r="L23" s="13">
        <f>IFERROR(AVERAGEIFS(DEBIT_HARIAN!$F$6:$F$9136,DEBIT_HARIAN!$B$6:$B$9136,$A23,DEBIT_HARIAN!$C$6:$C$9136,L$4,DEBIT_HARIAN!$E$6:$E$9136,L$5),"")</f>
        <v/>
      </c>
      <c r="M23" s="13">
        <f>IFERROR(AVERAGEIFS(DEBIT_HARIAN!$F$6:$F$9136,DEBIT_HARIAN!$B$6:$B$9136,$A23,DEBIT_HARIAN!$C$6:$C$9136,M$4,DEBIT_HARIAN!$E$6:$E$9136,M$5),"")</f>
        <v/>
      </c>
      <c r="N23" s="13">
        <f>IFERROR(AVERAGEIFS(DEBIT_HARIAN!$F$6:$F$9136,DEBIT_HARIAN!$B$6:$B$9136,$A23,DEBIT_HARIAN!$C$6:$C$9136,N$4,DEBIT_HARIAN!$E$6:$E$9136,N$5),"")</f>
        <v/>
      </c>
      <c r="O23" s="13">
        <f>IFERROR(AVERAGEIFS(DEBIT_HARIAN!$F$6:$F$9136,DEBIT_HARIAN!$B$6:$B$9136,$A23,DEBIT_HARIAN!$C$6:$C$9136,O$4,DEBIT_HARIAN!$E$6:$E$9136,O$5),"")</f>
        <v/>
      </c>
      <c r="P23" s="13">
        <f>IFERROR(AVERAGEIFS(DEBIT_HARIAN!$F$6:$F$9136,DEBIT_HARIAN!$B$6:$B$9136,$A23,DEBIT_HARIAN!$C$6:$C$9136,P$4,DEBIT_HARIAN!$E$6:$E$9136,P$5),"")</f>
        <v/>
      </c>
      <c r="Q23" s="13">
        <f>IFERROR(AVERAGEIFS(DEBIT_HARIAN!$F$6:$F$9136,DEBIT_HARIAN!$B$6:$B$9136,$A23,DEBIT_HARIAN!$C$6:$C$9136,Q$4,DEBIT_HARIAN!$E$6:$E$9136,Q$5),"")</f>
        <v/>
      </c>
      <c r="R23" s="13">
        <f>IFERROR(AVERAGEIFS(DEBIT_HARIAN!$F$6:$F$9136,DEBIT_HARIAN!$B$6:$B$9136,$A23,DEBIT_HARIAN!$C$6:$C$9136,R$4,DEBIT_HARIAN!$E$6:$E$9136,R$5),"")</f>
        <v/>
      </c>
      <c r="S23" s="13">
        <f>IFERROR(AVERAGEIFS(DEBIT_HARIAN!$F$6:$F$9136,DEBIT_HARIAN!$B$6:$B$9136,$A23,DEBIT_HARIAN!$C$6:$C$9136,S$4,DEBIT_HARIAN!$E$6:$E$9136,S$5),"")</f>
        <v/>
      </c>
      <c r="T23" s="13">
        <f>IFERROR(AVERAGEIFS(DEBIT_HARIAN!$F$6:$F$9136,DEBIT_HARIAN!$B$6:$B$9136,$A23,DEBIT_HARIAN!$C$6:$C$9136,T$4,DEBIT_HARIAN!$E$6:$E$9136,T$5),"")</f>
        <v/>
      </c>
      <c r="U23" s="13">
        <f>IFERROR(AVERAGEIFS(DEBIT_HARIAN!$F$6:$F$9136,DEBIT_HARIAN!$B$6:$B$9136,$A23,DEBIT_HARIAN!$C$6:$C$9136,U$4,DEBIT_HARIAN!$E$6:$E$9136,U$5),"")</f>
        <v/>
      </c>
      <c r="V23" s="13">
        <f>IFERROR(AVERAGEIFS(DEBIT_HARIAN!$F$6:$F$9136,DEBIT_HARIAN!$B$6:$B$9136,$A23,DEBIT_HARIAN!$C$6:$C$9136,V$4,DEBIT_HARIAN!$E$6:$E$9136,V$5),"")</f>
        <v/>
      </c>
      <c r="W23" s="13">
        <f>IFERROR(AVERAGEIFS(DEBIT_HARIAN!$F$6:$F$9136,DEBIT_HARIAN!$B$6:$B$9136,$A23,DEBIT_HARIAN!$C$6:$C$9136,W$4,DEBIT_HARIAN!$E$6:$E$9136,W$5),"")</f>
        <v/>
      </c>
      <c r="X23" s="13">
        <f>IFERROR(AVERAGEIFS(DEBIT_HARIAN!$F$6:$F$9136,DEBIT_HARIAN!$B$6:$B$9136,$A23,DEBIT_HARIAN!$C$6:$C$9136,X$4,DEBIT_HARIAN!$E$6:$E$9136,X$5),"")</f>
        <v/>
      </c>
      <c r="Y23" s="13">
        <f>IFERROR(AVERAGEIFS(DEBIT_HARIAN!$F$6:$F$9136,DEBIT_HARIAN!$B$6:$B$9136,$A23,DEBIT_HARIAN!$C$6:$C$9136,Y$4,DEBIT_HARIAN!$E$6:$E$9136,Y$5),"")</f>
        <v/>
      </c>
      <c r="Z23" s="10">
        <f>IFERROR(AVERAGEIFS(DEBIT_HARIAN!$F$6:$F$9136,DEBIT_HARIAN!$B$6:$B$9136,$A23),"")</f>
        <v/>
      </c>
    </row>
    <row r="24">
      <c r="A24" s="18" t="n">
        <v>2018</v>
      </c>
      <c r="B24" s="13">
        <f>IFERROR(AVERAGEIFS(DEBIT_HARIAN!$F$6:$F$9136,DEBIT_HARIAN!$B$6:$B$9136,$A24,DEBIT_HARIAN!$C$6:$C$9136,B$4,DEBIT_HARIAN!$E$6:$E$9136,B$5),"")</f>
        <v/>
      </c>
      <c r="C24" s="13">
        <f>IFERROR(AVERAGEIFS(DEBIT_HARIAN!$F$6:$F$9136,DEBIT_HARIAN!$B$6:$B$9136,$A24,DEBIT_HARIAN!$C$6:$C$9136,C$4,DEBIT_HARIAN!$E$6:$E$9136,C$5),"")</f>
        <v/>
      </c>
      <c r="D24" s="13">
        <f>IFERROR(AVERAGEIFS(DEBIT_HARIAN!$F$6:$F$9136,DEBIT_HARIAN!$B$6:$B$9136,$A24,DEBIT_HARIAN!$C$6:$C$9136,D$4,DEBIT_HARIAN!$E$6:$E$9136,D$5),"")</f>
        <v/>
      </c>
      <c r="E24" s="13">
        <f>IFERROR(AVERAGEIFS(DEBIT_HARIAN!$F$6:$F$9136,DEBIT_HARIAN!$B$6:$B$9136,$A24,DEBIT_HARIAN!$C$6:$C$9136,E$4,DEBIT_HARIAN!$E$6:$E$9136,E$5),"")</f>
        <v/>
      </c>
      <c r="F24" s="13">
        <f>IFERROR(AVERAGEIFS(DEBIT_HARIAN!$F$6:$F$9136,DEBIT_HARIAN!$B$6:$B$9136,$A24,DEBIT_HARIAN!$C$6:$C$9136,F$4,DEBIT_HARIAN!$E$6:$E$9136,F$5),"")</f>
        <v/>
      </c>
      <c r="G24" s="13">
        <f>IFERROR(AVERAGEIFS(DEBIT_HARIAN!$F$6:$F$9136,DEBIT_HARIAN!$B$6:$B$9136,$A24,DEBIT_HARIAN!$C$6:$C$9136,G$4,DEBIT_HARIAN!$E$6:$E$9136,G$5),"")</f>
        <v/>
      </c>
      <c r="H24" s="13">
        <f>IFERROR(AVERAGEIFS(DEBIT_HARIAN!$F$6:$F$9136,DEBIT_HARIAN!$B$6:$B$9136,$A24,DEBIT_HARIAN!$C$6:$C$9136,H$4,DEBIT_HARIAN!$E$6:$E$9136,H$5),"")</f>
        <v/>
      </c>
      <c r="I24" s="13">
        <f>IFERROR(AVERAGEIFS(DEBIT_HARIAN!$F$6:$F$9136,DEBIT_HARIAN!$B$6:$B$9136,$A24,DEBIT_HARIAN!$C$6:$C$9136,I$4,DEBIT_HARIAN!$E$6:$E$9136,I$5),"")</f>
        <v/>
      </c>
      <c r="J24" s="13">
        <f>IFERROR(AVERAGEIFS(DEBIT_HARIAN!$F$6:$F$9136,DEBIT_HARIAN!$B$6:$B$9136,$A24,DEBIT_HARIAN!$C$6:$C$9136,J$4,DEBIT_HARIAN!$E$6:$E$9136,J$5),"")</f>
        <v/>
      </c>
      <c r="K24" s="13">
        <f>IFERROR(AVERAGEIFS(DEBIT_HARIAN!$F$6:$F$9136,DEBIT_HARIAN!$B$6:$B$9136,$A24,DEBIT_HARIAN!$C$6:$C$9136,K$4,DEBIT_HARIAN!$E$6:$E$9136,K$5),"")</f>
        <v/>
      </c>
      <c r="L24" s="13">
        <f>IFERROR(AVERAGEIFS(DEBIT_HARIAN!$F$6:$F$9136,DEBIT_HARIAN!$B$6:$B$9136,$A24,DEBIT_HARIAN!$C$6:$C$9136,L$4,DEBIT_HARIAN!$E$6:$E$9136,L$5),"")</f>
        <v/>
      </c>
      <c r="M24" s="13">
        <f>IFERROR(AVERAGEIFS(DEBIT_HARIAN!$F$6:$F$9136,DEBIT_HARIAN!$B$6:$B$9136,$A24,DEBIT_HARIAN!$C$6:$C$9136,M$4,DEBIT_HARIAN!$E$6:$E$9136,M$5),"")</f>
        <v/>
      </c>
      <c r="N24" s="13">
        <f>IFERROR(AVERAGEIFS(DEBIT_HARIAN!$F$6:$F$9136,DEBIT_HARIAN!$B$6:$B$9136,$A24,DEBIT_HARIAN!$C$6:$C$9136,N$4,DEBIT_HARIAN!$E$6:$E$9136,N$5),"")</f>
        <v/>
      </c>
      <c r="O24" s="13">
        <f>IFERROR(AVERAGEIFS(DEBIT_HARIAN!$F$6:$F$9136,DEBIT_HARIAN!$B$6:$B$9136,$A24,DEBIT_HARIAN!$C$6:$C$9136,O$4,DEBIT_HARIAN!$E$6:$E$9136,O$5),"")</f>
        <v/>
      </c>
      <c r="P24" s="13">
        <f>IFERROR(AVERAGEIFS(DEBIT_HARIAN!$F$6:$F$9136,DEBIT_HARIAN!$B$6:$B$9136,$A24,DEBIT_HARIAN!$C$6:$C$9136,P$4,DEBIT_HARIAN!$E$6:$E$9136,P$5),"")</f>
        <v/>
      </c>
      <c r="Q24" s="13">
        <f>IFERROR(AVERAGEIFS(DEBIT_HARIAN!$F$6:$F$9136,DEBIT_HARIAN!$B$6:$B$9136,$A24,DEBIT_HARIAN!$C$6:$C$9136,Q$4,DEBIT_HARIAN!$E$6:$E$9136,Q$5),"")</f>
        <v/>
      </c>
      <c r="R24" s="13">
        <f>IFERROR(AVERAGEIFS(DEBIT_HARIAN!$F$6:$F$9136,DEBIT_HARIAN!$B$6:$B$9136,$A24,DEBIT_HARIAN!$C$6:$C$9136,R$4,DEBIT_HARIAN!$E$6:$E$9136,R$5),"")</f>
        <v/>
      </c>
      <c r="S24" s="13">
        <f>IFERROR(AVERAGEIFS(DEBIT_HARIAN!$F$6:$F$9136,DEBIT_HARIAN!$B$6:$B$9136,$A24,DEBIT_HARIAN!$C$6:$C$9136,S$4,DEBIT_HARIAN!$E$6:$E$9136,S$5),"")</f>
        <v/>
      </c>
      <c r="T24" s="13">
        <f>IFERROR(AVERAGEIFS(DEBIT_HARIAN!$F$6:$F$9136,DEBIT_HARIAN!$B$6:$B$9136,$A24,DEBIT_HARIAN!$C$6:$C$9136,T$4,DEBIT_HARIAN!$E$6:$E$9136,T$5),"")</f>
        <v/>
      </c>
      <c r="U24" s="13">
        <f>IFERROR(AVERAGEIFS(DEBIT_HARIAN!$F$6:$F$9136,DEBIT_HARIAN!$B$6:$B$9136,$A24,DEBIT_HARIAN!$C$6:$C$9136,U$4,DEBIT_HARIAN!$E$6:$E$9136,U$5),"")</f>
        <v/>
      </c>
      <c r="V24" s="13">
        <f>IFERROR(AVERAGEIFS(DEBIT_HARIAN!$F$6:$F$9136,DEBIT_HARIAN!$B$6:$B$9136,$A24,DEBIT_HARIAN!$C$6:$C$9136,V$4,DEBIT_HARIAN!$E$6:$E$9136,V$5),"")</f>
        <v/>
      </c>
      <c r="W24" s="13">
        <f>IFERROR(AVERAGEIFS(DEBIT_HARIAN!$F$6:$F$9136,DEBIT_HARIAN!$B$6:$B$9136,$A24,DEBIT_HARIAN!$C$6:$C$9136,W$4,DEBIT_HARIAN!$E$6:$E$9136,W$5),"")</f>
        <v/>
      </c>
      <c r="X24" s="13">
        <f>IFERROR(AVERAGEIFS(DEBIT_HARIAN!$F$6:$F$9136,DEBIT_HARIAN!$B$6:$B$9136,$A24,DEBIT_HARIAN!$C$6:$C$9136,X$4,DEBIT_HARIAN!$E$6:$E$9136,X$5),"")</f>
        <v/>
      </c>
      <c r="Y24" s="13">
        <f>IFERROR(AVERAGEIFS(DEBIT_HARIAN!$F$6:$F$9136,DEBIT_HARIAN!$B$6:$B$9136,$A24,DEBIT_HARIAN!$C$6:$C$9136,Y$4,DEBIT_HARIAN!$E$6:$E$9136,Y$5),"")</f>
        <v/>
      </c>
      <c r="Z24" s="10">
        <f>IFERROR(AVERAGEIFS(DEBIT_HARIAN!$F$6:$F$9136,DEBIT_HARIAN!$B$6:$B$9136,$A24),"")</f>
        <v/>
      </c>
    </row>
    <row r="25">
      <c r="A25" s="18" t="n">
        <v>2019</v>
      </c>
      <c r="B25" s="13">
        <f>IFERROR(AVERAGEIFS(DEBIT_HARIAN!$F$6:$F$9136,DEBIT_HARIAN!$B$6:$B$9136,$A25,DEBIT_HARIAN!$C$6:$C$9136,B$4,DEBIT_HARIAN!$E$6:$E$9136,B$5),"")</f>
        <v/>
      </c>
      <c r="C25" s="13">
        <f>IFERROR(AVERAGEIFS(DEBIT_HARIAN!$F$6:$F$9136,DEBIT_HARIAN!$B$6:$B$9136,$A25,DEBIT_HARIAN!$C$6:$C$9136,C$4,DEBIT_HARIAN!$E$6:$E$9136,C$5),"")</f>
        <v/>
      </c>
      <c r="D25" s="13">
        <f>IFERROR(AVERAGEIFS(DEBIT_HARIAN!$F$6:$F$9136,DEBIT_HARIAN!$B$6:$B$9136,$A25,DEBIT_HARIAN!$C$6:$C$9136,D$4,DEBIT_HARIAN!$E$6:$E$9136,D$5),"")</f>
        <v/>
      </c>
      <c r="E25" s="13">
        <f>IFERROR(AVERAGEIFS(DEBIT_HARIAN!$F$6:$F$9136,DEBIT_HARIAN!$B$6:$B$9136,$A25,DEBIT_HARIAN!$C$6:$C$9136,E$4,DEBIT_HARIAN!$E$6:$E$9136,E$5),"")</f>
        <v/>
      </c>
      <c r="F25" s="13">
        <f>IFERROR(AVERAGEIFS(DEBIT_HARIAN!$F$6:$F$9136,DEBIT_HARIAN!$B$6:$B$9136,$A25,DEBIT_HARIAN!$C$6:$C$9136,F$4,DEBIT_HARIAN!$E$6:$E$9136,F$5),"")</f>
        <v/>
      </c>
      <c r="G25" s="13">
        <f>IFERROR(AVERAGEIFS(DEBIT_HARIAN!$F$6:$F$9136,DEBIT_HARIAN!$B$6:$B$9136,$A25,DEBIT_HARIAN!$C$6:$C$9136,G$4,DEBIT_HARIAN!$E$6:$E$9136,G$5),"")</f>
        <v/>
      </c>
      <c r="H25" s="13">
        <f>IFERROR(AVERAGEIFS(DEBIT_HARIAN!$F$6:$F$9136,DEBIT_HARIAN!$B$6:$B$9136,$A25,DEBIT_HARIAN!$C$6:$C$9136,H$4,DEBIT_HARIAN!$E$6:$E$9136,H$5),"")</f>
        <v/>
      </c>
      <c r="I25" s="13">
        <f>IFERROR(AVERAGEIFS(DEBIT_HARIAN!$F$6:$F$9136,DEBIT_HARIAN!$B$6:$B$9136,$A25,DEBIT_HARIAN!$C$6:$C$9136,I$4,DEBIT_HARIAN!$E$6:$E$9136,I$5),"")</f>
        <v/>
      </c>
      <c r="J25" s="13">
        <f>IFERROR(AVERAGEIFS(DEBIT_HARIAN!$F$6:$F$9136,DEBIT_HARIAN!$B$6:$B$9136,$A25,DEBIT_HARIAN!$C$6:$C$9136,J$4,DEBIT_HARIAN!$E$6:$E$9136,J$5),"")</f>
        <v/>
      </c>
      <c r="K25" s="13">
        <f>IFERROR(AVERAGEIFS(DEBIT_HARIAN!$F$6:$F$9136,DEBIT_HARIAN!$B$6:$B$9136,$A25,DEBIT_HARIAN!$C$6:$C$9136,K$4,DEBIT_HARIAN!$E$6:$E$9136,K$5),"")</f>
        <v/>
      </c>
      <c r="L25" s="13">
        <f>IFERROR(AVERAGEIFS(DEBIT_HARIAN!$F$6:$F$9136,DEBIT_HARIAN!$B$6:$B$9136,$A25,DEBIT_HARIAN!$C$6:$C$9136,L$4,DEBIT_HARIAN!$E$6:$E$9136,L$5),"")</f>
        <v/>
      </c>
      <c r="M25" s="13">
        <f>IFERROR(AVERAGEIFS(DEBIT_HARIAN!$F$6:$F$9136,DEBIT_HARIAN!$B$6:$B$9136,$A25,DEBIT_HARIAN!$C$6:$C$9136,M$4,DEBIT_HARIAN!$E$6:$E$9136,M$5),"")</f>
        <v/>
      </c>
      <c r="N25" s="13">
        <f>IFERROR(AVERAGEIFS(DEBIT_HARIAN!$F$6:$F$9136,DEBIT_HARIAN!$B$6:$B$9136,$A25,DEBIT_HARIAN!$C$6:$C$9136,N$4,DEBIT_HARIAN!$E$6:$E$9136,N$5),"")</f>
        <v/>
      </c>
      <c r="O25" s="13">
        <f>IFERROR(AVERAGEIFS(DEBIT_HARIAN!$F$6:$F$9136,DEBIT_HARIAN!$B$6:$B$9136,$A25,DEBIT_HARIAN!$C$6:$C$9136,O$4,DEBIT_HARIAN!$E$6:$E$9136,O$5),"")</f>
        <v/>
      </c>
      <c r="P25" s="13">
        <f>IFERROR(AVERAGEIFS(DEBIT_HARIAN!$F$6:$F$9136,DEBIT_HARIAN!$B$6:$B$9136,$A25,DEBIT_HARIAN!$C$6:$C$9136,P$4,DEBIT_HARIAN!$E$6:$E$9136,P$5),"")</f>
        <v/>
      </c>
      <c r="Q25" s="13">
        <f>IFERROR(AVERAGEIFS(DEBIT_HARIAN!$F$6:$F$9136,DEBIT_HARIAN!$B$6:$B$9136,$A25,DEBIT_HARIAN!$C$6:$C$9136,Q$4,DEBIT_HARIAN!$E$6:$E$9136,Q$5),"")</f>
        <v/>
      </c>
      <c r="R25" s="13">
        <f>IFERROR(AVERAGEIFS(DEBIT_HARIAN!$F$6:$F$9136,DEBIT_HARIAN!$B$6:$B$9136,$A25,DEBIT_HARIAN!$C$6:$C$9136,R$4,DEBIT_HARIAN!$E$6:$E$9136,R$5),"")</f>
        <v/>
      </c>
      <c r="S25" s="13">
        <f>IFERROR(AVERAGEIFS(DEBIT_HARIAN!$F$6:$F$9136,DEBIT_HARIAN!$B$6:$B$9136,$A25,DEBIT_HARIAN!$C$6:$C$9136,S$4,DEBIT_HARIAN!$E$6:$E$9136,S$5),"")</f>
        <v/>
      </c>
      <c r="T25" s="13">
        <f>IFERROR(AVERAGEIFS(DEBIT_HARIAN!$F$6:$F$9136,DEBIT_HARIAN!$B$6:$B$9136,$A25,DEBIT_HARIAN!$C$6:$C$9136,T$4,DEBIT_HARIAN!$E$6:$E$9136,T$5),"")</f>
        <v/>
      </c>
      <c r="U25" s="13">
        <f>IFERROR(AVERAGEIFS(DEBIT_HARIAN!$F$6:$F$9136,DEBIT_HARIAN!$B$6:$B$9136,$A25,DEBIT_HARIAN!$C$6:$C$9136,U$4,DEBIT_HARIAN!$E$6:$E$9136,U$5),"")</f>
        <v/>
      </c>
      <c r="V25" s="13">
        <f>IFERROR(AVERAGEIFS(DEBIT_HARIAN!$F$6:$F$9136,DEBIT_HARIAN!$B$6:$B$9136,$A25,DEBIT_HARIAN!$C$6:$C$9136,V$4,DEBIT_HARIAN!$E$6:$E$9136,V$5),"")</f>
        <v/>
      </c>
      <c r="W25" s="13">
        <f>IFERROR(AVERAGEIFS(DEBIT_HARIAN!$F$6:$F$9136,DEBIT_HARIAN!$B$6:$B$9136,$A25,DEBIT_HARIAN!$C$6:$C$9136,W$4,DEBIT_HARIAN!$E$6:$E$9136,W$5),"")</f>
        <v/>
      </c>
      <c r="X25" s="13">
        <f>IFERROR(AVERAGEIFS(DEBIT_HARIAN!$F$6:$F$9136,DEBIT_HARIAN!$B$6:$B$9136,$A25,DEBIT_HARIAN!$C$6:$C$9136,X$4,DEBIT_HARIAN!$E$6:$E$9136,X$5),"")</f>
        <v/>
      </c>
      <c r="Y25" s="13">
        <f>IFERROR(AVERAGEIFS(DEBIT_HARIAN!$F$6:$F$9136,DEBIT_HARIAN!$B$6:$B$9136,$A25,DEBIT_HARIAN!$C$6:$C$9136,Y$4,DEBIT_HARIAN!$E$6:$E$9136,Y$5),"")</f>
        <v/>
      </c>
      <c r="Z25" s="10">
        <f>IFERROR(AVERAGEIFS(DEBIT_HARIAN!$F$6:$F$9136,DEBIT_HARIAN!$B$6:$B$9136,$A25),"")</f>
        <v/>
      </c>
    </row>
    <row r="26">
      <c r="A26" s="18" t="n">
        <v>2020</v>
      </c>
      <c r="B26" s="13">
        <f>IFERROR(AVERAGEIFS(DEBIT_HARIAN!$F$6:$F$9136,DEBIT_HARIAN!$B$6:$B$9136,$A26,DEBIT_HARIAN!$C$6:$C$9136,B$4,DEBIT_HARIAN!$E$6:$E$9136,B$5),"")</f>
        <v/>
      </c>
      <c r="C26" s="13">
        <f>IFERROR(AVERAGEIFS(DEBIT_HARIAN!$F$6:$F$9136,DEBIT_HARIAN!$B$6:$B$9136,$A26,DEBIT_HARIAN!$C$6:$C$9136,C$4,DEBIT_HARIAN!$E$6:$E$9136,C$5),"")</f>
        <v/>
      </c>
      <c r="D26" s="13">
        <f>IFERROR(AVERAGEIFS(DEBIT_HARIAN!$F$6:$F$9136,DEBIT_HARIAN!$B$6:$B$9136,$A26,DEBIT_HARIAN!$C$6:$C$9136,D$4,DEBIT_HARIAN!$E$6:$E$9136,D$5),"")</f>
        <v/>
      </c>
      <c r="E26" s="13">
        <f>IFERROR(AVERAGEIFS(DEBIT_HARIAN!$F$6:$F$9136,DEBIT_HARIAN!$B$6:$B$9136,$A26,DEBIT_HARIAN!$C$6:$C$9136,E$4,DEBIT_HARIAN!$E$6:$E$9136,E$5),"")</f>
        <v/>
      </c>
      <c r="F26" s="13">
        <f>IFERROR(AVERAGEIFS(DEBIT_HARIAN!$F$6:$F$9136,DEBIT_HARIAN!$B$6:$B$9136,$A26,DEBIT_HARIAN!$C$6:$C$9136,F$4,DEBIT_HARIAN!$E$6:$E$9136,F$5),"")</f>
        <v/>
      </c>
      <c r="G26" s="13">
        <f>IFERROR(AVERAGEIFS(DEBIT_HARIAN!$F$6:$F$9136,DEBIT_HARIAN!$B$6:$B$9136,$A26,DEBIT_HARIAN!$C$6:$C$9136,G$4,DEBIT_HARIAN!$E$6:$E$9136,G$5),"")</f>
        <v/>
      </c>
      <c r="H26" s="13">
        <f>IFERROR(AVERAGEIFS(DEBIT_HARIAN!$F$6:$F$9136,DEBIT_HARIAN!$B$6:$B$9136,$A26,DEBIT_HARIAN!$C$6:$C$9136,H$4,DEBIT_HARIAN!$E$6:$E$9136,H$5),"")</f>
        <v/>
      </c>
      <c r="I26" s="13">
        <f>IFERROR(AVERAGEIFS(DEBIT_HARIAN!$F$6:$F$9136,DEBIT_HARIAN!$B$6:$B$9136,$A26,DEBIT_HARIAN!$C$6:$C$9136,I$4,DEBIT_HARIAN!$E$6:$E$9136,I$5),"")</f>
        <v/>
      </c>
      <c r="J26" s="13">
        <f>IFERROR(AVERAGEIFS(DEBIT_HARIAN!$F$6:$F$9136,DEBIT_HARIAN!$B$6:$B$9136,$A26,DEBIT_HARIAN!$C$6:$C$9136,J$4,DEBIT_HARIAN!$E$6:$E$9136,J$5),"")</f>
        <v/>
      </c>
      <c r="K26" s="13">
        <f>IFERROR(AVERAGEIFS(DEBIT_HARIAN!$F$6:$F$9136,DEBIT_HARIAN!$B$6:$B$9136,$A26,DEBIT_HARIAN!$C$6:$C$9136,K$4,DEBIT_HARIAN!$E$6:$E$9136,K$5),"")</f>
        <v/>
      </c>
      <c r="L26" s="13">
        <f>IFERROR(AVERAGEIFS(DEBIT_HARIAN!$F$6:$F$9136,DEBIT_HARIAN!$B$6:$B$9136,$A26,DEBIT_HARIAN!$C$6:$C$9136,L$4,DEBIT_HARIAN!$E$6:$E$9136,L$5),"")</f>
        <v/>
      </c>
      <c r="M26" s="13">
        <f>IFERROR(AVERAGEIFS(DEBIT_HARIAN!$F$6:$F$9136,DEBIT_HARIAN!$B$6:$B$9136,$A26,DEBIT_HARIAN!$C$6:$C$9136,M$4,DEBIT_HARIAN!$E$6:$E$9136,M$5),"")</f>
        <v/>
      </c>
      <c r="N26" s="13">
        <f>IFERROR(AVERAGEIFS(DEBIT_HARIAN!$F$6:$F$9136,DEBIT_HARIAN!$B$6:$B$9136,$A26,DEBIT_HARIAN!$C$6:$C$9136,N$4,DEBIT_HARIAN!$E$6:$E$9136,N$5),"")</f>
        <v/>
      </c>
      <c r="O26" s="13">
        <f>IFERROR(AVERAGEIFS(DEBIT_HARIAN!$F$6:$F$9136,DEBIT_HARIAN!$B$6:$B$9136,$A26,DEBIT_HARIAN!$C$6:$C$9136,O$4,DEBIT_HARIAN!$E$6:$E$9136,O$5),"")</f>
        <v/>
      </c>
      <c r="P26" s="13">
        <f>IFERROR(AVERAGEIFS(DEBIT_HARIAN!$F$6:$F$9136,DEBIT_HARIAN!$B$6:$B$9136,$A26,DEBIT_HARIAN!$C$6:$C$9136,P$4,DEBIT_HARIAN!$E$6:$E$9136,P$5),"")</f>
        <v/>
      </c>
      <c r="Q26" s="13">
        <f>IFERROR(AVERAGEIFS(DEBIT_HARIAN!$F$6:$F$9136,DEBIT_HARIAN!$B$6:$B$9136,$A26,DEBIT_HARIAN!$C$6:$C$9136,Q$4,DEBIT_HARIAN!$E$6:$E$9136,Q$5),"")</f>
        <v/>
      </c>
      <c r="R26" s="13">
        <f>IFERROR(AVERAGEIFS(DEBIT_HARIAN!$F$6:$F$9136,DEBIT_HARIAN!$B$6:$B$9136,$A26,DEBIT_HARIAN!$C$6:$C$9136,R$4,DEBIT_HARIAN!$E$6:$E$9136,R$5),"")</f>
        <v/>
      </c>
      <c r="S26" s="13">
        <f>IFERROR(AVERAGEIFS(DEBIT_HARIAN!$F$6:$F$9136,DEBIT_HARIAN!$B$6:$B$9136,$A26,DEBIT_HARIAN!$C$6:$C$9136,S$4,DEBIT_HARIAN!$E$6:$E$9136,S$5),"")</f>
        <v/>
      </c>
      <c r="T26" s="13">
        <f>IFERROR(AVERAGEIFS(DEBIT_HARIAN!$F$6:$F$9136,DEBIT_HARIAN!$B$6:$B$9136,$A26,DEBIT_HARIAN!$C$6:$C$9136,T$4,DEBIT_HARIAN!$E$6:$E$9136,T$5),"")</f>
        <v/>
      </c>
      <c r="U26" s="13">
        <f>IFERROR(AVERAGEIFS(DEBIT_HARIAN!$F$6:$F$9136,DEBIT_HARIAN!$B$6:$B$9136,$A26,DEBIT_HARIAN!$C$6:$C$9136,U$4,DEBIT_HARIAN!$E$6:$E$9136,U$5),"")</f>
        <v/>
      </c>
      <c r="V26" s="13">
        <f>IFERROR(AVERAGEIFS(DEBIT_HARIAN!$F$6:$F$9136,DEBIT_HARIAN!$B$6:$B$9136,$A26,DEBIT_HARIAN!$C$6:$C$9136,V$4,DEBIT_HARIAN!$E$6:$E$9136,V$5),"")</f>
        <v/>
      </c>
      <c r="W26" s="13">
        <f>IFERROR(AVERAGEIFS(DEBIT_HARIAN!$F$6:$F$9136,DEBIT_HARIAN!$B$6:$B$9136,$A26,DEBIT_HARIAN!$C$6:$C$9136,W$4,DEBIT_HARIAN!$E$6:$E$9136,W$5),"")</f>
        <v/>
      </c>
      <c r="X26" s="13">
        <f>IFERROR(AVERAGEIFS(DEBIT_HARIAN!$F$6:$F$9136,DEBIT_HARIAN!$B$6:$B$9136,$A26,DEBIT_HARIAN!$C$6:$C$9136,X$4,DEBIT_HARIAN!$E$6:$E$9136,X$5),"")</f>
        <v/>
      </c>
      <c r="Y26" s="13">
        <f>IFERROR(AVERAGEIFS(DEBIT_HARIAN!$F$6:$F$9136,DEBIT_HARIAN!$B$6:$B$9136,$A26,DEBIT_HARIAN!$C$6:$C$9136,Y$4,DEBIT_HARIAN!$E$6:$E$9136,Y$5),"")</f>
        <v/>
      </c>
      <c r="Z26" s="10">
        <f>IFERROR(AVERAGEIFS(DEBIT_HARIAN!$F$6:$F$9136,DEBIT_HARIAN!$B$6:$B$9136,$A26),"")</f>
        <v/>
      </c>
    </row>
    <row r="27">
      <c r="A27" s="18" t="n">
        <v>2021</v>
      </c>
      <c r="B27" s="13">
        <f>IFERROR(AVERAGEIFS(DEBIT_HARIAN!$F$6:$F$9136,DEBIT_HARIAN!$B$6:$B$9136,$A27,DEBIT_HARIAN!$C$6:$C$9136,B$4,DEBIT_HARIAN!$E$6:$E$9136,B$5),"")</f>
        <v/>
      </c>
      <c r="C27" s="13">
        <f>IFERROR(AVERAGEIFS(DEBIT_HARIAN!$F$6:$F$9136,DEBIT_HARIAN!$B$6:$B$9136,$A27,DEBIT_HARIAN!$C$6:$C$9136,C$4,DEBIT_HARIAN!$E$6:$E$9136,C$5),"")</f>
        <v/>
      </c>
      <c r="D27" s="13">
        <f>IFERROR(AVERAGEIFS(DEBIT_HARIAN!$F$6:$F$9136,DEBIT_HARIAN!$B$6:$B$9136,$A27,DEBIT_HARIAN!$C$6:$C$9136,D$4,DEBIT_HARIAN!$E$6:$E$9136,D$5),"")</f>
        <v/>
      </c>
      <c r="E27" s="13">
        <f>IFERROR(AVERAGEIFS(DEBIT_HARIAN!$F$6:$F$9136,DEBIT_HARIAN!$B$6:$B$9136,$A27,DEBIT_HARIAN!$C$6:$C$9136,E$4,DEBIT_HARIAN!$E$6:$E$9136,E$5),"")</f>
        <v/>
      </c>
      <c r="F27" s="13">
        <f>IFERROR(AVERAGEIFS(DEBIT_HARIAN!$F$6:$F$9136,DEBIT_HARIAN!$B$6:$B$9136,$A27,DEBIT_HARIAN!$C$6:$C$9136,F$4,DEBIT_HARIAN!$E$6:$E$9136,F$5),"")</f>
        <v/>
      </c>
      <c r="G27" s="13">
        <f>IFERROR(AVERAGEIFS(DEBIT_HARIAN!$F$6:$F$9136,DEBIT_HARIAN!$B$6:$B$9136,$A27,DEBIT_HARIAN!$C$6:$C$9136,G$4,DEBIT_HARIAN!$E$6:$E$9136,G$5),"")</f>
        <v/>
      </c>
      <c r="H27" s="13">
        <f>IFERROR(AVERAGEIFS(DEBIT_HARIAN!$F$6:$F$9136,DEBIT_HARIAN!$B$6:$B$9136,$A27,DEBIT_HARIAN!$C$6:$C$9136,H$4,DEBIT_HARIAN!$E$6:$E$9136,H$5),"")</f>
        <v/>
      </c>
      <c r="I27" s="13">
        <f>IFERROR(AVERAGEIFS(DEBIT_HARIAN!$F$6:$F$9136,DEBIT_HARIAN!$B$6:$B$9136,$A27,DEBIT_HARIAN!$C$6:$C$9136,I$4,DEBIT_HARIAN!$E$6:$E$9136,I$5),"")</f>
        <v/>
      </c>
      <c r="J27" s="13">
        <f>IFERROR(AVERAGEIFS(DEBIT_HARIAN!$F$6:$F$9136,DEBIT_HARIAN!$B$6:$B$9136,$A27,DEBIT_HARIAN!$C$6:$C$9136,J$4,DEBIT_HARIAN!$E$6:$E$9136,J$5),"")</f>
        <v/>
      </c>
      <c r="K27" s="13">
        <f>IFERROR(AVERAGEIFS(DEBIT_HARIAN!$F$6:$F$9136,DEBIT_HARIAN!$B$6:$B$9136,$A27,DEBIT_HARIAN!$C$6:$C$9136,K$4,DEBIT_HARIAN!$E$6:$E$9136,K$5),"")</f>
        <v/>
      </c>
      <c r="L27" s="13">
        <f>IFERROR(AVERAGEIFS(DEBIT_HARIAN!$F$6:$F$9136,DEBIT_HARIAN!$B$6:$B$9136,$A27,DEBIT_HARIAN!$C$6:$C$9136,L$4,DEBIT_HARIAN!$E$6:$E$9136,L$5),"")</f>
        <v/>
      </c>
      <c r="M27" s="13">
        <f>IFERROR(AVERAGEIFS(DEBIT_HARIAN!$F$6:$F$9136,DEBIT_HARIAN!$B$6:$B$9136,$A27,DEBIT_HARIAN!$C$6:$C$9136,M$4,DEBIT_HARIAN!$E$6:$E$9136,M$5),"")</f>
        <v/>
      </c>
      <c r="N27" s="13">
        <f>IFERROR(AVERAGEIFS(DEBIT_HARIAN!$F$6:$F$9136,DEBIT_HARIAN!$B$6:$B$9136,$A27,DEBIT_HARIAN!$C$6:$C$9136,N$4,DEBIT_HARIAN!$E$6:$E$9136,N$5),"")</f>
        <v/>
      </c>
      <c r="O27" s="13">
        <f>IFERROR(AVERAGEIFS(DEBIT_HARIAN!$F$6:$F$9136,DEBIT_HARIAN!$B$6:$B$9136,$A27,DEBIT_HARIAN!$C$6:$C$9136,O$4,DEBIT_HARIAN!$E$6:$E$9136,O$5),"")</f>
        <v/>
      </c>
      <c r="P27" s="13">
        <f>IFERROR(AVERAGEIFS(DEBIT_HARIAN!$F$6:$F$9136,DEBIT_HARIAN!$B$6:$B$9136,$A27,DEBIT_HARIAN!$C$6:$C$9136,P$4,DEBIT_HARIAN!$E$6:$E$9136,P$5),"")</f>
        <v/>
      </c>
      <c r="Q27" s="13">
        <f>IFERROR(AVERAGEIFS(DEBIT_HARIAN!$F$6:$F$9136,DEBIT_HARIAN!$B$6:$B$9136,$A27,DEBIT_HARIAN!$C$6:$C$9136,Q$4,DEBIT_HARIAN!$E$6:$E$9136,Q$5),"")</f>
        <v/>
      </c>
      <c r="R27" s="13">
        <f>IFERROR(AVERAGEIFS(DEBIT_HARIAN!$F$6:$F$9136,DEBIT_HARIAN!$B$6:$B$9136,$A27,DEBIT_HARIAN!$C$6:$C$9136,R$4,DEBIT_HARIAN!$E$6:$E$9136,R$5),"")</f>
        <v/>
      </c>
      <c r="S27" s="13">
        <f>IFERROR(AVERAGEIFS(DEBIT_HARIAN!$F$6:$F$9136,DEBIT_HARIAN!$B$6:$B$9136,$A27,DEBIT_HARIAN!$C$6:$C$9136,S$4,DEBIT_HARIAN!$E$6:$E$9136,S$5),"")</f>
        <v/>
      </c>
      <c r="T27" s="13">
        <f>IFERROR(AVERAGEIFS(DEBIT_HARIAN!$F$6:$F$9136,DEBIT_HARIAN!$B$6:$B$9136,$A27,DEBIT_HARIAN!$C$6:$C$9136,T$4,DEBIT_HARIAN!$E$6:$E$9136,T$5),"")</f>
        <v/>
      </c>
      <c r="U27" s="13">
        <f>IFERROR(AVERAGEIFS(DEBIT_HARIAN!$F$6:$F$9136,DEBIT_HARIAN!$B$6:$B$9136,$A27,DEBIT_HARIAN!$C$6:$C$9136,U$4,DEBIT_HARIAN!$E$6:$E$9136,U$5),"")</f>
        <v/>
      </c>
      <c r="V27" s="13">
        <f>IFERROR(AVERAGEIFS(DEBIT_HARIAN!$F$6:$F$9136,DEBIT_HARIAN!$B$6:$B$9136,$A27,DEBIT_HARIAN!$C$6:$C$9136,V$4,DEBIT_HARIAN!$E$6:$E$9136,V$5),"")</f>
        <v/>
      </c>
      <c r="W27" s="13">
        <f>IFERROR(AVERAGEIFS(DEBIT_HARIAN!$F$6:$F$9136,DEBIT_HARIAN!$B$6:$B$9136,$A27,DEBIT_HARIAN!$C$6:$C$9136,W$4,DEBIT_HARIAN!$E$6:$E$9136,W$5),"")</f>
        <v/>
      </c>
      <c r="X27" s="13">
        <f>IFERROR(AVERAGEIFS(DEBIT_HARIAN!$F$6:$F$9136,DEBIT_HARIAN!$B$6:$B$9136,$A27,DEBIT_HARIAN!$C$6:$C$9136,X$4,DEBIT_HARIAN!$E$6:$E$9136,X$5),"")</f>
        <v/>
      </c>
      <c r="Y27" s="13">
        <f>IFERROR(AVERAGEIFS(DEBIT_HARIAN!$F$6:$F$9136,DEBIT_HARIAN!$B$6:$B$9136,$A27,DEBIT_HARIAN!$C$6:$C$9136,Y$4,DEBIT_HARIAN!$E$6:$E$9136,Y$5),"")</f>
        <v/>
      </c>
      <c r="Z27" s="10">
        <f>IFERROR(AVERAGEIFS(DEBIT_HARIAN!$F$6:$F$9136,DEBIT_HARIAN!$B$6:$B$9136,$A27),"")</f>
        <v/>
      </c>
    </row>
    <row r="28">
      <c r="A28" s="18" t="n">
        <v>2022</v>
      </c>
      <c r="B28" s="13">
        <f>IFERROR(AVERAGEIFS(DEBIT_HARIAN!$F$6:$F$9136,DEBIT_HARIAN!$B$6:$B$9136,$A28,DEBIT_HARIAN!$C$6:$C$9136,B$4,DEBIT_HARIAN!$E$6:$E$9136,B$5),"")</f>
        <v/>
      </c>
      <c r="C28" s="13">
        <f>IFERROR(AVERAGEIFS(DEBIT_HARIAN!$F$6:$F$9136,DEBIT_HARIAN!$B$6:$B$9136,$A28,DEBIT_HARIAN!$C$6:$C$9136,C$4,DEBIT_HARIAN!$E$6:$E$9136,C$5),"")</f>
        <v/>
      </c>
      <c r="D28" s="13">
        <f>IFERROR(AVERAGEIFS(DEBIT_HARIAN!$F$6:$F$9136,DEBIT_HARIAN!$B$6:$B$9136,$A28,DEBIT_HARIAN!$C$6:$C$9136,D$4,DEBIT_HARIAN!$E$6:$E$9136,D$5),"")</f>
        <v/>
      </c>
      <c r="E28" s="13">
        <f>IFERROR(AVERAGEIFS(DEBIT_HARIAN!$F$6:$F$9136,DEBIT_HARIAN!$B$6:$B$9136,$A28,DEBIT_HARIAN!$C$6:$C$9136,E$4,DEBIT_HARIAN!$E$6:$E$9136,E$5),"")</f>
        <v/>
      </c>
      <c r="F28" s="13">
        <f>IFERROR(AVERAGEIFS(DEBIT_HARIAN!$F$6:$F$9136,DEBIT_HARIAN!$B$6:$B$9136,$A28,DEBIT_HARIAN!$C$6:$C$9136,F$4,DEBIT_HARIAN!$E$6:$E$9136,F$5),"")</f>
        <v/>
      </c>
      <c r="G28" s="13">
        <f>IFERROR(AVERAGEIFS(DEBIT_HARIAN!$F$6:$F$9136,DEBIT_HARIAN!$B$6:$B$9136,$A28,DEBIT_HARIAN!$C$6:$C$9136,G$4,DEBIT_HARIAN!$E$6:$E$9136,G$5),"")</f>
        <v/>
      </c>
      <c r="H28" s="13">
        <f>IFERROR(AVERAGEIFS(DEBIT_HARIAN!$F$6:$F$9136,DEBIT_HARIAN!$B$6:$B$9136,$A28,DEBIT_HARIAN!$C$6:$C$9136,H$4,DEBIT_HARIAN!$E$6:$E$9136,H$5),"")</f>
        <v/>
      </c>
      <c r="I28" s="13">
        <f>IFERROR(AVERAGEIFS(DEBIT_HARIAN!$F$6:$F$9136,DEBIT_HARIAN!$B$6:$B$9136,$A28,DEBIT_HARIAN!$C$6:$C$9136,I$4,DEBIT_HARIAN!$E$6:$E$9136,I$5),"")</f>
        <v/>
      </c>
      <c r="J28" s="13">
        <f>IFERROR(AVERAGEIFS(DEBIT_HARIAN!$F$6:$F$9136,DEBIT_HARIAN!$B$6:$B$9136,$A28,DEBIT_HARIAN!$C$6:$C$9136,J$4,DEBIT_HARIAN!$E$6:$E$9136,J$5),"")</f>
        <v/>
      </c>
      <c r="K28" s="13">
        <f>IFERROR(AVERAGEIFS(DEBIT_HARIAN!$F$6:$F$9136,DEBIT_HARIAN!$B$6:$B$9136,$A28,DEBIT_HARIAN!$C$6:$C$9136,K$4,DEBIT_HARIAN!$E$6:$E$9136,K$5),"")</f>
        <v/>
      </c>
      <c r="L28" s="13">
        <f>IFERROR(AVERAGEIFS(DEBIT_HARIAN!$F$6:$F$9136,DEBIT_HARIAN!$B$6:$B$9136,$A28,DEBIT_HARIAN!$C$6:$C$9136,L$4,DEBIT_HARIAN!$E$6:$E$9136,L$5),"")</f>
        <v/>
      </c>
      <c r="M28" s="13">
        <f>IFERROR(AVERAGEIFS(DEBIT_HARIAN!$F$6:$F$9136,DEBIT_HARIAN!$B$6:$B$9136,$A28,DEBIT_HARIAN!$C$6:$C$9136,M$4,DEBIT_HARIAN!$E$6:$E$9136,M$5),"")</f>
        <v/>
      </c>
      <c r="N28" s="13">
        <f>IFERROR(AVERAGEIFS(DEBIT_HARIAN!$F$6:$F$9136,DEBIT_HARIAN!$B$6:$B$9136,$A28,DEBIT_HARIAN!$C$6:$C$9136,N$4,DEBIT_HARIAN!$E$6:$E$9136,N$5),"")</f>
        <v/>
      </c>
      <c r="O28" s="13">
        <f>IFERROR(AVERAGEIFS(DEBIT_HARIAN!$F$6:$F$9136,DEBIT_HARIAN!$B$6:$B$9136,$A28,DEBIT_HARIAN!$C$6:$C$9136,O$4,DEBIT_HARIAN!$E$6:$E$9136,O$5),"")</f>
        <v/>
      </c>
      <c r="P28" s="13">
        <f>IFERROR(AVERAGEIFS(DEBIT_HARIAN!$F$6:$F$9136,DEBIT_HARIAN!$B$6:$B$9136,$A28,DEBIT_HARIAN!$C$6:$C$9136,P$4,DEBIT_HARIAN!$E$6:$E$9136,P$5),"")</f>
        <v/>
      </c>
      <c r="Q28" s="13">
        <f>IFERROR(AVERAGEIFS(DEBIT_HARIAN!$F$6:$F$9136,DEBIT_HARIAN!$B$6:$B$9136,$A28,DEBIT_HARIAN!$C$6:$C$9136,Q$4,DEBIT_HARIAN!$E$6:$E$9136,Q$5),"")</f>
        <v/>
      </c>
      <c r="R28" s="13">
        <f>IFERROR(AVERAGEIFS(DEBIT_HARIAN!$F$6:$F$9136,DEBIT_HARIAN!$B$6:$B$9136,$A28,DEBIT_HARIAN!$C$6:$C$9136,R$4,DEBIT_HARIAN!$E$6:$E$9136,R$5),"")</f>
        <v/>
      </c>
      <c r="S28" s="13">
        <f>IFERROR(AVERAGEIFS(DEBIT_HARIAN!$F$6:$F$9136,DEBIT_HARIAN!$B$6:$B$9136,$A28,DEBIT_HARIAN!$C$6:$C$9136,S$4,DEBIT_HARIAN!$E$6:$E$9136,S$5),"")</f>
        <v/>
      </c>
      <c r="T28" s="13">
        <f>IFERROR(AVERAGEIFS(DEBIT_HARIAN!$F$6:$F$9136,DEBIT_HARIAN!$B$6:$B$9136,$A28,DEBIT_HARIAN!$C$6:$C$9136,T$4,DEBIT_HARIAN!$E$6:$E$9136,T$5),"")</f>
        <v/>
      </c>
      <c r="U28" s="13">
        <f>IFERROR(AVERAGEIFS(DEBIT_HARIAN!$F$6:$F$9136,DEBIT_HARIAN!$B$6:$B$9136,$A28,DEBIT_HARIAN!$C$6:$C$9136,U$4,DEBIT_HARIAN!$E$6:$E$9136,U$5),"")</f>
        <v/>
      </c>
      <c r="V28" s="13">
        <f>IFERROR(AVERAGEIFS(DEBIT_HARIAN!$F$6:$F$9136,DEBIT_HARIAN!$B$6:$B$9136,$A28,DEBIT_HARIAN!$C$6:$C$9136,V$4,DEBIT_HARIAN!$E$6:$E$9136,V$5),"")</f>
        <v/>
      </c>
      <c r="W28" s="13">
        <f>IFERROR(AVERAGEIFS(DEBIT_HARIAN!$F$6:$F$9136,DEBIT_HARIAN!$B$6:$B$9136,$A28,DEBIT_HARIAN!$C$6:$C$9136,W$4,DEBIT_HARIAN!$E$6:$E$9136,W$5),"")</f>
        <v/>
      </c>
      <c r="X28" s="13">
        <f>IFERROR(AVERAGEIFS(DEBIT_HARIAN!$F$6:$F$9136,DEBIT_HARIAN!$B$6:$B$9136,$A28,DEBIT_HARIAN!$C$6:$C$9136,X$4,DEBIT_HARIAN!$E$6:$E$9136,X$5),"")</f>
        <v/>
      </c>
      <c r="Y28" s="13">
        <f>IFERROR(AVERAGEIFS(DEBIT_HARIAN!$F$6:$F$9136,DEBIT_HARIAN!$B$6:$B$9136,$A28,DEBIT_HARIAN!$C$6:$C$9136,Y$4,DEBIT_HARIAN!$E$6:$E$9136,Y$5),"")</f>
        <v/>
      </c>
      <c r="Z28" s="10">
        <f>IFERROR(AVERAGEIFS(DEBIT_HARIAN!$F$6:$F$9136,DEBIT_HARIAN!$B$6:$B$9136,$A28),"")</f>
        <v/>
      </c>
    </row>
    <row r="29">
      <c r="A29" s="18" t="n">
        <v>2023</v>
      </c>
      <c r="B29" s="13">
        <f>IFERROR(AVERAGEIFS(DEBIT_HARIAN!$F$6:$F$9136,DEBIT_HARIAN!$B$6:$B$9136,$A29,DEBIT_HARIAN!$C$6:$C$9136,B$4,DEBIT_HARIAN!$E$6:$E$9136,B$5),"")</f>
        <v/>
      </c>
      <c r="C29" s="13">
        <f>IFERROR(AVERAGEIFS(DEBIT_HARIAN!$F$6:$F$9136,DEBIT_HARIAN!$B$6:$B$9136,$A29,DEBIT_HARIAN!$C$6:$C$9136,C$4,DEBIT_HARIAN!$E$6:$E$9136,C$5),"")</f>
        <v/>
      </c>
      <c r="D29" s="13">
        <f>IFERROR(AVERAGEIFS(DEBIT_HARIAN!$F$6:$F$9136,DEBIT_HARIAN!$B$6:$B$9136,$A29,DEBIT_HARIAN!$C$6:$C$9136,D$4,DEBIT_HARIAN!$E$6:$E$9136,D$5),"")</f>
        <v/>
      </c>
      <c r="E29" s="13">
        <f>IFERROR(AVERAGEIFS(DEBIT_HARIAN!$F$6:$F$9136,DEBIT_HARIAN!$B$6:$B$9136,$A29,DEBIT_HARIAN!$C$6:$C$9136,E$4,DEBIT_HARIAN!$E$6:$E$9136,E$5),"")</f>
        <v/>
      </c>
      <c r="F29" s="13">
        <f>IFERROR(AVERAGEIFS(DEBIT_HARIAN!$F$6:$F$9136,DEBIT_HARIAN!$B$6:$B$9136,$A29,DEBIT_HARIAN!$C$6:$C$9136,F$4,DEBIT_HARIAN!$E$6:$E$9136,F$5),"")</f>
        <v/>
      </c>
      <c r="G29" s="13">
        <f>IFERROR(AVERAGEIFS(DEBIT_HARIAN!$F$6:$F$9136,DEBIT_HARIAN!$B$6:$B$9136,$A29,DEBIT_HARIAN!$C$6:$C$9136,G$4,DEBIT_HARIAN!$E$6:$E$9136,G$5),"")</f>
        <v/>
      </c>
      <c r="H29" s="13">
        <f>IFERROR(AVERAGEIFS(DEBIT_HARIAN!$F$6:$F$9136,DEBIT_HARIAN!$B$6:$B$9136,$A29,DEBIT_HARIAN!$C$6:$C$9136,H$4,DEBIT_HARIAN!$E$6:$E$9136,H$5),"")</f>
        <v/>
      </c>
      <c r="I29" s="13">
        <f>IFERROR(AVERAGEIFS(DEBIT_HARIAN!$F$6:$F$9136,DEBIT_HARIAN!$B$6:$B$9136,$A29,DEBIT_HARIAN!$C$6:$C$9136,I$4,DEBIT_HARIAN!$E$6:$E$9136,I$5),"")</f>
        <v/>
      </c>
      <c r="J29" s="13">
        <f>IFERROR(AVERAGEIFS(DEBIT_HARIAN!$F$6:$F$9136,DEBIT_HARIAN!$B$6:$B$9136,$A29,DEBIT_HARIAN!$C$6:$C$9136,J$4,DEBIT_HARIAN!$E$6:$E$9136,J$5),"")</f>
        <v/>
      </c>
      <c r="K29" s="13">
        <f>IFERROR(AVERAGEIFS(DEBIT_HARIAN!$F$6:$F$9136,DEBIT_HARIAN!$B$6:$B$9136,$A29,DEBIT_HARIAN!$C$6:$C$9136,K$4,DEBIT_HARIAN!$E$6:$E$9136,K$5),"")</f>
        <v/>
      </c>
      <c r="L29" s="13">
        <f>IFERROR(AVERAGEIFS(DEBIT_HARIAN!$F$6:$F$9136,DEBIT_HARIAN!$B$6:$B$9136,$A29,DEBIT_HARIAN!$C$6:$C$9136,L$4,DEBIT_HARIAN!$E$6:$E$9136,L$5),"")</f>
        <v/>
      </c>
      <c r="M29" s="13">
        <f>IFERROR(AVERAGEIFS(DEBIT_HARIAN!$F$6:$F$9136,DEBIT_HARIAN!$B$6:$B$9136,$A29,DEBIT_HARIAN!$C$6:$C$9136,M$4,DEBIT_HARIAN!$E$6:$E$9136,M$5),"")</f>
        <v/>
      </c>
      <c r="N29" s="13">
        <f>IFERROR(AVERAGEIFS(DEBIT_HARIAN!$F$6:$F$9136,DEBIT_HARIAN!$B$6:$B$9136,$A29,DEBIT_HARIAN!$C$6:$C$9136,N$4,DEBIT_HARIAN!$E$6:$E$9136,N$5),"")</f>
        <v/>
      </c>
      <c r="O29" s="13">
        <f>IFERROR(AVERAGEIFS(DEBIT_HARIAN!$F$6:$F$9136,DEBIT_HARIAN!$B$6:$B$9136,$A29,DEBIT_HARIAN!$C$6:$C$9136,O$4,DEBIT_HARIAN!$E$6:$E$9136,O$5),"")</f>
        <v/>
      </c>
      <c r="P29" s="13">
        <f>IFERROR(AVERAGEIFS(DEBIT_HARIAN!$F$6:$F$9136,DEBIT_HARIAN!$B$6:$B$9136,$A29,DEBIT_HARIAN!$C$6:$C$9136,P$4,DEBIT_HARIAN!$E$6:$E$9136,P$5),"")</f>
        <v/>
      </c>
      <c r="Q29" s="13">
        <f>IFERROR(AVERAGEIFS(DEBIT_HARIAN!$F$6:$F$9136,DEBIT_HARIAN!$B$6:$B$9136,$A29,DEBIT_HARIAN!$C$6:$C$9136,Q$4,DEBIT_HARIAN!$E$6:$E$9136,Q$5),"")</f>
        <v/>
      </c>
      <c r="R29" s="13">
        <f>IFERROR(AVERAGEIFS(DEBIT_HARIAN!$F$6:$F$9136,DEBIT_HARIAN!$B$6:$B$9136,$A29,DEBIT_HARIAN!$C$6:$C$9136,R$4,DEBIT_HARIAN!$E$6:$E$9136,R$5),"")</f>
        <v/>
      </c>
      <c r="S29" s="13">
        <f>IFERROR(AVERAGEIFS(DEBIT_HARIAN!$F$6:$F$9136,DEBIT_HARIAN!$B$6:$B$9136,$A29,DEBIT_HARIAN!$C$6:$C$9136,S$4,DEBIT_HARIAN!$E$6:$E$9136,S$5),"")</f>
        <v/>
      </c>
      <c r="T29" s="13">
        <f>IFERROR(AVERAGEIFS(DEBIT_HARIAN!$F$6:$F$9136,DEBIT_HARIAN!$B$6:$B$9136,$A29,DEBIT_HARIAN!$C$6:$C$9136,T$4,DEBIT_HARIAN!$E$6:$E$9136,T$5),"")</f>
        <v/>
      </c>
      <c r="U29" s="13">
        <f>IFERROR(AVERAGEIFS(DEBIT_HARIAN!$F$6:$F$9136,DEBIT_HARIAN!$B$6:$B$9136,$A29,DEBIT_HARIAN!$C$6:$C$9136,U$4,DEBIT_HARIAN!$E$6:$E$9136,U$5),"")</f>
        <v/>
      </c>
      <c r="V29" s="13">
        <f>IFERROR(AVERAGEIFS(DEBIT_HARIAN!$F$6:$F$9136,DEBIT_HARIAN!$B$6:$B$9136,$A29,DEBIT_HARIAN!$C$6:$C$9136,V$4,DEBIT_HARIAN!$E$6:$E$9136,V$5),"")</f>
        <v/>
      </c>
      <c r="W29" s="13">
        <f>IFERROR(AVERAGEIFS(DEBIT_HARIAN!$F$6:$F$9136,DEBIT_HARIAN!$B$6:$B$9136,$A29,DEBIT_HARIAN!$C$6:$C$9136,W$4,DEBIT_HARIAN!$E$6:$E$9136,W$5),"")</f>
        <v/>
      </c>
      <c r="X29" s="13">
        <f>IFERROR(AVERAGEIFS(DEBIT_HARIAN!$F$6:$F$9136,DEBIT_HARIAN!$B$6:$B$9136,$A29,DEBIT_HARIAN!$C$6:$C$9136,X$4,DEBIT_HARIAN!$E$6:$E$9136,X$5),"")</f>
        <v/>
      </c>
      <c r="Y29" s="13">
        <f>IFERROR(AVERAGEIFS(DEBIT_HARIAN!$F$6:$F$9136,DEBIT_HARIAN!$B$6:$B$9136,$A29,DEBIT_HARIAN!$C$6:$C$9136,Y$4,DEBIT_HARIAN!$E$6:$E$9136,Y$5),"")</f>
        <v/>
      </c>
      <c r="Z29" s="10">
        <f>IFERROR(AVERAGEIFS(DEBIT_HARIAN!$F$6:$F$9136,DEBIT_HARIAN!$B$6:$B$9136,$A29),"")</f>
        <v/>
      </c>
    </row>
    <row r="30">
      <c r="A30" s="18" t="n">
        <v>2024</v>
      </c>
      <c r="B30" s="13">
        <f>IFERROR(AVERAGEIFS(DEBIT_HARIAN!$F$6:$F$9136,DEBIT_HARIAN!$B$6:$B$9136,$A30,DEBIT_HARIAN!$C$6:$C$9136,B$4,DEBIT_HARIAN!$E$6:$E$9136,B$5),"")</f>
        <v/>
      </c>
      <c r="C30" s="13">
        <f>IFERROR(AVERAGEIFS(DEBIT_HARIAN!$F$6:$F$9136,DEBIT_HARIAN!$B$6:$B$9136,$A30,DEBIT_HARIAN!$C$6:$C$9136,C$4,DEBIT_HARIAN!$E$6:$E$9136,C$5),"")</f>
        <v/>
      </c>
      <c r="D30" s="13">
        <f>IFERROR(AVERAGEIFS(DEBIT_HARIAN!$F$6:$F$9136,DEBIT_HARIAN!$B$6:$B$9136,$A30,DEBIT_HARIAN!$C$6:$C$9136,D$4,DEBIT_HARIAN!$E$6:$E$9136,D$5),"")</f>
        <v/>
      </c>
      <c r="E30" s="13">
        <f>IFERROR(AVERAGEIFS(DEBIT_HARIAN!$F$6:$F$9136,DEBIT_HARIAN!$B$6:$B$9136,$A30,DEBIT_HARIAN!$C$6:$C$9136,E$4,DEBIT_HARIAN!$E$6:$E$9136,E$5),"")</f>
        <v/>
      </c>
      <c r="F30" s="13">
        <f>IFERROR(AVERAGEIFS(DEBIT_HARIAN!$F$6:$F$9136,DEBIT_HARIAN!$B$6:$B$9136,$A30,DEBIT_HARIAN!$C$6:$C$9136,F$4,DEBIT_HARIAN!$E$6:$E$9136,F$5),"")</f>
        <v/>
      </c>
      <c r="G30" s="13">
        <f>IFERROR(AVERAGEIFS(DEBIT_HARIAN!$F$6:$F$9136,DEBIT_HARIAN!$B$6:$B$9136,$A30,DEBIT_HARIAN!$C$6:$C$9136,G$4,DEBIT_HARIAN!$E$6:$E$9136,G$5),"")</f>
        <v/>
      </c>
      <c r="H30" s="13">
        <f>IFERROR(AVERAGEIFS(DEBIT_HARIAN!$F$6:$F$9136,DEBIT_HARIAN!$B$6:$B$9136,$A30,DEBIT_HARIAN!$C$6:$C$9136,H$4,DEBIT_HARIAN!$E$6:$E$9136,H$5),"")</f>
        <v/>
      </c>
      <c r="I30" s="13">
        <f>IFERROR(AVERAGEIFS(DEBIT_HARIAN!$F$6:$F$9136,DEBIT_HARIAN!$B$6:$B$9136,$A30,DEBIT_HARIAN!$C$6:$C$9136,I$4,DEBIT_HARIAN!$E$6:$E$9136,I$5),"")</f>
        <v/>
      </c>
      <c r="J30" s="13">
        <f>IFERROR(AVERAGEIFS(DEBIT_HARIAN!$F$6:$F$9136,DEBIT_HARIAN!$B$6:$B$9136,$A30,DEBIT_HARIAN!$C$6:$C$9136,J$4,DEBIT_HARIAN!$E$6:$E$9136,J$5),"")</f>
        <v/>
      </c>
      <c r="K30" s="13">
        <f>IFERROR(AVERAGEIFS(DEBIT_HARIAN!$F$6:$F$9136,DEBIT_HARIAN!$B$6:$B$9136,$A30,DEBIT_HARIAN!$C$6:$C$9136,K$4,DEBIT_HARIAN!$E$6:$E$9136,K$5),"")</f>
        <v/>
      </c>
      <c r="L30" s="13">
        <f>IFERROR(AVERAGEIFS(DEBIT_HARIAN!$F$6:$F$9136,DEBIT_HARIAN!$B$6:$B$9136,$A30,DEBIT_HARIAN!$C$6:$C$9136,L$4,DEBIT_HARIAN!$E$6:$E$9136,L$5),"")</f>
        <v/>
      </c>
      <c r="M30" s="13">
        <f>IFERROR(AVERAGEIFS(DEBIT_HARIAN!$F$6:$F$9136,DEBIT_HARIAN!$B$6:$B$9136,$A30,DEBIT_HARIAN!$C$6:$C$9136,M$4,DEBIT_HARIAN!$E$6:$E$9136,M$5),"")</f>
        <v/>
      </c>
      <c r="N30" s="13">
        <f>IFERROR(AVERAGEIFS(DEBIT_HARIAN!$F$6:$F$9136,DEBIT_HARIAN!$B$6:$B$9136,$A30,DEBIT_HARIAN!$C$6:$C$9136,N$4,DEBIT_HARIAN!$E$6:$E$9136,N$5),"")</f>
        <v/>
      </c>
      <c r="O30" s="13">
        <f>IFERROR(AVERAGEIFS(DEBIT_HARIAN!$F$6:$F$9136,DEBIT_HARIAN!$B$6:$B$9136,$A30,DEBIT_HARIAN!$C$6:$C$9136,O$4,DEBIT_HARIAN!$E$6:$E$9136,O$5),"")</f>
        <v/>
      </c>
      <c r="P30" s="13">
        <f>IFERROR(AVERAGEIFS(DEBIT_HARIAN!$F$6:$F$9136,DEBIT_HARIAN!$B$6:$B$9136,$A30,DEBIT_HARIAN!$C$6:$C$9136,P$4,DEBIT_HARIAN!$E$6:$E$9136,P$5),"")</f>
        <v/>
      </c>
      <c r="Q30" s="13">
        <f>IFERROR(AVERAGEIFS(DEBIT_HARIAN!$F$6:$F$9136,DEBIT_HARIAN!$B$6:$B$9136,$A30,DEBIT_HARIAN!$C$6:$C$9136,Q$4,DEBIT_HARIAN!$E$6:$E$9136,Q$5),"")</f>
        <v/>
      </c>
      <c r="R30" s="13">
        <f>IFERROR(AVERAGEIFS(DEBIT_HARIAN!$F$6:$F$9136,DEBIT_HARIAN!$B$6:$B$9136,$A30,DEBIT_HARIAN!$C$6:$C$9136,R$4,DEBIT_HARIAN!$E$6:$E$9136,R$5),"")</f>
        <v/>
      </c>
      <c r="S30" s="13">
        <f>IFERROR(AVERAGEIFS(DEBIT_HARIAN!$F$6:$F$9136,DEBIT_HARIAN!$B$6:$B$9136,$A30,DEBIT_HARIAN!$C$6:$C$9136,S$4,DEBIT_HARIAN!$E$6:$E$9136,S$5),"")</f>
        <v/>
      </c>
      <c r="T30" s="13">
        <f>IFERROR(AVERAGEIFS(DEBIT_HARIAN!$F$6:$F$9136,DEBIT_HARIAN!$B$6:$B$9136,$A30,DEBIT_HARIAN!$C$6:$C$9136,T$4,DEBIT_HARIAN!$E$6:$E$9136,T$5),"")</f>
        <v/>
      </c>
      <c r="U30" s="13">
        <f>IFERROR(AVERAGEIFS(DEBIT_HARIAN!$F$6:$F$9136,DEBIT_HARIAN!$B$6:$B$9136,$A30,DEBIT_HARIAN!$C$6:$C$9136,U$4,DEBIT_HARIAN!$E$6:$E$9136,U$5),"")</f>
        <v/>
      </c>
      <c r="V30" s="13">
        <f>IFERROR(AVERAGEIFS(DEBIT_HARIAN!$F$6:$F$9136,DEBIT_HARIAN!$B$6:$B$9136,$A30,DEBIT_HARIAN!$C$6:$C$9136,V$4,DEBIT_HARIAN!$E$6:$E$9136,V$5),"")</f>
        <v/>
      </c>
      <c r="W30" s="13">
        <f>IFERROR(AVERAGEIFS(DEBIT_HARIAN!$F$6:$F$9136,DEBIT_HARIAN!$B$6:$B$9136,$A30,DEBIT_HARIAN!$C$6:$C$9136,W$4,DEBIT_HARIAN!$E$6:$E$9136,W$5),"")</f>
        <v/>
      </c>
      <c r="X30" s="13">
        <f>IFERROR(AVERAGEIFS(DEBIT_HARIAN!$F$6:$F$9136,DEBIT_HARIAN!$B$6:$B$9136,$A30,DEBIT_HARIAN!$C$6:$C$9136,X$4,DEBIT_HARIAN!$E$6:$E$9136,X$5),"")</f>
        <v/>
      </c>
      <c r="Y30" s="13">
        <f>IFERROR(AVERAGEIFS(DEBIT_HARIAN!$F$6:$F$9136,DEBIT_HARIAN!$B$6:$B$9136,$A30,DEBIT_HARIAN!$C$6:$C$9136,Y$4,DEBIT_HARIAN!$E$6:$E$9136,Y$5),"")</f>
        <v/>
      </c>
      <c r="Z30" s="10">
        <f>IFERROR(AVERAGEIFS(DEBIT_HARIAN!$F$6:$F$9136,DEBIT_HARIAN!$B$6:$B$9136,$A30),"")</f>
        <v/>
      </c>
    </row>
    <row r="31">
      <c r="A31" s="18" t="n">
        <v>2025</v>
      </c>
      <c r="B31" s="13">
        <f>IFERROR(AVERAGEIFS(DEBIT_HARIAN!$F$6:$F$9136,DEBIT_HARIAN!$B$6:$B$9136,$A31,DEBIT_HARIAN!$C$6:$C$9136,B$4,DEBIT_HARIAN!$E$6:$E$9136,B$5),"")</f>
        <v/>
      </c>
      <c r="C31" s="13">
        <f>IFERROR(AVERAGEIFS(DEBIT_HARIAN!$F$6:$F$9136,DEBIT_HARIAN!$B$6:$B$9136,$A31,DEBIT_HARIAN!$C$6:$C$9136,C$4,DEBIT_HARIAN!$E$6:$E$9136,C$5),"")</f>
        <v/>
      </c>
      <c r="D31" s="13">
        <f>IFERROR(AVERAGEIFS(DEBIT_HARIAN!$F$6:$F$9136,DEBIT_HARIAN!$B$6:$B$9136,$A31,DEBIT_HARIAN!$C$6:$C$9136,D$4,DEBIT_HARIAN!$E$6:$E$9136,D$5),"")</f>
        <v/>
      </c>
      <c r="E31" s="13">
        <f>IFERROR(AVERAGEIFS(DEBIT_HARIAN!$F$6:$F$9136,DEBIT_HARIAN!$B$6:$B$9136,$A31,DEBIT_HARIAN!$C$6:$C$9136,E$4,DEBIT_HARIAN!$E$6:$E$9136,E$5),"")</f>
        <v/>
      </c>
      <c r="F31" s="13">
        <f>IFERROR(AVERAGEIFS(DEBIT_HARIAN!$F$6:$F$9136,DEBIT_HARIAN!$B$6:$B$9136,$A31,DEBIT_HARIAN!$C$6:$C$9136,F$4,DEBIT_HARIAN!$E$6:$E$9136,F$5),"")</f>
        <v/>
      </c>
      <c r="G31" s="13">
        <f>IFERROR(AVERAGEIFS(DEBIT_HARIAN!$F$6:$F$9136,DEBIT_HARIAN!$B$6:$B$9136,$A31,DEBIT_HARIAN!$C$6:$C$9136,G$4,DEBIT_HARIAN!$E$6:$E$9136,G$5),"")</f>
        <v/>
      </c>
      <c r="H31" s="13">
        <f>IFERROR(AVERAGEIFS(DEBIT_HARIAN!$F$6:$F$9136,DEBIT_HARIAN!$B$6:$B$9136,$A31,DEBIT_HARIAN!$C$6:$C$9136,H$4,DEBIT_HARIAN!$E$6:$E$9136,H$5),"")</f>
        <v/>
      </c>
      <c r="I31" s="13">
        <f>IFERROR(AVERAGEIFS(DEBIT_HARIAN!$F$6:$F$9136,DEBIT_HARIAN!$B$6:$B$9136,$A31,DEBIT_HARIAN!$C$6:$C$9136,I$4,DEBIT_HARIAN!$E$6:$E$9136,I$5),"")</f>
        <v/>
      </c>
      <c r="J31" s="13">
        <f>IFERROR(AVERAGEIFS(DEBIT_HARIAN!$F$6:$F$9136,DEBIT_HARIAN!$B$6:$B$9136,$A31,DEBIT_HARIAN!$C$6:$C$9136,J$4,DEBIT_HARIAN!$E$6:$E$9136,J$5),"")</f>
        <v/>
      </c>
      <c r="K31" s="13">
        <f>IFERROR(AVERAGEIFS(DEBIT_HARIAN!$F$6:$F$9136,DEBIT_HARIAN!$B$6:$B$9136,$A31,DEBIT_HARIAN!$C$6:$C$9136,K$4,DEBIT_HARIAN!$E$6:$E$9136,K$5),"")</f>
        <v/>
      </c>
      <c r="L31" s="13">
        <f>IFERROR(AVERAGEIFS(DEBIT_HARIAN!$F$6:$F$9136,DEBIT_HARIAN!$B$6:$B$9136,$A31,DEBIT_HARIAN!$C$6:$C$9136,L$4,DEBIT_HARIAN!$E$6:$E$9136,L$5),"")</f>
        <v/>
      </c>
      <c r="M31" s="13">
        <f>IFERROR(AVERAGEIFS(DEBIT_HARIAN!$F$6:$F$9136,DEBIT_HARIAN!$B$6:$B$9136,$A31,DEBIT_HARIAN!$C$6:$C$9136,M$4,DEBIT_HARIAN!$E$6:$E$9136,M$5),"")</f>
        <v/>
      </c>
      <c r="N31" s="13">
        <f>IFERROR(AVERAGEIFS(DEBIT_HARIAN!$F$6:$F$9136,DEBIT_HARIAN!$B$6:$B$9136,$A31,DEBIT_HARIAN!$C$6:$C$9136,N$4,DEBIT_HARIAN!$E$6:$E$9136,N$5),"")</f>
        <v/>
      </c>
      <c r="O31" s="13">
        <f>IFERROR(AVERAGEIFS(DEBIT_HARIAN!$F$6:$F$9136,DEBIT_HARIAN!$B$6:$B$9136,$A31,DEBIT_HARIAN!$C$6:$C$9136,O$4,DEBIT_HARIAN!$E$6:$E$9136,O$5),"")</f>
        <v/>
      </c>
      <c r="P31" s="13">
        <f>IFERROR(AVERAGEIFS(DEBIT_HARIAN!$F$6:$F$9136,DEBIT_HARIAN!$B$6:$B$9136,$A31,DEBIT_HARIAN!$C$6:$C$9136,P$4,DEBIT_HARIAN!$E$6:$E$9136,P$5),"")</f>
        <v/>
      </c>
      <c r="Q31" s="13">
        <f>IFERROR(AVERAGEIFS(DEBIT_HARIAN!$F$6:$F$9136,DEBIT_HARIAN!$B$6:$B$9136,$A31,DEBIT_HARIAN!$C$6:$C$9136,Q$4,DEBIT_HARIAN!$E$6:$E$9136,Q$5),"")</f>
        <v/>
      </c>
      <c r="R31" s="13">
        <f>IFERROR(AVERAGEIFS(DEBIT_HARIAN!$F$6:$F$9136,DEBIT_HARIAN!$B$6:$B$9136,$A31,DEBIT_HARIAN!$C$6:$C$9136,R$4,DEBIT_HARIAN!$E$6:$E$9136,R$5),"")</f>
        <v/>
      </c>
      <c r="S31" s="13">
        <f>IFERROR(AVERAGEIFS(DEBIT_HARIAN!$F$6:$F$9136,DEBIT_HARIAN!$B$6:$B$9136,$A31,DEBIT_HARIAN!$C$6:$C$9136,S$4,DEBIT_HARIAN!$E$6:$E$9136,S$5),"")</f>
        <v/>
      </c>
      <c r="T31" s="13">
        <f>IFERROR(AVERAGEIFS(DEBIT_HARIAN!$F$6:$F$9136,DEBIT_HARIAN!$B$6:$B$9136,$A31,DEBIT_HARIAN!$C$6:$C$9136,T$4,DEBIT_HARIAN!$E$6:$E$9136,T$5),"")</f>
        <v/>
      </c>
      <c r="U31" s="13">
        <f>IFERROR(AVERAGEIFS(DEBIT_HARIAN!$F$6:$F$9136,DEBIT_HARIAN!$B$6:$B$9136,$A31,DEBIT_HARIAN!$C$6:$C$9136,U$4,DEBIT_HARIAN!$E$6:$E$9136,U$5),"")</f>
        <v/>
      </c>
      <c r="V31" s="13">
        <f>IFERROR(AVERAGEIFS(DEBIT_HARIAN!$F$6:$F$9136,DEBIT_HARIAN!$B$6:$B$9136,$A31,DEBIT_HARIAN!$C$6:$C$9136,V$4,DEBIT_HARIAN!$E$6:$E$9136,V$5),"")</f>
        <v/>
      </c>
      <c r="W31" s="13">
        <f>IFERROR(AVERAGEIFS(DEBIT_HARIAN!$F$6:$F$9136,DEBIT_HARIAN!$B$6:$B$9136,$A31,DEBIT_HARIAN!$C$6:$C$9136,W$4,DEBIT_HARIAN!$E$6:$E$9136,W$5),"")</f>
        <v/>
      </c>
      <c r="X31" s="13">
        <f>IFERROR(AVERAGEIFS(DEBIT_HARIAN!$F$6:$F$9136,DEBIT_HARIAN!$B$6:$B$9136,$A31,DEBIT_HARIAN!$C$6:$C$9136,X$4,DEBIT_HARIAN!$E$6:$E$9136,X$5),"")</f>
        <v/>
      </c>
      <c r="Y31" s="13">
        <f>IFERROR(AVERAGEIFS(DEBIT_HARIAN!$F$6:$F$9136,DEBIT_HARIAN!$B$6:$B$9136,$A31,DEBIT_HARIAN!$C$6:$C$9136,Y$4,DEBIT_HARIAN!$E$6:$E$9136,Y$5),"")</f>
        <v/>
      </c>
      <c r="Z31" s="10">
        <f>IFERROR(AVERAGEIFS(DEBIT_HARIAN!$F$6:$F$9136,DEBIT_HARIAN!$B$6:$B$9136,$A31),"")</f>
        <v/>
      </c>
    </row>
    <row r="32">
      <c r="A32" s="2" t="inlineStr">
        <is>
          <t>Rata-rata</t>
        </is>
      </c>
      <c r="B32" s="16">
        <f>IFERROR(AVERAGE(B7:B31),"")</f>
        <v/>
      </c>
      <c r="C32" s="16">
        <f>IFERROR(AVERAGE(C7:C31),"")</f>
        <v/>
      </c>
      <c r="D32" s="16">
        <f>IFERROR(AVERAGE(D7:D31),"")</f>
        <v/>
      </c>
      <c r="E32" s="16">
        <f>IFERROR(AVERAGE(E7:E31),"")</f>
        <v/>
      </c>
      <c r="F32" s="16">
        <f>IFERROR(AVERAGE(F7:F31),"")</f>
        <v/>
      </c>
      <c r="G32" s="16">
        <f>IFERROR(AVERAGE(G7:G31),"")</f>
        <v/>
      </c>
      <c r="H32" s="16">
        <f>IFERROR(AVERAGE(H7:H31),"")</f>
        <v/>
      </c>
      <c r="I32" s="16">
        <f>IFERROR(AVERAGE(I7:I31),"")</f>
        <v/>
      </c>
      <c r="J32" s="16">
        <f>IFERROR(AVERAGE(J7:J31),"")</f>
        <v/>
      </c>
      <c r="K32" s="16">
        <f>IFERROR(AVERAGE(K7:K31),"")</f>
        <v/>
      </c>
      <c r="L32" s="16">
        <f>IFERROR(AVERAGE(L7:L31),"")</f>
        <v/>
      </c>
      <c r="M32" s="16">
        <f>IFERROR(AVERAGE(M7:M31),"")</f>
        <v/>
      </c>
      <c r="N32" s="16">
        <f>IFERROR(AVERAGE(N7:N31),"")</f>
        <v/>
      </c>
      <c r="O32" s="16">
        <f>IFERROR(AVERAGE(O7:O31),"")</f>
        <v/>
      </c>
      <c r="P32" s="16">
        <f>IFERROR(AVERAGE(P7:P31),"")</f>
        <v/>
      </c>
      <c r="Q32" s="16">
        <f>IFERROR(AVERAGE(Q7:Q31),"")</f>
        <v/>
      </c>
      <c r="R32" s="16">
        <f>IFERROR(AVERAGE(R7:R31),"")</f>
        <v/>
      </c>
      <c r="S32" s="16">
        <f>IFERROR(AVERAGE(S7:S31),"")</f>
        <v/>
      </c>
      <c r="T32" s="16">
        <f>IFERROR(AVERAGE(T7:T31),"")</f>
        <v/>
      </c>
      <c r="U32" s="16">
        <f>IFERROR(AVERAGE(U7:U31),"")</f>
        <v/>
      </c>
      <c r="V32" s="16">
        <f>IFERROR(AVERAGE(V7:V31),"")</f>
        <v/>
      </c>
      <c r="W32" s="16">
        <f>IFERROR(AVERAGE(W7:W31),"")</f>
        <v/>
      </c>
      <c r="X32" s="16">
        <f>IFERROR(AVERAGE(X7:X31),"")</f>
        <v/>
      </c>
      <c r="Y32" s="16">
        <f>IFERROR(AVERAGE(Y7:Y31),"")</f>
        <v/>
      </c>
      <c r="Z32" s="16">
        <f>IFERROR(AVERAGE(Z7:Z31),"")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4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5" t="n">
        <v>4.69166</v>
      </c>
    </row>
    <row r="7">
      <c r="A7" s="24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5" t="n">
        <v>19.758241</v>
      </c>
    </row>
    <row r="8">
      <c r="A8" s="24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5" t="n">
        <v>26.917812</v>
      </c>
    </row>
    <row r="9">
      <c r="A9" s="24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5" t="n">
        <v>16.734638</v>
      </c>
    </row>
    <row r="10">
      <c r="A10" s="24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5" t="n">
        <v>11.396155</v>
      </c>
    </row>
    <row r="11">
      <c r="A11" s="24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5" t="n">
        <v>13.124206</v>
      </c>
    </row>
    <row r="12">
      <c r="A12" s="24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5" t="n">
        <v>11.75227</v>
      </c>
    </row>
    <row r="13">
      <c r="A13" s="24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5" t="n">
        <v>12.297748</v>
      </c>
    </row>
    <row r="14">
      <c r="A14" s="24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5" t="n">
        <v>8.717404</v>
      </c>
    </row>
    <row r="15">
      <c r="A15" s="24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5" t="n">
        <v>7.326993</v>
      </c>
    </row>
    <row r="16">
      <c r="A16" s="24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5" t="n">
        <v>5.133514</v>
      </c>
    </row>
    <row r="17">
      <c r="A17" s="24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5" t="n">
        <v>16.79616</v>
      </c>
    </row>
    <row r="18">
      <c r="A18" s="24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5" t="n">
        <v>31.016334</v>
      </c>
    </row>
    <row r="19">
      <c r="A19" s="24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5" t="n">
        <v>25.486162</v>
      </c>
    </row>
    <row r="20">
      <c r="A20" s="24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5" t="n">
        <v>16.117909</v>
      </c>
    </row>
    <row r="21">
      <c r="A21" s="24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5" t="n">
        <v>12.817157</v>
      </c>
    </row>
    <row r="22">
      <c r="A22" s="24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5" t="n">
        <v>9.811415999999999</v>
      </c>
    </row>
    <row r="23">
      <c r="A23" s="24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5" t="n">
        <v>7.286206</v>
      </c>
    </row>
    <row r="24">
      <c r="A24" s="24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5" t="n">
        <v>13.818247</v>
      </c>
    </row>
    <row r="25">
      <c r="A25" s="24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5" t="n">
        <v>14.880173</v>
      </c>
    </row>
    <row r="26">
      <c r="A26" s="24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5" t="n">
        <v>9.874010999999999</v>
      </c>
    </row>
    <row r="27">
      <c r="A27" s="24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5" t="n">
        <v>6.850875</v>
      </c>
    </row>
    <row r="28">
      <c r="A28" s="24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5" t="n">
        <v>6.845253</v>
      </c>
    </row>
    <row r="29">
      <c r="A29" s="24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5" t="n">
        <v>4.010846</v>
      </c>
    </row>
    <row r="30">
      <c r="A30" s="24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5" t="n">
        <v>4.601495</v>
      </c>
    </row>
    <row r="31">
      <c r="A31" s="24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5" t="n">
        <v>4.348112</v>
      </c>
    </row>
    <row r="32">
      <c r="A32" s="24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5" t="n">
        <v>4.853343</v>
      </c>
    </row>
    <row r="33">
      <c r="A33" s="24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5" t="n">
        <v>3.575668</v>
      </c>
    </row>
    <row r="34">
      <c r="A34" s="24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5" t="n">
        <v>2.442651</v>
      </c>
    </row>
    <row r="35">
      <c r="A35" s="24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5" t="n">
        <v>2.987681</v>
      </c>
    </row>
    <row r="36">
      <c r="A36" s="24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5" t="n">
        <v>15.278044</v>
      </c>
    </row>
    <row r="37">
      <c r="A37" s="24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5" t="n">
        <v>24.841487</v>
      </c>
    </row>
    <row r="38">
      <c r="A38" s="24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5" t="n">
        <v>14.466474</v>
      </c>
    </row>
    <row r="39">
      <c r="A39" s="24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5" t="n">
        <v>24.182935</v>
      </c>
    </row>
    <row r="40">
      <c r="A40" s="24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5" t="n">
        <v>30.015439</v>
      </c>
    </row>
    <row r="41">
      <c r="A41" s="24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5" t="n">
        <v>32.942246</v>
      </c>
    </row>
    <row r="42">
      <c r="A42" s="24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5" t="n">
        <v>42.067897</v>
      </c>
    </row>
    <row r="43">
      <c r="A43" s="24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5" t="n">
        <v>34.842422</v>
      </c>
    </row>
    <row r="44">
      <c r="A44" s="24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5" t="n">
        <v>24.344887</v>
      </c>
    </row>
    <row r="45">
      <c r="A45" s="24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5" t="n">
        <v>33.212507</v>
      </c>
    </row>
    <row r="46">
      <c r="A46" s="24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5" t="n">
        <v>45.835167</v>
      </c>
    </row>
    <row r="47">
      <c r="A47" s="24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5" t="n">
        <v>45.15307</v>
      </c>
    </row>
    <row r="48">
      <c r="A48" s="24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5" t="n">
        <v>28.512352</v>
      </c>
    </row>
    <row r="49">
      <c r="A49" s="24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5" t="n">
        <v>23.176973</v>
      </c>
    </row>
    <row r="50">
      <c r="A50" s="24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5" t="n">
        <v>17.677348</v>
      </c>
    </row>
    <row r="51">
      <c r="A51" s="24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5" t="n">
        <v>13.194705</v>
      </c>
    </row>
    <row r="52">
      <c r="A52" s="24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5" t="n">
        <v>12.257255</v>
      </c>
    </row>
    <row r="53">
      <c r="A53" s="24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5" t="n">
        <v>8.063879999999999</v>
      </c>
    </row>
    <row r="54">
      <c r="A54" s="24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5" t="n">
        <v>8.922279</v>
      </c>
    </row>
    <row r="55">
      <c r="A55" s="24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5" t="n">
        <v>17.235544</v>
      </c>
    </row>
    <row r="56">
      <c r="A56" s="24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5" t="n">
        <v>23.969642</v>
      </c>
    </row>
    <row r="57">
      <c r="A57" s="24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5" t="n">
        <v>13.230112</v>
      </c>
    </row>
    <row r="58">
      <c r="A58" s="24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5" t="n">
        <v>12.807485</v>
      </c>
    </row>
    <row r="59">
      <c r="A59" s="24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5" t="n">
        <v>22.142917</v>
      </c>
    </row>
    <row r="60">
      <c r="A60" s="24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5" t="n">
        <v>22.268373</v>
      </c>
    </row>
    <row r="61">
      <c r="A61" s="24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5" t="n">
        <v>15.177514</v>
      </c>
    </row>
    <row r="62">
      <c r="A62" s="24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5" t="n">
        <v>10.242398</v>
      </c>
    </row>
    <row r="63">
      <c r="A63" s="24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5" t="n">
        <v>10.357524</v>
      </c>
    </row>
    <row r="64">
      <c r="A64" s="24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5" t="n">
        <v>5.911267</v>
      </c>
    </row>
    <row r="65">
      <c r="A65" s="24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5" t="n">
        <v>7.027041</v>
      </c>
    </row>
    <row r="66">
      <c r="A66" s="24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5" t="n">
        <v>4.207152</v>
      </c>
    </row>
    <row r="67">
      <c r="A67" s="24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5" t="n">
        <v>4.662427</v>
      </c>
    </row>
    <row r="68">
      <c r="A68" s="24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5" t="n">
        <v>3.403334</v>
      </c>
    </row>
    <row r="69">
      <c r="A69" s="24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5" t="n">
        <v>3.09611</v>
      </c>
    </row>
    <row r="70">
      <c r="A70" s="24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5" t="n">
        <v>2.8444</v>
      </c>
    </row>
    <row r="71">
      <c r="A71" s="24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5" t="n">
        <v>9.067161</v>
      </c>
    </row>
    <row r="72">
      <c r="A72" s="24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5" t="n">
        <v>15.689356</v>
      </c>
    </row>
    <row r="73">
      <c r="A73" s="24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5" t="n">
        <v>13.37122</v>
      </c>
    </row>
    <row r="74">
      <c r="A74" s="24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5" t="n">
        <v>23.761634</v>
      </c>
    </row>
    <row r="75">
      <c r="A75" s="24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5" t="n">
        <v>42.306644</v>
      </c>
    </row>
    <row r="76">
      <c r="A76" s="24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5" t="n">
        <v>48.078152</v>
      </c>
    </row>
    <row r="77">
      <c r="A77" s="24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5" t="n">
        <v>53.523003</v>
      </c>
    </row>
    <row r="78">
      <c r="A78" s="24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5" t="n">
        <v>53.265616</v>
      </c>
    </row>
    <row r="79">
      <c r="A79" s="24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5" t="n">
        <v>52.284712</v>
      </c>
    </row>
    <row r="80">
      <c r="A80" s="24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5" t="n">
        <v>54.424148</v>
      </c>
    </row>
    <row r="81">
      <c r="A81" s="24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5" t="n">
        <v>42.862905</v>
      </c>
    </row>
    <row r="82">
      <c r="A82" s="24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5" t="n">
        <v>32.075877</v>
      </c>
    </row>
    <row r="83">
      <c r="A83" s="24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5" t="n">
        <v>32.389184</v>
      </c>
    </row>
    <row r="84">
      <c r="A84" s="24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5" t="n">
        <v>24.504765</v>
      </c>
    </row>
    <row r="85">
      <c r="A85" s="24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5" t="n">
        <v>19.131002</v>
      </c>
    </row>
    <row r="86">
      <c r="A86" s="24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5" t="n">
        <v>18.951053</v>
      </c>
    </row>
    <row r="87">
      <c r="A87" s="24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5" t="n">
        <v>17.474644</v>
      </c>
    </row>
    <row r="88">
      <c r="A88" s="24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5" t="n">
        <v>13.187293</v>
      </c>
    </row>
    <row r="89">
      <c r="A89" s="24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5" t="n">
        <v>22.566154</v>
      </c>
    </row>
    <row r="90">
      <c r="A90" s="24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5" t="n">
        <v>29.717668</v>
      </c>
    </row>
    <row r="91">
      <c r="A91" s="24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5" t="n">
        <v>21.883877</v>
      </c>
    </row>
    <row r="92">
      <c r="A92" s="24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5" t="n">
        <v>28.074102</v>
      </c>
    </row>
    <row r="93">
      <c r="A93" s="24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5" t="n">
        <v>30.67112</v>
      </c>
    </row>
    <row r="94">
      <c r="A94" s="24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5" t="n">
        <v>33.571523</v>
      </c>
    </row>
    <row r="95">
      <c r="A95" s="24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5" t="n">
        <v>35.311997</v>
      </c>
    </row>
    <row r="96">
      <c r="A96" s="24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5" t="n">
        <v>24.278303</v>
      </c>
    </row>
    <row r="97">
      <c r="A97" s="24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5" t="n">
        <v>17.553293</v>
      </c>
    </row>
    <row r="98">
      <c r="A98" s="24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5" t="n">
        <v>15.667149</v>
      </c>
    </row>
    <row r="99">
      <c r="A99" s="24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5" t="n">
        <v>10.290785</v>
      </c>
    </row>
    <row r="100">
      <c r="A100" s="24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5" t="n">
        <v>10.565456</v>
      </c>
    </row>
    <row r="101">
      <c r="A101" s="24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5" t="n">
        <v>7.036036</v>
      </c>
    </row>
    <row r="102">
      <c r="A102" s="24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5" t="n">
        <v>7.145378</v>
      </c>
    </row>
    <row r="103">
      <c r="A103" s="24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5" t="n">
        <v>10.443248</v>
      </c>
    </row>
    <row r="104">
      <c r="A104" s="24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5" t="n">
        <v>12.031291</v>
      </c>
    </row>
    <row r="105">
      <c r="A105" s="24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5" t="n">
        <v>18.487429</v>
      </c>
    </row>
    <row r="106">
      <c r="A106" s="24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5" t="n">
        <v>28.586196</v>
      </c>
    </row>
    <row r="107">
      <c r="A107" s="24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5" t="n">
        <v>40.32121</v>
      </c>
    </row>
    <row r="108">
      <c r="A108" s="24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5" t="n">
        <v>44.069336</v>
      </c>
    </row>
    <row r="109">
      <c r="A109" s="24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5" t="n">
        <v>37.718383</v>
      </c>
    </row>
    <row r="110">
      <c r="A110" s="24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5" t="n">
        <v>24.707962</v>
      </c>
    </row>
    <row r="111">
      <c r="A111" s="24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5" t="n">
        <v>21.527652</v>
      </c>
    </row>
    <row r="112">
      <c r="A112" s="24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5" t="n">
        <v>14.282631</v>
      </c>
    </row>
    <row r="113">
      <c r="A113" s="24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5" t="n">
        <v>13.011536</v>
      </c>
    </row>
    <row r="114">
      <c r="A114" s="24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5" t="n">
        <v>9.655873</v>
      </c>
    </row>
    <row r="115">
      <c r="A115" s="24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5" t="n">
        <v>8.106026999999999</v>
      </c>
    </row>
    <row r="116">
      <c r="A116" s="24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5" t="n">
        <v>7.19816</v>
      </c>
    </row>
    <row r="117">
      <c r="A117" s="24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5" t="n">
        <v>17.437219</v>
      </c>
    </row>
    <row r="118">
      <c r="A118" s="24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5" t="n">
        <v>24.7143</v>
      </c>
    </row>
    <row r="119">
      <c r="A119" s="24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5" t="n">
        <v>14.75218</v>
      </c>
    </row>
    <row r="120">
      <c r="A120" s="24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5" t="n">
        <v>24.074231</v>
      </c>
    </row>
    <row r="121">
      <c r="A121" s="24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5" t="n">
        <v>42.175226</v>
      </c>
    </row>
    <row r="122">
      <c r="A122" s="24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5" t="n">
        <v>51.733349</v>
      </c>
    </row>
    <row r="123">
      <c r="A123" s="24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5" t="n">
        <v>59.172917</v>
      </c>
    </row>
    <row r="124">
      <c r="A124" s="24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5" t="n">
        <v>62.212373</v>
      </c>
    </row>
    <row r="125">
      <c r="A125" s="24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5" t="n">
        <v>52.634087</v>
      </c>
    </row>
    <row r="126">
      <c r="A126" s="24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5" t="n">
        <v>47.077425</v>
      </c>
    </row>
    <row r="127">
      <c r="A127" s="24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5" t="n">
        <v>41.857315</v>
      </c>
    </row>
    <row r="128">
      <c r="A128" s="24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5" t="n">
        <v>30.236845</v>
      </c>
    </row>
    <row r="129">
      <c r="A129" s="24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5" t="n">
        <v>22.452601</v>
      </c>
    </row>
    <row r="130">
      <c r="A130" s="24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5" t="n">
        <v>31.46324</v>
      </c>
    </row>
    <row r="131">
      <c r="A131" s="24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5" t="n">
        <v>46.76964</v>
      </c>
    </row>
    <row r="132">
      <c r="A132" s="24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5" t="n">
        <v>59.344533</v>
      </c>
    </row>
    <row r="133">
      <c r="A133" s="24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5" t="n">
        <v>65.35950200000001</v>
      </c>
    </row>
    <row r="134">
      <c r="A134" s="24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5" t="n">
        <v>103.210612</v>
      </c>
    </row>
    <row r="135">
      <c r="A135" s="24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5" t="n">
        <v>164.866198</v>
      </c>
    </row>
    <row r="136">
      <c r="A136" s="24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5" t="n">
        <v>177.051238</v>
      </c>
    </row>
    <row r="137">
      <c r="A137" s="24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5" t="n">
        <v>133.621475</v>
      </c>
    </row>
    <row r="138">
      <c r="A138" s="24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5" t="n">
        <v>94.50183199999999</v>
      </c>
    </row>
    <row r="139">
      <c r="A139" s="24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5" t="n">
        <v>72.46954599999999</v>
      </c>
    </row>
    <row r="140">
      <c r="A140" s="24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5" t="n">
        <v>52.21884</v>
      </c>
    </row>
    <row r="141">
      <c r="A141" s="24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5" t="n">
        <v>40.152144</v>
      </c>
    </row>
    <row r="142">
      <c r="A142" s="24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5" t="n">
        <v>30.3041</v>
      </c>
    </row>
    <row r="143">
      <c r="A143" s="24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5" t="n">
        <v>25.499513</v>
      </c>
    </row>
    <row r="144">
      <c r="A144" s="24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5" t="n">
        <v>19.729214</v>
      </c>
    </row>
    <row r="145">
      <c r="A145" s="24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5" t="n">
        <v>17.278548</v>
      </c>
    </row>
    <row r="146">
      <c r="A146" s="24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5" t="n">
        <v>13.963142</v>
      </c>
    </row>
    <row r="147">
      <c r="A147" s="24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5" t="n">
        <v>12.106938</v>
      </c>
    </row>
    <row r="148">
      <c r="A148" s="24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5" t="n">
        <v>10.523387</v>
      </c>
    </row>
    <row r="149">
      <c r="A149" s="24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5" t="n">
        <v>8.670325999999999</v>
      </c>
    </row>
    <row r="150">
      <c r="A150" s="24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5" t="n">
        <v>8.282207</v>
      </c>
    </row>
    <row r="151">
      <c r="A151" s="24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5" t="n">
        <v>8.676771</v>
      </c>
    </row>
    <row r="152">
      <c r="A152" s="24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5" t="n">
        <v>25.026491</v>
      </c>
    </row>
    <row r="153">
      <c r="A153" s="24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5" t="n">
        <v>30.519586</v>
      </c>
    </row>
    <row r="154">
      <c r="A154" s="24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5" t="n">
        <v>21.244442</v>
      </c>
    </row>
    <row r="155">
      <c r="A155" s="24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5" t="n">
        <v>25.603694</v>
      </c>
    </row>
    <row r="156">
      <c r="A156" s="24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5" t="n">
        <v>29.982135</v>
      </c>
    </row>
    <row r="157">
      <c r="A157" s="24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5" t="n">
        <v>29.531792</v>
      </c>
    </row>
    <row r="158">
      <c r="A158" s="24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5" t="n">
        <v>36.319557</v>
      </c>
    </row>
    <row r="159">
      <c r="A159" s="24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5" t="n">
        <v>24.630792</v>
      </c>
    </row>
    <row r="160">
      <c r="A160" s="24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5" t="n">
        <v>17.112797</v>
      </c>
    </row>
    <row r="161">
      <c r="A161" s="24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5" t="n">
        <v>16.130105</v>
      </c>
    </row>
    <row r="162">
      <c r="A162" s="24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5" t="n">
        <v>21.682463</v>
      </c>
    </row>
    <row r="163">
      <c r="A163" s="24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5" t="n">
        <v>30.12931</v>
      </c>
    </row>
    <row r="164">
      <c r="A164" s="24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5" t="n">
        <v>26.980283</v>
      </c>
    </row>
    <row r="165">
      <c r="A165" s="24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5" t="n">
        <v>39.576382</v>
      </c>
    </row>
    <row r="166">
      <c r="A166" s="24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5" t="n">
        <v>36.712204</v>
      </c>
    </row>
    <row r="167">
      <c r="A167" s="24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5" t="n">
        <v>35.206964</v>
      </c>
    </row>
    <row r="168">
      <c r="A168" s="24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5" t="n">
        <v>39.587346</v>
      </c>
    </row>
    <row r="169">
      <c r="A169" s="24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5" t="n">
        <v>25.665412</v>
      </c>
    </row>
    <row r="170">
      <c r="A170" s="24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5" t="n">
        <v>19.282872</v>
      </c>
    </row>
    <row r="171">
      <c r="A171" s="24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5" t="n">
        <v>16.980249</v>
      </c>
    </row>
    <row r="172">
      <c r="A172" s="24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5" t="n">
        <v>44.947497</v>
      </c>
    </row>
    <row r="173">
      <c r="A173" s="24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5" t="n">
        <v>83.1125</v>
      </c>
    </row>
    <row r="174">
      <c r="A174" s="24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5" t="n">
        <v>69.626177</v>
      </c>
    </row>
    <row r="175">
      <c r="A175" s="24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5" t="n">
        <v>60.514466</v>
      </c>
    </row>
    <row r="176">
      <c r="A176" s="24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5" t="n">
        <v>69.071173</v>
      </c>
    </row>
    <row r="177">
      <c r="A177" s="24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5" t="n">
        <v>70.190393</v>
      </c>
    </row>
    <row r="178">
      <c r="A178" s="24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5" t="n">
        <v>85.47643600000001</v>
      </c>
    </row>
    <row r="179">
      <c r="A179" s="24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5" t="n">
        <v>98.084064</v>
      </c>
    </row>
    <row r="180">
      <c r="A180" s="24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5" t="n">
        <v>89.142583</v>
      </c>
    </row>
    <row r="181">
      <c r="A181" s="24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5" t="n">
        <v>81.836697</v>
      </c>
    </row>
    <row r="182">
      <c r="A182" s="24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5" t="n">
        <v>80.706817</v>
      </c>
    </row>
    <row r="183">
      <c r="A183" s="24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5" t="n">
        <v>69.984264</v>
      </c>
    </row>
    <row r="184">
      <c r="A184" s="24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5" t="n">
        <v>52.735356</v>
      </c>
    </row>
    <row r="185">
      <c r="A185" s="24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5" t="n">
        <v>40.885624</v>
      </c>
    </row>
    <row r="186">
      <c r="A186" s="24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5" t="n">
        <v>31.540192</v>
      </c>
    </row>
    <row r="187">
      <c r="A187" s="24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5" t="n">
        <v>27.892023</v>
      </c>
    </row>
    <row r="188">
      <c r="A188" s="24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5" t="n">
        <v>23.037887</v>
      </c>
    </row>
    <row r="189">
      <c r="A189" s="24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5" t="n">
        <v>19.060171</v>
      </c>
    </row>
    <row r="190">
      <c r="A190" s="24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5" t="n">
        <v>15.37879</v>
      </c>
    </row>
    <row r="191">
      <c r="A191" s="24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5" t="n">
        <v>13.471247</v>
      </c>
    </row>
    <row r="192">
      <c r="A192" s="24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5" t="n">
        <v>11.168753</v>
      </c>
    </row>
    <row r="193">
      <c r="A193" s="24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5" t="n">
        <v>9.753787000000001</v>
      </c>
    </row>
    <row r="194">
      <c r="A194" s="24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5" t="n">
        <v>8.586278</v>
      </c>
    </row>
    <row r="195">
      <c r="A195" s="24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5" t="n">
        <v>7.178514</v>
      </c>
    </row>
    <row r="196">
      <c r="A196" s="24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5" t="n">
        <v>6.832111</v>
      </c>
    </row>
    <row r="197">
      <c r="A197" s="24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5" t="n">
        <v>5.369743</v>
      </c>
    </row>
    <row r="198">
      <c r="A198" s="24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5" t="n">
        <v>5.524101</v>
      </c>
    </row>
    <row r="199">
      <c r="A199" s="24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5" t="n">
        <v>4.095028</v>
      </c>
    </row>
    <row r="200">
      <c r="A200" s="24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5" t="n">
        <v>4.479377</v>
      </c>
    </row>
    <row r="201">
      <c r="A201" s="24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5" t="n">
        <v>3.195917</v>
      </c>
    </row>
    <row r="202">
      <c r="A202" s="24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5" t="n">
        <v>3.612092</v>
      </c>
    </row>
    <row r="203">
      <c r="A203" s="24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5" t="n">
        <v>4.911709</v>
      </c>
    </row>
    <row r="204">
      <c r="A204" s="24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5" t="n">
        <v>6.243594</v>
      </c>
    </row>
    <row r="205">
      <c r="A205" s="24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5" t="n">
        <v>3.819416</v>
      </c>
    </row>
    <row r="206">
      <c r="A206" s="24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5" t="n">
        <v>3.468398</v>
      </c>
    </row>
    <row r="207">
      <c r="A207" s="24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5" t="n">
        <v>13.798859</v>
      </c>
    </row>
    <row r="208">
      <c r="A208" s="24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5" t="n">
        <v>17.783308</v>
      </c>
    </row>
    <row r="209">
      <c r="A209" s="24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5" t="n">
        <v>10.201446</v>
      </c>
    </row>
    <row r="210">
      <c r="A210" s="24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5" t="n">
        <v>7.197811</v>
      </c>
    </row>
    <row r="211">
      <c r="A211" s="24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5" t="n">
        <v>7.18545</v>
      </c>
    </row>
    <row r="212">
      <c r="A212" s="24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5" t="n">
        <v>3.665523</v>
      </c>
    </row>
    <row r="213">
      <c r="A213" s="24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5" t="n">
        <v>4.899204</v>
      </c>
    </row>
    <row r="214">
      <c r="A214" s="24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5" t="n">
        <v>2.5029</v>
      </c>
    </row>
    <row r="215">
      <c r="A215" s="24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5" t="n">
        <v>3.136699</v>
      </c>
    </row>
    <row r="216">
      <c r="A216" s="24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5" t="n">
        <v>4.03571</v>
      </c>
    </row>
    <row r="217">
      <c r="A217" s="24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5" t="n">
        <v>4.665091</v>
      </c>
    </row>
    <row r="218">
      <c r="A218" s="24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5" t="n">
        <v>3.289035</v>
      </c>
    </row>
    <row r="219">
      <c r="A219" s="24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5" t="n">
        <v>2.169276</v>
      </c>
    </row>
    <row r="220">
      <c r="A220" s="24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5" t="n">
        <v>2.579165</v>
      </c>
    </row>
    <row r="221">
      <c r="A221" s="24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5" t="n">
        <v>1.239895</v>
      </c>
    </row>
    <row r="222">
      <c r="A222" s="24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5" t="n">
        <v>1.912009</v>
      </c>
    </row>
    <row r="223">
      <c r="A223" s="24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5" t="n">
        <v>0.942098</v>
      </c>
    </row>
    <row r="224">
      <c r="A224" s="24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5" t="n">
        <v>1.295398</v>
      </c>
    </row>
    <row r="225">
      <c r="A225" s="24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5" t="n">
        <v>0.89135</v>
      </c>
    </row>
    <row r="226">
      <c r="A226" s="24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5" t="n">
        <v>0.787795</v>
      </c>
    </row>
    <row r="227">
      <c r="A227" s="24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5" t="n">
        <v>0.937374</v>
      </c>
    </row>
    <row r="228">
      <c r="A228" s="24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5" t="n">
        <v>0.398626</v>
      </c>
    </row>
    <row r="229">
      <c r="A229" s="24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5" t="n">
        <v>15.021743</v>
      </c>
    </row>
    <row r="230">
      <c r="A230" s="24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5" t="n">
        <v>34.900409</v>
      </c>
    </row>
    <row r="231">
      <c r="A231" s="24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5" t="n">
        <v>35.501063</v>
      </c>
    </row>
    <row r="232">
      <c r="A232" s="24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5" t="n">
        <v>23.123358</v>
      </c>
    </row>
    <row r="233">
      <c r="A233" s="24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5" t="n">
        <v>17.966268</v>
      </c>
    </row>
    <row r="234">
      <c r="A234" s="24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5" t="n">
        <v>12.563529</v>
      </c>
    </row>
    <row r="235">
      <c r="A235" s="24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5" t="n">
        <v>10.291166</v>
      </c>
    </row>
    <row r="236">
      <c r="A236" s="24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5" t="n">
        <v>7.713314</v>
      </c>
    </row>
    <row r="237">
      <c r="A237" s="24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5" t="n">
        <v>6.320736</v>
      </c>
    </row>
    <row r="238">
      <c r="A238" s="24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5" t="n">
        <v>5.182295</v>
      </c>
    </row>
    <row r="239">
      <c r="A239" s="24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5" t="n">
        <v>4.09132</v>
      </c>
    </row>
    <row r="240">
      <c r="A240" s="24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5" t="n">
        <v>3.723791</v>
      </c>
    </row>
    <row r="241">
      <c r="A241" s="24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5" t="n">
        <v>2.769896</v>
      </c>
    </row>
    <row r="242">
      <c r="A242" s="24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5" t="n">
        <v>2.800582</v>
      </c>
    </row>
    <row r="243">
      <c r="A243" s="24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5" t="n">
        <v>1.955221</v>
      </c>
    </row>
    <row r="244">
      <c r="A244" s="24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5" t="n">
        <v>2.165226</v>
      </c>
    </row>
    <row r="245">
      <c r="A245" s="24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5" t="n">
        <v>1.435406</v>
      </c>
    </row>
    <row r="246">
      <c r="A246" s="24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5" t="n">
        <v>1.698011</v>
      </c>
    </row>
    <row r="247">
      <c r="A247" s="24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5" t="n">
        <v>1.092579</v>
      </c>
    </row>
    <row r="248">
      <c r="A248" s="24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5" t="n">
        <v>1.338641</v>
      </c>
    </row>
    <row r="249">
      <c r="A249" s="24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5" t="n">
        <v>0.858784</v>
      </c>
    </row>
    <row r="250">
      <c r="A250" s="24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5" t="n">
        <v>1.054858</v>
      </c>
    </row>
    <row r="251">
      <c r="A251" s="24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5" t="n">
        <v>0.693813</v>
      </c>
    </row>
    <row r="252">
      <c r="A252" s="24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5" t="n">
        <v>0.827804</v>
      </c>
    </row>
    <row r="253">
      <c r="A253" s="24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5" t="n">
        <v>0.573408</v>
      </c>
    </row>
    <row r="254">
      <c r="A254" s="24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5" t="n">
        <v>0.645211</v>
      </c>
    </row>
    <row r="255">
      <c r="A255" s="24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5" t="n">
        <v>0.482679</v>
      </c>
    </row>
    <row r="256">
      <c r="A256" s="24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5" t="n">
        <v>0.498284</v>
      </c>
    </row>
    <row r="257">
      <c r="A257" s="24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5" t="n">
        <v>0.412305</v>
      </c>
    </row>
    <row r="258">
      <c r="A258" s="24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5" t="n">
        <v>14.11015</v>
      </c>
    </row>
    <row r="259">
      <c r="A259" s="24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5" t="n">
        <v>32.494218</v>
      </c>
    </row>
    <row r="260">
      <c r="A260" s="24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5" t="n">
        <v>27.702409</v>
      </c>
    </row>
    <row r="261">
      <c r="A261" s="24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5" t="n">
        <v>30.126831</v>
      </c>
    </row>
    <row r="262">
      <c r="A262" s="24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5" t="n">
        <v>46.376657</v>
      </c>
    </row>
    <row r="263">
      <c r="A263" s="24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5" t="n">
        <v>37.400055</v>
      </c>
    </row>
    <row r="264">
      <c r="A264" s="24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5" t="n">
        <v>23.083058</v>
      </c>
    </row>
    <row r="265">
      <c r="A265" s="24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5" t="n">
        <v>19.743707</v>
      </c>
    </row>
    <row r="266">
      <c r="A266" s="24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5" t="n">
        <v>13.768231</v>
      </c>
    </row>
    <row r="267">
      <c r="A267" s="24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5" t="n">
        <v>11.51087</v>
      </c>
    </row>
    <row r="268">
      <c r="A268" s="24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5" t="n">
        <v>9.010526</v>
      </c>
    </row>
    <row r="269">
      <c r="A269" s="24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5" t="n">
        <v>7.258411</v>
      </c>
    </row>
    <row r="270">
      <c r="A270" s="24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5" t="n">
        <v>6.234544</v>
      </c>
    </row>
    <row r="271">
      <c r="A271" s="24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5" t="n">
        <v>4.924324</v>
      </c>
    </row>
    <row r="272">
      <c r="A272" s="24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5" t="n">
        <v>4.466484</v>
      </c>
    </row>
    <row r="273">
      <c r="A273" s="24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5" t="n">
        <v>3.563942</v>
      </c>
    </row>
    <row r="274">
      <c r="A274" s="24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5" t="n">
        <v>3.27271</v>
      </c>
    </row>
    <row r="275">
      <c r="A275" s="24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5" t="n">
        <v>11.915473</v>
      </c>
    </row>
    <row r="276">
      <c r="A276" s="24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5" t="n">
        <v>15.582786</v>
      </c>
    </row>
    <row r="277">
      <c r="A277" s="24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5" t="n">
        <v>8.857836000000001</v>
      </c>
    </row>
    <row r="278">
      <c r="A278" s="24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5" t="n">
        <v>6.530204</v>
      </c>
    </row>
    <row r="279">
      <c r="A279" s="24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5" t="n">
        <v>6.328512</v>
      </c>
    </row>
    <row r="280">
      <c r="A280" s="24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5" t="n">
        <v>6.19733</v>
      </c>
    </row>
    <row r="281">
      <c r="A281" s="24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5" t="n">
        <v>8.368606</v>
      </c>
    </row>
    <row r="282">
      <c r="A282" s="24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5" t="n">
        <v>4.37639</v>
      </c>
    </row>
    <row r="283">
      <c r="A283" s="24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5" t="n">
        <v>4.290815</v>
      </c>
    </row>
    <row r="284">
      <c r="A284" s="24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5" t="n">
        <v>3.371398</v>
      </c>
    </row>
    <row r="285">
      <c r="A285" s="24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5" t="n">
        <v>2.393609</v>
      </c>
    </row>
    <row r="286">
      <c r="A286" s="24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5" t="n">
        <v>2.687951</v>
      </c>
    </row>
    <row r="287">
      <c r="A287" s="24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5" t="n">
        <v>1.474036</v>
      </c>
    </row>
    <row r="288">
      <c r="A288" s="24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5" t="n">
        <v>16.800361</v>
      </c>
    </row>
    <row r="289">
      <c r="A289" s="24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5" t="n">
        <v>30.172977</v>
      </c>
    </row>
    <row r="290">
      <c r="A290" s="24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5" t="n">
        <v>23.469414</v>
      </c>
    </row>
    <row r="291">
      <c r="A291" s="24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5" t="n">
        <v>13.855586</v>
      </c>
    </row>
    <row r="292">
      <c r="A292" s="24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5" t="n">
        <v>12.558301</v>
      </c>
    </row>
    <row r="293">
      <c r="A293" s="24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5" t="n">
        <v>8.048285</v>
      </c>
    </row>
    <row r="294">
      <c r="A294" s="24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5" t="n">
        <v>7.236238</v>
      </c>
    </row>
    <row r="295">
      <c r="A295" s="24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5" t="n">
        <v>5.421987</v>
      </c>
    </row>
    <row r="296">
      <c r="A296" s="24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5" t="n">
        <v>4.325685</v>
      </c>
    </row>
    <row r="297">
      <c r="A297" s="24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5" t="n">
        <v>3.996598</v>
      </c>
    </row>
    <row r="298">
      <c r="A298" s="24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5" t="n">
        <v>2.696776</v>
      </c>
    </row>
    <row r="299">
      <c r="A299" s="24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5" t="n">
        <v>3.060447</v>
      </c>
    </row>
    <row r="300">
      <c r="A300" s="24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5" t="n">
        <v>6.894146</v>
      </c>
    </row>
    <row r="301">
      <c r="A301" s="24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5" t="n">
        <v>9.623433</v>
      </c>
    </row>
    <row r="302">
      <c r="A302" s="24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5" t="n">
        <v>5.04524</v>
      </c>
    </row>
    <row r="303">
      <c r="A303" s="24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5" t="n">
        <v>4.35374</v>
      </c>
    </row>
    <row r="304">
      <c r="A304" s="24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5" t="n">
        <v>3.637271</v>
      </c>
    </row>
    <row r="305">
      <c r="A305" s="24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5" t="n">
        <v>2.381801</v>
      </c>
    </row>
    <row r="306">
      <c r="A306" s="24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5" t="n">
        <v>5.05212</v>
      </c>
    </row>
    <row r="307">
      <c r="A307" s="24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5" t="n">
        <v>5.03697</v>
      </c>
    </row>
    <row r="308">
      <c r="A308" s="24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5" t="n">
        <v>3.624548</v>
      </c>
    </row>
    <row r="309">
      <c r="A309" s="24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5" t="n">
        <v>9.299388</v>
      </c>
    </row>
    <row r="310">
      <c r="A310" s="24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5" t="n">
        <v>12.332832</v>
      </c>
    </row>
    <row r="311">
      <c r="A311" s="24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5" t="n">
        <v>6.548084</v>
      </c>
    </row>
    <row r="312">
      <c r="A312" s="24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5" t="n">
        <v>11.675454</v>
      </c>
    </row>
    <row r="313">
      <c r="A313" s="24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5" t="n">
        <v>28.533462</v>
      </c>
    </row>
    <row r="314">
      <c r="A314" s="24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5" t="n">
        <v>29.122586</v>
      </c>
    </row>
    <row r="315">
      <c r="A315" s="24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5" t="n">
        <v>18.009979</v>
      </c>
    </row>
    <row r="316">
      <c r="A316" s="24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5" t="n">
        <v>18.35803</v>
      </c>
    </row>
    <row r="317">
      <c r="A317" s="24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5" t="n">
        <v>21.516032</v>
      </c>
    </row>
    <row r="318">
      <c r="A318" s="24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5" t="n">
        <v>29.674998</v>
      </c>
    </row>
    <row r="319">
      <c r="A319" s="24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5" t="n">
        <v>36.014008</v>
      </c>
    </row>
    <row r="320">
      <c r="A320" s="24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5" t="n">
        <v>23.603724</v>
      </c>
    </row>
    <row r="321">
      <c r="A321" s="24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5" t="n">
        <v>16.43983</v>
      </c>
    </row>
    <row r="322">
      <c r="A322" s="24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5" t="n">
        <v>28.188393</v>
      </c>
    </row>
    <row r="323">
      <c r="A323" s="24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5" t="n">
        <v>34.59365</v>
      </c>
    </row>
    <row r="324">
      <c r="A324" s="24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5" t="n">
        <v>28.737306</v>
      </c>
    </row>
    <row r="325">
      <c r="A325" s="24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5" t="n">
        <v>21.972114</v>
      </c>
    </row>
    <row r="326">
      <c r="A326" s="24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5" t="n">
        <v>33.588694</v>
      </c>
    </row>
    <row r="327">
      <c r="A327" s="24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5" t="n">
        <v>28.703268</v>
      </c>
    </row>
    <row r="328">
      <c r="A328" s="24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5" t="n">
        <v>19.774149</v>
      </c>
    </row>
    <row r="329">
      <c r="A329" s="24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5" t="n">
        <v>15.30073</v>
      </c>
    </row>
    <row r="330">
      <c r="A330" s="24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5" t="n">
        <v>12.175417</v>
      </c>
    </row>
    <row r="331">
      <c r="A331" s="24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5" t="n">
        <v>9.814947</v>
      </c>
    </row>
    <row r="332">
      <c r="A332" s="24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5" t="n">
        <v>7.762119</v>
      </c>
    </row>
    <row r="333">
      <c r="A333" s="24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5" t="n">
        <v>7.108307</v>
      </c>
    </row>
    <row r="334">
      <c r="A334" s="24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5" t="n">
        <v>5.048142</v>
      </c>
    </row>
    <row r="335">
      <c r="A335" s="24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5" t="n">
        <v>5.484179</v>
      </c>
    </row>
    <row r="336">
      <c r="A336" s="24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5" t="n">
        <v>3.421484</v>
      </c>
    </row>
    <row r="337">
      <c r="A337" s="24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5" t="n">
        <v>9.740641999999999</v>
      </c>
    </row>
    <row r="338">
      <c r="A338" s="24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5" t="n">
        <v>10.284214</v>
      </c>
    </row>
    <row r="339">
      <c r="A339" s="24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5" t="n">
        <v>19.687408</v>
      </c>
    </row>
    <row r="340">
      <c r="A340" s="24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5" t="n">
        <v>37.534895</v>
      </c>
    </row>
    <row r="341">
      <c r="A341" s="24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5" t="n">
        <v>50.898189</v>
      </c>
    </row>
    <row r="342">
      <c r="A342" s="24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5" t="n">
        <v>50.108833</v>
      </c>
    </row>
    <row r="343">
      <c r="A343" s="24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5" t="n">
        <v>39.792786</v>
      </c>
    </row>
    <row r="344">
      <c r="A344" s="24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5" t="n">
        <v>25.946116</v>
      </c>
    </row>
    <row r="345">
      <c r="A345" s="24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5" t="n">
        <v>24.718554</v>
      </c>
    </row>
    <row r="346">
      <c r="A346" s="24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5" t="n">
        <v>28.956257</v>
      </c>
    </row>
    <row r="347">
      <c r="A347" s="24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5" t="n">
        <v>28.009872</v>
      </c>
    </row>
    <row r="348">
      <c r="A348" s="24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5" t="n">
        <v>21.217122</v>
      </c>
    </row>
    <row r="349">
      <c r="A349" s="24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5" t="n">
        <v>14.706864</v>
      </c>
    </row>
    <row r="350">
      <c r="A350" s="24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5" t="n">
        <v>21.727257</v>
      </c>
    </row>
    <row r="351">
      <c r="A351" s="24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5" t="n">
        <v>32.625506</v>
      </c>
    </row>
    <row r="352">
      <c r="A352" s="24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5" t="n">
        <v>32.902517</v>
      </c>
    </row>
    <row r="353">
      <c r="A353" s="24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5" t="n">
        <v>19.096135</v>
      </c>
    </row>
    <row r="354">
      <c r="A354" s="24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5" t="n">
        <v>16.874473</v>
      </c>
    </row>
    <row r="355">
      <c r="A355" s="24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5" t="n">
        <v>15.298836</v>
      </c>
    </row>
    <row r="356">
      <c r="A356" s="24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5" t="n">
        <v>13.939189</v>
      </c>
    </row>
    <row r="357">
      <c r="A357" s="24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5" t="n">
        <v>15.404391</v>
      </c>
    </row>
    <row r="358">
      <c r="A358" s="24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5" t="n">
        <v>14.294402</v>
      </c>
    </row>
    <row r="359">
      <c r="A359" s="24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5" t="n">
        <v>11.151176</v>
      </c>
    </row>
    <row r="360">
      <c r="A360" s="24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5" t="n">
        <v>7.403196</v>
      </c>
    </row>
    <row r="361">
      <c r="A361" s="24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5" t="n">
        <v>7.966466</v>
      </c>
    </row>
    <row r="362">
      <c r="A362" s="24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5" t="n">
        <v>4.720214</v>
      </c>
    </row>
    <row r="363">
      <c r="A363" s="24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5" t="n">
        <v>5.613573</v>
      </c>
    </row>
    <row r="364">
      <c r="A364" s="24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5" t="n">
        <v>3.730243</v>
      </c>
    </row>
    <row r="365">
      <c r="A365" s="24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5" t="n">
        <v>5.505056</v>
      </c>
    </row>
    <row r="366">
      <c r="A366" s="24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5" t="n">
        <v>5.057814</v>
      </c>
    </row>
    <row r="367">
      <c r="A367" s="24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5" t="n">
        <v>3.778881</v>
      </c>
    </row>
    <row r="368">
      <c r="A368" s="24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5" t="n">
        <v>3.296843</v>
      </c>
    </row>
    <row r="369">
      <c r="A369" s="24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5" t="n">
        <v>7.149236</v>
      </c>
    </row>
    <row r="370">
      <c r="A370" s="24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5" t="n">
        <v>8.897392999999999</v>
      </c>
    </row>
    <row r="371">
      <c r="A371" s="24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5" t="n">
        <v>5.198959</v>
      </c>
    </row>
    <row r="372">
      <c r="A372" s="24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5" t="n">
        <v>4.208338</v>
      </c>
    </row>
    <row r="373">
      <c r="A373" s="24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5" t="n">
        <v>13.126696</v>
      </c>
    </row>
    <row r="374">
      <c r="A374" s="24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5" t="n">
        <v>15.966418</v>
      </c>
    </row>
    <row r="375">
      <c r="A375" s="24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5" t="n">
        <v>9.487273999999999</v>
      </c>
    </row>
    <row r="376">
      <c r="A376" s="24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5" t="n">
        <v>6.584789</v>
      </c>
    </row>
    <row r="377">
      <c r="A377" s="24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5" t="n">
        <v>6.506419</v>
      </c>
    </row>
    <row r="378">
      <c r="A378" s="24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5" t="n">
        <v>4.723121</v>
      </c>
    </row>
    <row r="379">
      <c r="A379" s="24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5" t="n">
        <v>6.056265</v>
      </c>
    </row>
    <row r="380">
      <c r="A380" s="24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5" t="n">
        <v>3.379126</v>
      </c>
    </row>
    <row r="381">
      <c r="A381" s="24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5" t="n">
        <v>3.269304</v>
      </c>
    </row>
    <row r="382">
      <c r="A382" s="24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5" t="n">
        <v>2.745464</v>
      </c>
    </row>
    <row r="383">
      <c r="A383" s="24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5" t="n">
        <v>13.672417</v>
      </c>
    </row>
    <row r="384">
      <c r="A384" s="24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5" t="n">
        <v>19.699263</v>
      </c>
    </row>
    <row r="385">
      <c r="A385" s="24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5" t="n">
        <v>10.334618</v>
      </c>
    </row>
    <row r="386">
      <c r="A386" s="24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5" t="n">
        <v>8.205375</v>
      </c>
    </row>
    <row r="387">
      <c r="A387" s="24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5" t="n">
        <v>6.899179</v>
      </c>
    </row>
    <row r="388">
      <c r="A388" s="24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5" t="n">
        <v>4.220267</v>
      </c>
    </row>
    <row r="389">
      <c r="A389" s="24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5" t="n">
        <v>4.593609</v>
      </c>
    </row>
    <row r="390">
      <c r="A390" s="24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5" t="n">
        <v>2.754316</v>
      </c>
    </row>
    <row r="391">
      <c r="A391" s="24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5" t="n">
        <v>2.926811</v>
      </c>
    </row>
    <row r="392">
      <c r="A392" s="24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5" t="n">
        <v>2.16506</v>
      </c>
    </row>
    <row r="393">
      <c r="A393" s="24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5" t="n">
        <v>6.1555</v>
      </c>
    </row>
    <row r="394">
      <c r="A394" s="24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5" t="n">
        <v>8.019691</v>
      </c>
    </row>
    <row r="395">
      <c r="A395" s="24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5" t="n">
        <v>4.322318</v>
      </c>
    </row>
    <row r="396">
      <c r="A396" s="24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5" t="n">
        <v>3.710633</v>
      </c>
    </row>
    <row r="397">
      <c r="A397" s="24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5" t="n">
        <v>2.987384</v>
      </c>
    </row>
    <row r="398">
      <c r="A398" s="24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5" t="n">
        <v>2.111619</v>
      </c>
    </row>
    <row r="399">
      <c r="A399" s="24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5" t="n">
        <v>2.088904</v>
      </c>
    </row>
    <row r="400">
      <c r="A400" s="24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5" t="n">
        <v>1.428214</v>
      </c>
    </row>
    <row r="401">
      <c r="A401" s="24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5" t="n">
        <v>1.452917</v>
      </c>
    </row>
    <row r="402">
      <c r="A402" s="24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5" t="n">
        <v>1.076959</v>
      </c>
    </row>
    <row r="403">
      <c r="A403" s="24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5" t="n">
        <v>1.032004</v>
      </c>
    </row>
    <row r="404">
      <c r="A404" s="24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5" t="n">
        <v>0.839848</v>
      </c>
    </row>
    <row r="405">
      <c r="A405" s="24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5" t="n">
        <v>0.7720939999999999</v>
      </c>
    </row>
    <row r="406">
      <c r="A406" s="24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5" t="n">
        <v>13.009497</v>
      </c>
    </row>
    <row r="407">
      <c r="A407" s="24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5" t="n">
        <v>20.488919</v>
      </c>
    </row>
    <row r="408">
      <c r="A408" s="24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5" t="n">
        <v>12.544816</v>
      </c>
    </row>
    <row r="409">
      <c r="A409" s="24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5" t="n">
        <v>8.316651</v>
      </c>
    </row>
    <row r="410">
      <c r="A410" s="24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5" t="n">
        <v>7.645099</v>
      </c>
    </row>
    <row r="411">
      <c r="A411" s="24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5" t="n">
        <v>4.248954</v>
      </c>
    </row>
    <row r="412">
      <c r="A412" s="24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5" t="n">
        <v>4.735686</v>
      </c>
    </row>
    <row r="413">
      <c r="A413" s="24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5" t="n">
        <v>7.286197</v>
      </c>
    </row>
    <row r="414">
      <c r="A414" s="24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5" t="n">
        <v>9.226386</v>
      </c>
    </row>
    <row r="415">
      <c r="A415" s="24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5" t="n">
        <v>5.506212</v>
      </c>
    </row>
    <row r="416">
      <c r="A416" s="24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5" t="n">
        <v>10.049178</v>
      </c>
    </row>
    <row r="417">
      <c r="A417" s="24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5" t="n">
        <v>12.955977</v>
      </c>
    </row>
    <row r="418">
      <c r="A418" s="24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5" t="n">
        <v>15.149816</v>
      </c>
    </row>
    <row r="419">
      <c r="A419" s="24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5" t="n">
        <v>18.699459</v>
      </c>
    </row>
    <row r="420">
      <c r="A420" s="24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5" t="n">
        <v>14.052677</v>
      </c>
    </row>
    <row r="421">
      <c r="A421" s="24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5" t="n">
        <v>12.699558</v>
      </c>
    </row>
    <row r="422">
      <c r="A422" s="24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5" t="n">
        <v>9.8919</v>
      </c>
    </row>
    <row r="423">
      <c r="A423" s="24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5" t="n">
        <v>5.753225</v>
      </c>
    </row>
    <row r="424">
      <c r="A424" s="24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5" t="n">
        <v>7.363813</v>
      </c>
    </row>
    <row r="425">
      <c r="A425" s="24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5" t="n">
        <v>4.26136</v>
      </c>
    </row>
    <row r="426">
      <c r="A426" s="24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5" t="n">
        <v>4.834528</v>
      </c>
    </row>
    <row r="427">
      <c r="A427" s="24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5" t="n">
        <v>2.886936</v>
      </c>
    </row>
    <row r="428">
      <c r="A428" s="24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5" t="n">
        <v>3.018315</v>
      </c>
    </row>
    <row r="429">
      <c r="A429" s="24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5" t="n">
        <v>2.355245</v>
      </c>
    </row>
    <row r="430">
      <c r="A430" s="24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5" t="n">
        <v>13.577852</v>
      </c>
    </row>
    <row r="431">
      <c r="A431" s="24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5" t="n">
        <v>18.784898</v>
      </c>
    </row>
    <row r="432">
      <c r="A432" s="24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5" t="n">
        <v>9.772028000000001</v>
      </c>
    </row>
    <row r="433">
      <c r="A433" s="24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5" t="n">
        <v>7.641296</v>
      </c>
    </row>
    <row r="434">
      <c r="A434" s="24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5" t="n">
        <v>6.734755</v>
      </c>
    </row>
    <row r="435">
      <c r="A435" s="24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5" t="n">
        <v>3.837857</v>
      </c>
    </row>
    <row r="436">
      <c r="A436" s="24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5" t="n">
        <v>4.557186</v>
      </c>
    </row>
    <row r="437">
      <c r="A437" s="24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5" t="n">
        <v>2.500505</v>
      </c>
    </row>
    <row r="438">
      <c r="A438" s="24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5" t="n">
        <v>5.613751</v>
      </c>
    </row>
    <row r="439">
      <c r="A439" s="24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5" t="n">
        <v>21.313342</v>
      </c>
    </row>
    <row r="440">
      <c r="A440" s="24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5" t="n">
        <v>35.291802</v>
      </c>
    </row>
    <row r="441">
      <c r="A441" s="24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5" t="n">
        <v>28.843743</v>
      </c>
    </row>
    <row r="442">
      <c r="A442" s="24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5" t="n">
        <v>20.071748</v>
      </c>
    </row>
    <row r="443">
      <c r="A443" s="24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5" t="n">
        <v>17.356856</v>
      </c>
    </row>
    <row r="444">
      <c r="A444" s="24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5" t="n">
        <v>26.670876</v>
      </c>
    </row>
    <row r="445">
      <c r="A445" s="24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5" t="n">
        <v>46.192749</v>
      </c>
    </row>
    <row r="446">
      <c r="A446" s="24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5" t="n">
        <v>47.702755</v>
      </c>
    </row>
    <row r="447">
      <c r="A447" s="24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5" t="n">
        <v>36.589589</v>
      </c>
    </row>
    <row r="448">
      <c r="A448" s="24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5" t="n">
        <v>26.512245</v>
      </c>
    </row>
    <row r="449">
      <c r="A449" s="24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5" t="n">
        <v>19.370651</v>
      </c>
    </row>
    <row r="450">
      <c r="A450" s="24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5" t="n">
        <v>25.021148</v>
      </c>
    </row>
    <row r="451">
      <c r="A451" s="24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5" t="n">
        <v>33.633772</v>
      </c>
    </row>
    <row r="452">
      <c r="A452" s="24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5" t="n">
        <v>46.970323</v>
      </c>
    </row>
    <row r="453">
      <c r="A453" s="24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5" t="n">
        <v>56.62202</v>
      </c>
    </row>
    <row r="454">
      <c r="A454" s="24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5" t="n">
        <v>51.949228</v>
      </c>
    </row>
    <row r="455">
      <c r="A455" s="24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5" t="n">
        <v>36.237935</v>
      </c>
    </row>
    <row r="456">
      <c r="A456" s="24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5" t="n">
        <v>27.944789</v>
      </c>
    </row>
    <row r="457">
      <c r="A457" s="24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5" t="n">
        <v>24.082229</v>
      </c>
    </row>
    <row r="458">
      <c r="A458" s="24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5" t="n">
        <v>35.440874</v>
      </c>
    </row>
    <row r="459">
      <c r="A459" s="24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5" t="n">
        <v>53.199896</v>
      </c>
    </row>
    <row r="460">
      <c r="A460" s="24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5" t="n">
        <v>55.35113</v>
      </c>
    </row>
    <row r="461">
      <c r="A461" s="24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5" t="n">
        <v>44.695995</v>
      </c>
    </row>
    <row r="462">
      <c r="A462" s="24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5" t="n">
        <v>30.707257</v>
      </c>
    </row>
    <row r="463">
      <c r="A463" s="24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5" t="n">
        <v>24.45306</v>
      </c>
    </row>
    <row r="464">
      <c r="A464" s="24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5" t="n">
        <v>19.481339</v>
      </c>
    </row>
    <row r="465">
      <c r="A465" s="24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5" t="n">
        <v>15.125526</v>
      </c>
    </row>
    <row r="466">
      <c r="A466" s="24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5" t="n">
        <v>13.07495</v>
      </c>
    </row>
    <row r="467">
      <c r="A467" s="24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5" t="n">
        <v>10.318814</v>
      </c>
    </row>
    <row r="468">
      <c r="A468" s="24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5" t="n">
        <v>11.830591</v>
      </c>
    </row>
    <row r="469">
      <c r="A469" s="24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5" t="n">
        <v>11.473093</v>
      </c>
    </row>
    <row r="470">
      <c r="A470" s="24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5" t="n">
        <v>8.526761</v>
      </c>
    </row>
    <row r="471">
      <c r="A471" s="24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5" t="n">
        <v>7.159203</v>
      </c>
    </row>
    <row r="472">
      <c r="A472" s="24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5" t="n">
        <v>6.228234</v>
      </c>
    </row>
    <row r="473">
      <c r="A473" s="24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5" t="n">
        <v>5.062576</v>
      </c>
    </row>
    <row r="474">
      <c r="A474" s="24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5" t="n">
        <v>4.648727</v>
      </c>
    </row>
    <row r="475">
      <c r="A475" s="24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5" t="n">
        <v>3.833323</v>
      </c>
    </row>
    <row r="476">
      <c r="A476" s="24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5" t="n">
        <v>3.527459</v>
      </c>
    </row>
    <row r="477">
      <c r="A477" s="24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5" t="n">
        <v>2.997066</v>
      </c>
    </row>
    <row r="478">
      <c r="A478" s="24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5" t="n">
        <v>2.736816</v>
      </c>
    </row>
    <row r="479">
      <c r="A479" s="24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5" t="n">
        <v>2.362939</v>
      </c>
    </row>
    <row r="480">
      <c r="A480" s="24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5" t="n">
        <v>2.177795</v>
      </c>
    </row>
    <row r="481">
      <c r="A481" s="24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5" t="n">
        <v>1.856751</v>
      </c>
    </row>
    <row r="482">
      <c r="A482" s="24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5" t="n">
        <v>1.772209</v>
      </c>
    </row>
    <row r="483">
      <c r="A483" s="24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5" t="n">
        <v>1.450968</v>
      </c>
    </row>
    <row r="484">
      <c r="A484" s="24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5" t="n">
        <v>4.745445</v>
      </c>
    </row>
    <row r="485">
      <c r="A485" s="24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5" t="n">
        <v>7.280897</v>
      </c>
    </row>
    <row r="486">
      <c r="A486" s="24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5" t="n">
        <v>15.82577</v>
      </c>
    </row>
    <row r="487">
      <c r="A487" s="24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5" t="n">
        <v>18.113602</v>
      </c>
    </row>
    <row r="488">
      <c r="A488" s="24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5" t="n">
        <v>10.779684</v>
      </c>
    </row>
    <row r="489">
      <c r="A489" s="24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5" t="n">
        <v>7.331342</v>
      </c>
    </row>
    <row r="490">
      <c r="A490" s="24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5" t="n">
        <v>8.924801</v>
      </c>
    </row>
    <row r="491">
      <c r="A491" s="24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5" t="n">
        <v>6.10174</v>
      </c>
    </row>
    <row r="492">
      <c r="A492" s="24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5" t="n">
        <v>6.147523</v>
      </c>
    </row>
    <row r="493">
      <c r="A493" s="24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5" t="n">
        <v>14.847826</v>
      </c>
    </row>
    <row r="494">
      <c r="A494" s="24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5" t="n">
        <v>35.418558</v>
      </c>
    </row>
    <row r="495">
      <c r="A495" s="24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5" t="n">
        <v>47.432923</v>
      </c>
    </row>
    <row r="496">
      <c r="A496" s="24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5" t="n">
        <v>54.239636</v>
      </c>
    </row>
    <row r="497">
      <c r="A497" s="24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5" t="n">
        <v>50.61542</v>
      </c>
    </row>
    <row r="498">
      <c r="A498" s="24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5" t="n">
        <v>48.563257</v>
      </c>
    </row>
    <row r="499">
      <c r="A499" s="24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5" t="n">
        <v>61.407462</v>
      </c>
    </row>
    <row r="500">
      <c r="A500" s="24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5" t="n">
        <v>62.654825</v>
      </c>
    </row>
    <row r="501">
      <c r="A501" s="24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5" t="n">
        <v>51.102782</v>
      </c>
    </row>
    <row r="502">
      <c r="A502" s="24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5" t="n">
        <v>36.844008</v>
      </c>
    </row>
    <row r="503">
      <c r="A503" s="24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5" t="n">
        <v>27.728362</v>
      </c>
    </row>
    <row r="504">
      <c r="A504" s="24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5" t="n">
        <v>22.504312</v>
      </c>
    </row>
    <row r="505">
      <c r="A505" s="24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5" t="n">
        <v>17.041509</v>
      </c>
    </row>
    <row r="506">
      <c r="A506" s="24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5" t="n">
        <v>14.619159</v>
      </c>
    </row>
    <row r="507">
      <c r="A507" s="24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5" t="n">
        <v>11.570472</v>
      </c>
    </row>
    <row r="508">
      <c r="A508" s="24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5" t="n">
        <v>9.891344999999999</v>
      </c>
    </row>
    <row r="509">
      <c r="A509" s="24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5" t="n">
        <v>8.419622</v>
      </c>
    </row>
    <row r="510">
      <c r="A510" s="24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5" t="n">
        <v>6.96432</v>
      </c>
    </row>
    <row r="511">
      <c r="A511" s="24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5" t="n">
        <v>6.364766</v>
      </c>
    </row>
    <row r="512">
      <c r="A512" s="24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5" t="n">
        <v>5.127035</v>
      </c>
    </row>
    <row r="513">
      <c r="A513" s="24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5" t="n">
        <v>4.878089</v>
      </c>
    </row>
    <row r="514">
      <c r="A514" s="24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5" t="n">
        <v>3.954538</v>
      </c>
    </row>
    <row r="515">
      <c r="A515" s="24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5" t="n">
        <v>3.735021</v>
      </c>
    </row>
    <row r="516">
      <c r="A516" s="24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5" t="n">
        <v>3.178915</v>
      </c>
    </row>
    <row r="517">
      <c r="A517" s="24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5" t="n">
        <v>2.840039</v>
      </c>
    </row>
    <row r="518">
      <c r="A518" s="24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5" t="n">
        <v>2.631182</v>
      </c>
    </row>
    <row r="519">
      <c r="A519" s="24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5" t="n">
        <v>2.147231</v>
      </c>
    </row>
    <row r="520">
      <c r="A520" s="24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5" t="n">
        <v>2.208679</v>
      </c>
    </row>
    <row r="521">
      <c r="A521" s="24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5" t="n">
        <v>1.625911</v>
      </c>
    </row>
    <row r="522">
      <c r="A522" s="24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5" t="n">
        <v>1.853561</v>
      </c>
    </row>
    <row r="523">
      <c r="A523" s="24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5" t="n">
        <v>1.247829</v>
      </c>
    </row>
    <row r="524">
      <c r="A524" s="24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5" t="n">
        <v>1.537308</v>
      </c>
    </row>
    <row r="525">
      <c r="A525" s="24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5" t="n">
        <v>0.984206</v>
      </c>
    </row>
    <row r="526">
      <c r="A526" s="24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5" t="n">
        <v>1.249319</v>
      </c>
    </row>
    <row r="527">
      <c r="A527" s="24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5" t="n">
        <v>0.806647</v>
      </c>
    </row>
    <row r="528">
      <c r="A528" s="24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5" t="n">
        <v>0.988703</v>
      </c>
    </row>
    <row r="529">
      <c r="A529" s="24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5" t="n">
        <v>0.689042</v>
      </c>
    </row>
    <row r="530">
      <c r="A530" s="24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5" t="n">
        <v>0.758652</v>
      </c>
    </row>
    <row r="531">
      <c r="A531" s="24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5" t="n">
        <v>0.609198</v>
      </c>
    </row>
    <row r="532">
      <c r="A532" s="24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5" t="n">
        <v>0.562895</v>
      </c>
    </row>
    <row r="533">
      <c r="A533" s="24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5" t="n">
        <v>0.549762</v>
      </c>
    </row>
    <row r="534">
      <c r="A534" s="24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5" t="n">
        <v>6.520178</v>
      </c>
    </row>
    <row r="535">
      <c r="A535" s="24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5" t="n">
        <v>14.674171</v>
      </c>
    </row>
    <row r="536">
      <c r="A536" s="24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5" t="n">
        <v>12.514897</v>
      </c>
    </row>
    <row r="537">
      <c r="A537" s="24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5" t="n">
        <v>12.681088</v>
      </c>
    </row>
    <row r="538">
      <c r="A538" s="24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5" t="n">
        <v>13.380969</v>
      </c>
    </row>
    <row r="539">
      <c r="A539" s="24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5" t="n">
        <v>13.119218</v>
      </c>
    </row>
    <row r="540">
      <c r="A540" s="24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5" t="n">
        <v>15.858382</v>
      </c>
    </row>
    <row r="541">
      <c r="A541" s="24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5" t="n">
        <v>21.539645</v>
      </c>
    </row>
    <row r="542">
      <c r="A542" s="24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5" t="n">
        <v>64.54218</v>
      </c>
    </row>
    <row r="543">
      <c r="A543" s="24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5" t="n">
        <v>106.858953</v>
      </c>
    </row>
    <row r="544">
      <c r="A544" s="24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5" t="n">
        <v>80.697676</v>
      </c>
    </row>
    <row r="545">
      <c r="A545" s="24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5" t="n">
        <v>57.257658</v>
      </c>
    </row>
    <row r="546">
      <c r="A546" s="24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5" t="n">
        <v>49.52987</v>
      </c>
    </row>
    <row r="547">
      <c r="A547" s="24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5" t="n">
        <v>33.084764</v>
      </c>
    </row>
    <row r="548">
      <c r="A548" s="24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5" t="n">
        <v>27.264154</v>
      </c>
    </row>
    <row r="549">
      <c r="A549" s="24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5" t="n">
        <v>21.277771</v>
      </c>
    </row>
    <row r="550">
      <c r="A550" s="24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5" t="n">
        <v>15.050872</v>
      </c>
    </row>
    <row r="551">
      <c r="A551" s="24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5" t="n">
        <v>14.197334</v>
      </c>
    </row>
    <row r="552">
      <c r="A552" s="24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5" t="n">
        <v>9.678186999999999</v>
      </c>
    </row>
    <row r="553">
      <c r="A553" s="24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5" t="n">
        <v>9.518767</v>
      </c>
    </row>
    <row r="554">
      <c r="A554" s="24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5" t="n">
        <v>7.072457</v>
      </c>
    </row>
    <row r="555">
      <c r="A555" s="24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5" t="n">
        <v>6.37799</v>
      </c>
    </row>
    <row r="556">
      <c r="A556" s="24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5" t="n">
        <v>5.594881</v>
      </c>
    </row>
    <row r="557">
      <c r="A557" s="24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5" t="n">
        <v>4.332845</v>
      </c>
    </row>
    <row r="558">
      <c r="A558" s="24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5" t="n">
        <v>4.548316</v>
      </c>
    </row>
    <row r="559">
      <c r="A559" s="24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5" t="n">
        <v>3.060965</v>
      </c>
    </row>
    <row r="560">
      <c r="A560" s="24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5" t="n">
        <v>3.668461</v>
      </c>
    </row>
    <row r="561">
      <c r="A561" s="24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5" t="n">
        <v>2.307811</v>
      </c>
    </row>
    <row r="562">
      <c r="A562" s="24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5" t="n">
        <v>2.881908</v>
      </c>
    </row>
    <row r="563">
      <c r="A563" s="24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5" t="n">
        <v>1.876719</v>
      </c>
    </row>
    <row r="564">
      <c r="A564" s="24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5" t="n">
        <v>2.187862</v>
      </c>
    </row>
    <row r="565">
      <c r="A565" s="24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5" t="n">
        <v>1.624798</v>
      </c>
    </row>
    <row r="566">
      <c r="A566" s="24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5" t="n">
        <v>1.602824</v>
      </c>
    </row>
    <row r="567">
      <c r="A567" s="24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5" t="n">
        <v>1.456403</v>
      </c>
    </row>
    <row r="568">
      <c r="A568" s="24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5" t="n">
        <v>1.137837</v>
      </c>
    </row>
    <row r="569">
      <c r="A569" s="24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5" t="n">
        <v>1.314216</v>
      </c>
    </row>
    <row r="570">
      <c r="A570" s="24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5" t="n">
        <v>0.792027</v>
      </c>
    </row>
    <row r="571">
      <c r="A571" s="24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5" t="n">
        <v>1.169488</v>
      </c>
    </row>
    <row r="572">
      <c r="A572" s="24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5" t="n">
        <v>0.553634</v>
      </c>
    </row>
    <row r="573">
      <c r="A573" s="24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5" t="n">
        <v>1.012856</v>
      </c>
    </row>
    <row r="574">
      <c r="A574" s="24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5" t="n">
        <v>0.403777</v>
      </c>
    </row>
    <row r="575">
      <c r="A575" s="24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5" t="n">
        <v>5.780476</v>
      </c>
    </row>
    <row r="576">
      <c r="A576" s="24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5" t="n">
        <v>7.369548</v>
      </c>
    </row>
    <row r="577">
      <c r="A577" s="24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5" t="n">
        <v>4.28086</v>
      </c>
    </row>
    <row r="578">
      <c r="A578" s="24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5" t="n">
        <v>2.796578</v>
      </c>
    </row>
    <row r="579">
      <c r="A579" s="24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5" t="n">
        <v>2.98977</v>
      </c>
    </row>
    <row r="580">
      <c r="A580" s="24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5" t="n">
        <v>1.34574</v>
      </c>
    </row>
    <row r="581">
      <c r="A581" s="24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5" t="n">
        <v>1.986243</v>
      </c>
    </row>
    <row r="582">
      <c r="A582" s="24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5" t="n">
        <v>0.937656</v>
      </c>
    </row>
    <row r="583">
      <c r="A583" s="24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5" t="n">
        <v>1.191393</v>
      </c>
    </row>
    <row r="584">
      <c r="A584" s="24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5" t="n">
        <v>0.861882</v>
      </c>
    </row>
    <row r="585">
      <c r="A585" s="24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5" t="n">
        <v>0.631968</v>
      </c>
    </row>
    <row r="586">
      <c r="A586" s="24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5" t="n">
        <v>0.83865</v>
      </c>
    </row>
    <row r="587">
      <c r="A587" s="24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5" t="n">
        <v>0.29154</v>
      </c>
    </row>
    <row r="588">
      <c r="A588" s="24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5" t="n">
        <v>0.783615</v>
      </c>
    </row>
    <row r="589">
      <c r="A589" s="24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5" t="n">
        <v>0.191517</v>
      </c>
    </row>
    <row r="590">
      <c r="A590" s="24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5" t="n">
        <v>0.601295</v>
      </c>
    </row>
    <row r="591">
      <c r="A591" s="24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5" t="n">
        <v>0.188286</v>
      </c>
    </row>
    <row r="592">
      <c r="A592" s="24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5" t="n">
        <v>0.409445</v>
      </c>
    </row>
    <row r="593">
      <c r="A593" s="24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5" t="n">
        <v>0.236285</v>
      </c>
    </row>
    <row r="594">
      <c r="A594" s="24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5" t="n">
        <v>0.260798</v>
      </c>
    </row>
    <row r="595">
      <c r="A595" s="24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5" t="n">
        <v>0.27859</v>
      </c>
    </row>
    <row r="596">
      <c r="A596" s="24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5" t="n">
        <v>0.141268</v>
      </c>
    </row>
    <row r="597">
      <c r="A597" s="24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5" t="n">
        <v>0.289175</v>
      </c>
    </row>
    <row r="598">
      <c r="A598" s="24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5" t="n">
        <v>0.074321</v>
      </c>
    </row>
    <row r="599">
      <c r="A599" s="24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5" t="n">
        <v>0.243888</v>
      </c>
    </row>
    <row r="600">
      <c r="A600" s="24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5" t="n">
        <v>0.06840400000000001</v>
      </c>
    </row>
    <row r="601">
      <c r="A601" s="24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5" t="n">
        <v>0.194866</v>
      </c>
    </row>
    <row r="602">
      <c r="A602" s="24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5" t="n">
        <v>0.075876</v>
      </c>
    </row>
    <row r="603">
      <c r="A603" s="24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5" t="n">
        <v>0.128262</v>
      </c>
    </row>
    <row r="604">
      <c r="A604" s="24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5" t="n">
        <v>0.08583200000000001</v>
      </c>
    </row>
    <row r="605">
      <c r="A605" s="24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5" t="n">
        <v>0.08709600000000001</v>
      </c>
    </row>
    <row r="606">
      <c r="A606" s="24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5" t="n">
        <v>0.093096</v>
      </c>
    </row>
    <row r="607">
      <c r="A607" s="24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5" t="n">
        <v>0.061085</v>
      </c>
    </row>
    <row r="608">
      <c r="A608" s="24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5" t="n">
        <v>0.09547</v>
      </c>
    </row>
    <row r="609">
      <c r="A609" s="24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5" t="n">
        <v>0.035761</v>
      </c>
    </row>
    <row r="610">
      <c r="A610" s="24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5" t="n">
        <v>0.096599</v>
      </c>
    </row>
    <row r="611">
      <c r="A611" s="24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5" t="n">
        <v>0.021231</v>
      </c>
    </row>
    <row r="612">
      <c r="A612" s="24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5" t="n">
        <v>0.08230899999999999</v>
      </c>
    </row>
    <row r="613">
      <c r="A613" s="24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5" t="n">
        <v>0.020146</v>
      </c>
    </row>
    <row r="614">
      <c r="A614" s="24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5" t="n">
        <v>0.061777</v>
      </c>
    </row>
    <row r="615">
      <c r="A615" s="24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5" t="n">
        <v>0.020928</v>
      </c>
    </row>
    <row r="616">
      <c r="A616" s="24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5" t="n">
        <v>0.044094</v>
      </c>
    </row>
    <row r="617">
      <c r="A617" s="24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5" t="n">
        <v>0.023963</v>
      </c>
    </row>
    <row r="618">
      <c r="A618" s="24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5" t="n">
        <v>0.02857</v>
      </c>
    </row>
    <row r="619">
      <c r="A619" s="24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5" t="n">
        <v>0.026191</v>
      </c>
    </row>
    <row r="620">
      <c r="A620" s="24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5" t="n">
        <v>0.016331</v>
      </c>
    </row>
    <row r="621">
      <c r="A621" s="24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5" t="n">
        <v>0.026294</v>
      </c>
    </row>
    <row r="622">
      <c r="A622" s="24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5" t="n">
        <v>0.008255</v>
      </c>
    </row>
    <row r="623">
      <c r="A623" s="24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5" t="n">
        <v>0.026105</v>
      </c>
    </row>
    <row r="624">
      <c r="A624" s="24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5" t="n">
        <v>0.006142</v>
      </c>
    </row>
    <row r="625">
      <c r="A625" s="24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5" t="n">
        <v>0.022279</v>
      </c>
    </row>
    <row r="626">
      <c r="A626" s="24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5" t="n">
        <v>0.005076</v>
      </c>
    </row>
    <row r="627">
      <c r="A627" s="24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5" t="n">
        <v>0.018033</v>
      </c>
    </row>
    <row r="628">
      <c r="A628" s="24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5" t="n">
        <v>0.004749</v>
      </c>
    </row>
    <row r="629">
      <c r="A629" s="24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5" t="n">
        <v>0.013154</v>
      </c>
    </row>
    <row r="630">
      <c r="A630" s="24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5" t="n">
        <v>0.005211</v>
      </c>
    </row>
    <row r="631">
      <c r="A631" s="24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5" t="n">
        <v>0.009251000000000001</v>
      </c>
    </row>
    <row r="632">
      <c r="A632" s="24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5" t="n">
        <v>0.005358</v>
      </c>
    </row>
    <row r="633">
      <c r="A633" s="24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5" t="n">
        <v>0.00663</v>
      </c>
    </row>
    <row r="634">
      <c r="A634" s="24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5" t="n">
        <v>0.005585</v>
      </c>
    </row>
    <row r="635">
      <c r="A635" s="24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5" t="n">
        <v>0.004187</v>
      </c>
    </row>
    <row r="636">
      <c r="A636" s="24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5" t="n">
        <v>0.005727</v>
      </c>
    </row>
    <row r="637">
      <c r="A637" s="24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5" t="n">
        <v>0.002291</v>
      </c>
    </row>
    <row r="638">
      <c r="A638" s="24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5" t="n">
        <v>0.005714</v>
      </c>
    </row>
    <row r="639">
      <c r="A639" s="24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5" t="n">
        <v>0.00147</v>
      </c>
    </row>
    <row r="640">
      <c r="A640" s="24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5" t="n">
        <v>0.004701</v>
      </c>
    </row>
    <row r="641">
      <c r="A641" s="24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5" t="n">
        <v>0.001214</v>
      </c>
    </row>
    <row r="642">
      <c r="A642" s="24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5" t="n">
        <v>0.003739</v>
      </c>
    </row>
    <row r="643">
      <c r="A643" s="24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5" t="n">
        <v>3.015946</v>
      </c>
    </row>
    <row r="644">
      <c r="A644" s="24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5" t="n">
        <v>4.311486</v>
      </c>
    </row>
    <row r="645">
      <c r="A645" s="24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5" t="n">
        <v>2.202121</v>
      </c>
    </row>
    <row r="646">
      <c r="A646" s="24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5" t="n">
        <v>1.538821</v>
      </c>
    </row>
    <row r="647">
      <c r="A647" s="24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5" t="n">
        <v>1.510672</v>
      </c>
    </row>
    <row r="648">
      <c r="A648" s="24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5" t="n">
        <v>0.658783</v>
      </c>
    </row>
    <row r="649">
      <c r="A649" s="24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5" t="n">
        <v>0.984962</v>
      </c>
    </row>
    <row r="650">
      <c r="A650" s="24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5" t="n">
        <v>0.409249</v>
      </c>
    </row>
    <row r="651">
      <c r="A651" s="24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5" t="n">
        <v>0.573178</v>
      </c>
    </row>
    <row r="652">
      <c r="A652" s="24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5" t="n">
        <v>0.362351</v>
      </c>
    </row>
    <row r="653">
      <c r="A653" s="24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5" t="n">
        <v>0.289787</v>
      </c>
    </row>
    <row r="654">
      <c r="A654" s="24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5" t="n">
        <v>0.351038</v>
      </c>
    </row>
    <row r="655">
      <c r="A655" s="24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5" t="n">
        <v>0.124511</v>
      </c>
    </row>
    <row r="656">
      <c r="A656" s="24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5" t="n">
        <v>0.320234</v>
      </c>
    </row>
    <row r="657">
      <c r="A657" s="24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5" t="n">
        <v>0.07054299999999999</v>
      </c>
    </row>
    <row r="658">
      <c r="A658" s="24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5" t="n">
        <v>0.248203</v>
      </c>
    </row>
    <row r="659">
      <c r="A659" s="24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5" t="n">
        <v>0.077973</v>
      </c>
    </row>
    <row r="660">
      <c r="A660" s="24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5" t="n">
        <v>0.163842</v>
      </c>
    </row>
    <row r="661">
      <c r="A661" s="24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5" t="n">
        <v>0.102805</v>
      </c>
    </row>
    <row r="662">
      <c r="A662" s="24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5" t="n">
        <v>0.086342</v>
      </c>
    </row>
    <row r="663">
      <c r="A663" s="24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5" t="n">
        <v>0.122813</v>
      </c>
    </row>
    <row r="664">
      <c r="A664" s="24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5" t="n">
        <v>0.034864</v>
      </c>
    </row>
    <row r="665">
      <c r="A665" s="24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5" t="n">
        <v>0.126445</v>
      </c>
    </row>
    <row r="666">
      <c r="A666" s="24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5" t="n">
        <v>0.025708</v>
      </c>
    </row>
    <row r="667">
      <c r="A667" s="24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5" t="n">
        <v>0.099254</v>
      </c>
    </row>
    <row r="668">
      <c r="A668" s="24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5" t="n">
        <v>0.027339</v>
      </c>
    </row>
    <row r="669">
      <c r="A669" s="24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5" t="n">
        <v>0.07026399999999999</v>
      </c>
    </row>
    <row r="670">
      <c r="A670" s="24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5" t="n">
        <v>0.035852</v>
      </c>
    </row>
    <row r="671">
      <c r="A671" s="24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5" t="n">
        <v>0.043245</v>
      </c>
    </row>
    <row r="672">
      <c r="A672" s="24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5" t="n">
        <v>3.906703</v>
      </c>
    </row>
    <row r="673">
      <c r="A673" s="24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5" t="n">
        <v>7.913906</v>
      </c>
    </row>
    <row r="674">
      <c r="A674" s="24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5" t="n">
        <v>12.035865</v>
      </c>
    </row>
    <row r="675">
      <c r="A675" s="24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5" t="n">
        <v>11.988145</v>
      </c>
    </row>
    <row r="676">
      <c r="A676" s="24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5" t="n">
        <v>7.416507</v>
      </c>
    </row>
    <row r="677">
      <c r="A677" s="24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5" t="n">
        <v>13.494702</v>
      </c>
    </row>
    <row r="678">
      <c r="A678" s="24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5" t="n">
        <v>16.889249</v>
      </c>
    </row>
    <row r="679">
      <c r="A679" s="24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5" t="n">
        <v>9.574002999999999</v>
      </c>
    </row>
    <row r="680">
      <c r="A680" s="24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5" t="n">
        <v>8.471019</v>
      </c>
    </row>
    <row r="681">
      <c r="A681" s="24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5" t="n">
        <v>6.543054</v>
      </c>
    </row>
    <row r="682">
      <c r="A682" s="24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5" t="n">
        <v>9.361706999999999</v>
      </c>
    </row>
    <row r="683">
      <c r="A683" s="24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5" t="n">
        <v>12.140846</v>
      </c>
    </row>
    <row r="684">
      <c r="A684" s="24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5" t="n">
        <v>7.076472</v>
      </c>
    </row>
    <row r="685">
      <c r="A685" s="24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5" t="n">
        <v>6.996746</v>
      </c>
    </row>
    <row r="686">
      <c r="A686" s="24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5" t="n">
        <v>4.984153</v>
      </c>
    </row>
    <row r="687">
      <c r="A687" s="24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5" t="n">
        <v>3.560559</v>
      </c>
    </row>
    <row r="688">
      <c r="A688" s="24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5" t="n">
        <v>3.604137</v>
      </c>
    </row>
    <row r="689">
      <c r="A689" s="24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5" t="n">
        <v>2.805037</v>
      </c>
    </row>
    <row r="690">
      <c r="A690" s="24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5" t="n">
        <v>3.548679</v>
      </c>
    </row>
    <row r="691">
      <c r="A691" s="24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5" t="n">
        <v>1.997357</v>
      </c>
    </row>
    <row r="692">
      <c r="A692" s="24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5" t="n">
        <v>2.134431</v>
      </c>
    </row>
    <row r="693">
      <c r="A693" s="24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5" t="n">
        <v>1.547727</v>
      </c>
    </row>
    <row r="694">
      <c r="A694" s="24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5" t="n">
        <v>1.369075</v>
      </c>
    </row>
    <row r="695">
      <c r="A695" s="24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5" t="n">
        <v>1.2514</v>
      </c>
    </row>
    <row r="696">
      <c r="A696" s="24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5" t="n">
        <v>0.928308</v>
      </c>
    </row>
    <row r="697">
      <c r="A697" s="24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5" t="n">
        <v>1.010796</v>
      </c>
    </row>
    <row r="698">
      <c r="A698" s="24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5" t="n">
        <v>0.672014</v>
      </c>
    </row>
    <row r="699">
      <c r="A699" s="24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5" t="n">
        <v>0.803229</v>
      </c>
    </row>
    <row r="700">
      <c r="A700" s="24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5" t="n">
        <v>0.520777</v>
      </c>
    </row>
    <row r="701">
      <c r="A701" s="24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5" t="n">
        <v>0.625441</v>
      </c>
    </row>
    <row r="702">
      <c r="A702" s="24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5" t="n">
        <v>0.427063</v>
      </c>
    </row>
    <row r="703">
      <c r="A703" s="24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5" t="n">
        <v>0.478176</v>
      </c>
    </row>
    <row r="704">
      <c r="A704" s="24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5" t="n">
        <v>0.362843</v>
      </c>
    </row>
    <row r="705">
      <c r="A705" s="24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5" t="n">
        <v>0.361118</v>
      </c>
    </row>
    <row r="706">
      <c r="A706" s="24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5" t="n">
        <v>4.130403</v>
      </c>
    </row>
    <row r="707">
      <c r="A707" s="24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5" t="n">
        <v>5.726557</v>
      </c>
    </row>
    <row r="708">
      <c r="A708" s="24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5" t="n">
        <v>3.055565</v>
      </c>
    </row>
    <row r="709">
      <c r="A709" s="24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5" t="n">
        <v>2.152097</v>
      </c>
    </row>
    <row r="710">
      <c r="A710" s="24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5" t="n">
        <v>2.138895</v>
      </c>
    </row>
    <row r="711">
      <c r="A711" s="24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5" t="n">
        <v>10.810155</v>
      </c>
    </row>
    <row r="712">
      <c r="A712" s="24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5" t="n">
        <v>15.461027</v>
      </c>
    </row>
    <row r="713">
      <c r="A713" s="24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5" t="n">
        <v>7.812827</v>
      </c>
    </row>
    <row r="714">
      <c r="A714" s="24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5" t="n">
        <v>5.879884</v>
      </c>
    </row>
    <row r="715">
      <c r="A715" s="24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5" t="n">
        <v>5.481155</v>
      </c>
    </row>
    <row r="716">
      <c r="A716" s="24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5" t="n">
        <v>2.625434</v>
      </c>
    </row>
    <row r="717">
      <c r="A717" s="24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5" t="n">
        <v>8.776794000000001</v>
      </c>
    </row>
    <row r="718">
      <c r="A718" s="24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5" t="n">
        <v>8.772705</v>
      </c>
    </row>
    <row r="719">
      <c r="A719" s="24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5" t="n">
        <v>6.026435</v>
      </c>
    </row>
    <row r="720">
      <c r="A720" s="24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5" t="n">
        <v>5.821186</v>
      </c>
    </row>
    <row r="721">
      <c r="A721" s="24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5" t="n">
        <v>6.647162</v>
      </c>
    </row>
    <row r="722">
      <c r="A722" s="24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5" t="n">
        <v>3.754637</v>
      </c>
    </row>
    <row r="723">
      <c r="A723" s="24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5" t="n">
        <v>3.342741</v>
      </c>
    </row>
    <row r="724">
      <c r="A724" s="24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5" t="n">
        <v>2.800176</v>
      </c>
    </row>
    <row r="725">
      <c r="A725" s="24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5" t="n">
        <v>1.744481</v>
      </c>
    </row>
    <row r="726">
      <c r="A726" s="24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5" t="n">
        <v>2.222554</v>
      </c>
    </row>
    <row r="727">
      <c r="A727" s="24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5" t="n">
        <v>5.907626</v>
      </c>
    </row>
    <row r="728">
      <c r="A728" s="24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5" t="n">
        <v>8.778556999999999</v>
      </c>
    </row>
    <row r="729">
      <c r="A729" s="24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5" t="n">
        <v>4.252647</v>
      </c>
    </row>
    <row r="730">
      <c r="A730" s="24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5" t="n">
        <v>3.784727</v>
      </c>
    </row>
    <row r="731">
      <c r="A731" s="24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5" t="n">
        <v>3.027985</v>
      </c>
    </row>
    <row r="732">
      <c r="A732" s="24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5" t="n">
        <v>1.939733</v>
      </c>
    </row>
    <row r="733">
      <c r="A733" s="24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5" t="n">
        <v>8.652462999999999</v>
      </c>
    </row>
    <row r="734">
      <c r="A734" s="24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5" t="n">
        <v>11.115835</v>
      </c>
    </row>
    <row r="735">
      <c r="A735" s="24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5" t="n">
        <v>22.122515</v>
      </c>
    </row>
    <row r="736">
      <c r="A736" s="24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5" t="n">
        <v>27.930424</v>
      </c>
    </row>
    <row r="737">
      <c r="A737" s="24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5" t="n">
        <v>22.828577</v>
      </c>
    </row>
    <row r="738">
      <c r="A738" s="24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5" t="n">
        <v>18.710587</v>
      </c>
    </row>
    <row r="739">
      <c r="A739" s="24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5" t="n">
        <v>15.879395</v>
      </c>
    </row>
    <row r="740">
      <c r="A740" s="24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5" t="n">
        <v>8.770485000000001</v>
      </c>
    </row>
    <row r="741">
      <c r="A741" s="24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5" t="n">
        <v>9.84318</v>
      </c>
    </row>
    <row r="742">
      <c r="A742" s="24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5" t="n">
        <v>5.385826</v>
      </c>
    </row>
    <row r="743">
      <c r="A743" s="24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5" t="n">
        <v>5.893957</v>
      </c>
    </row>
    <row r="744">
      <c r="A744" s="24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5" t="n">
        <v>4.185197</v>
      </c>
    </row>
    <row r="745">
      <c r="A745" s="24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5" t="n">
        <v>14.760918</v>
      </c>
    </row>
    <row r="746">
      <c r="A746" s="24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5" t="n">
        <v>19.894123</v>
      </c>
    </row>
    <row r="747">
      <c r="A747" s="24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5" t="n">
        <v>10.189386</v>
      </c>
    </row>
    <row r="748">
      <c r="A748" s="24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5" t="n">
        <v>8.854032999999999</v>
      </c>
    </row>
    <row r="749">
      <c r="A749" s="24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5" t="n">
        <v>6.83158</v>
      </c>
    </row>
    <row r="750">
      <c r="A750" s="24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5" t="n">
        <v>4.91336</v>
      </c>
    </row>
    <row r="751">
      <c r="A751" s="24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5" t="n">
        <v>4.571242</v>
      </c>
    </row>
    <row r="752">
      <c r="A752" s="24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5" t="n">
        <v>3.33224</v>
      </c>
    </row>
    <row r="753">
      <c r="A753" s="24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5" t="n">
        <v>2.987895</v>
      </c>
    </row>
    <row r="754">
      <c r="A754" s="24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5" t="n">
        <v>2.564199</v>
      </c>
    </row>
    <row r="755">
      <c r="A755" s="24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5" t="n">
        <v>1.977913</v>
      </c>
    </row>
    <row r="756">
      <c r="A756" s="24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5" t="n">
        <v>5.904599</v>
      </c>
    </row>
    <row r="757">
      <c r="A757" s="24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5" t="n">
        <v>6.933493</v>
      </c>
    </row>
    <row r="758">
      <c r="A758" s="24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5" t="n">
        <v>4.391622</v>
      </c>
    </row>
    <row r="759">
      <c r="A759" s="24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5" t="n">
        <v>11.701743</v>
      </c>
    </row>
    <row r="760">
      <c r="A760" s="24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5" t="n">
        <v>15.371996</v>
      </c>
    </row>
    <row r="761">
      <c r="A761" s="24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5" t="n">
        <v>8.121242000000001</v>
      </c>
    </row>
    <row r="762">
      <c r="A762" s="24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5" t="n">
        <v>6.41415</v>
      </c>
    </row>
    <row r="763">
      <c r="A763" s="24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5" t="n">
        <v>5.758609</v>
      </c>
    </row>
    <row r="764">
      <c r="A764" s="24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5" t="n">
        <v>3.089404</v>
      </c>
    </row>
    <row r="765">
      <c r="A765" s="24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5" t="n">
        <v>4.129336</v>
      </c>
    </row>
    <row r="766">
      <c r="A766" s="24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5" t="n">
        <v>1.823816</v>
      </c>
    </row>
    <row r="767">
      <c r="A767" s="24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5" t="n">
        <v>2.844155</v>
      </c>
    </row>
    <row r="768">
      <c r="A768" s="24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5" t="n">
        <v>3.91888</v>
      </c>
    </row>
    <row r="769">
      <c r="A769" s="24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5" t="n">
        <v>13.521119</v>
      </c>
    </row>
    <row r="770">
      <c r="A770" s="24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5" t="n">
        <v>14.53211</v>
      </c>
    </row>
    <row r="771">
      <c r="A771" s="24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5" t="n">
        <v>8.327631</v>
      </c>
    </row>
    <row r="772">
      <c r="A772" s="24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5" t="n">
        <v>6.552856</v>
      </c>
    </row>
    <row r="773">
      <c r="A773" s="24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5" t="n">
        <v>6.369414</v>
      </c>
    </row>
    <row r="774">
      <c r="A774" s="24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5" t="n">
        <v>6.361342</v>
      </c>
    </row>
    <row r="775">
      <c r="A775" s="24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5" t="n">
        <v>18.251433</v>
      </c>
    </row>
    <row r="776">
      <c r="A776" s="24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5" t="n">
        <v>21.441186</v>
      </c>
    </row>
    <row r="777">
      <c r="A777" s="24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5" t="n">
        <v>12.217629</v>
      </c>
    </row>
    <row r="778">
      <c r="A778" s="24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5" t="n">
        <v>9.086955</v>
      </c>
    </row>
    <row r="779">
      <c r="A779" s="24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5" t="n">
        <v>8.014607</v>
      </c>
    </row>
    <row r="780">
      <c r="A780" s="24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5" t="n">
        <v>4.884502</v>
      </c>
    </row>
    <row r="781">
      <c r="A781" s="24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5" t="n">
        <v>5.141339</v>
      </c>
    </row>
    <row r="782">
      <c r="A782" s="24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5" t="n">
        <v>3.392274</v>
      </c>
    </row>
    <row r="783">
      <c r="A783" s="24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5" t="n">
        <v>7.545638</v>
      </c>
    </row>
    <row r="784">
      <c r="A784" s="24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5" t="n">
        <v>9.134103</v>
      </c>
    </row>
    <row r="785">
      <c r="A785" s="24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5" t="n">
        <v>5.038295</v>
      </c>
    </row>
    <row r="786">
      <c r="A786" s="24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5" t="n">
        <v>10.318428</v>
      </c>
    </row>
    <row r="787">
      <c r="A787" s="24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5" t="n">
        <v>11.401382</v>
      </c>
    </row>
    <row r="788">
      <c r="A788" s="24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5" t="n">
        <v>7.06256</v>
      </c>
    </row>
    <row r="789">
      <c r="A789" s="24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5" t="n">
        <v>5.096049</v>
      </c>
    </row>
    <row r="790">
      <c r="A790" s="24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5" t="n">
        <v>4.923717</v>
      </c>
    </row>
    <row r="791">
      <c r="A791" s="24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5" t="n">
        <v>2.762702</v>
      </c>
    </row>
    <row r="792">
      <c r="A792" s="24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5" t="n">
        <v>3.398576</v>
      </c>
    </row>
    <row r="793">
      <c r="A793" s="24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5" t="n">
        <v>1.916343</v>
      </c>
    </row>
    <row r="794">
      <c r="A794" s="24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5" t="n">
        <v>2.195599</v>
      </c>
    </row>
    <row r="795">
      <c r="A795" s="24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5" t="n">
        <v>1.646118</v>
      </c>
    </row>
    <row r="796">
      <c r="A796" s="24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5" t="n">
        <v>1.296239</v>
      </c>
    </row>
    <row r="797">
      <c r="A797" s="24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5" t="n">
        <v>3.119633</v>
      </c>
    </row>
    <row r="798">
      <c r="A798" s="24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5" t="n">
        <v>2.934453</v>
      </c>
    </row>
    <row r="799">
      <c r="A799" s="24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5" t="n">
        <v>2.590891</v>
      </c>
    </row>
    <row r="800">
      <c r="A800" s="24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5" t="n">
        <v>3.556095</v>
      </c>
    </row>
    <row r="801">
      <c r="A801" s="24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5" t="n">
        <v>5.540952</v>
      </c>
    </row>
    <row r="802">
      <c r="A802" s="24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5" t="n">
        <v>2.2721</v>
      </c>
    </row>
    <row r="803">
      <c r="A803" s="24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5" t="n">
        <v>2.815073</v>
      </c>
    </row>
    <row r="804">
      <c r="A804" s="24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5" t="n">
        <v>1.549317</v>
      </c>
    </row>
    <row r="805">
      <c r="A805" s="24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5" t="n">
        <v>1.642145</v>
      </c>
    </row>
    <row r="806">
      <c r="A806" s="24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5" t="n">
        <v>6.512209</v>
      </c>
    </row>
    <row r="807">
      <c r="A807" s="24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5" t="n">
        <v>8.710259000000001</v>
      </c>
    </row>
    <row r="808">
      <c r="A808" s="24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5" t="n">
        <v>4.803704</v>
      </c>
    </row>
    <row r="809">
      <c r="A809" s="24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5" t="n">
        <v>3.423311</v>
      </c>
    </row>
    <row r="810">
      <c r="A810" s="24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5" t="n">
        <v>3.409228</v>
      </c>
    </row>
    <row r="811">
      <c r="A811" s="24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5" t="n">
        <v>1.61933</v>
      </c>
    </row>
    <row r="812">
      <c r="A812" s="24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5" t="n">
        <v>2.653539</v>
      </c>
    </row>
    <row r="813">
      <c r="A813" s="24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5" t="n">
        <v>2.269841</v>
      </c>
    </row>
    <row r="814">
      <c r="A814" s="24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5" t="n">
        <v>3.024712</v>
      </c>
    </row>
    <row r="815">
      <c r="A815" s="24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5" t="n">
        <v>1.562759</v>
      </c>
    </row>
    <row r="816">
      <c r="A816" s="24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5" t="n">
        <v>1.609582</v>
      </c>
    </row>
    <row r="817">
      <c r="A817" s="24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5" t="n">
        <v>1.168071</v>
      </c>
    </row>
    <row r="818">
      <c r="A818" s="24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5" t="n">
        <v>0.967363</v>
      </c>
    </row>
    <row r="819">
      <c r="A819" s="24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5" t="n">
        <v>0.880082</v>
      </c>
    </row>
    <row r="820">
      <c r="A820" s="24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5" t="n">
        <v>0.673001</v>
      </c>
    </row>
    <row r="821">
      <c r="A821" s="24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5" t="n">
        <v>0.628775</v>
      </c>
    </row>
    <row r="822">
      <c r="A822" s="24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5" t="n">
        <v>10.687417</v>
      </c>
    </row>
    <row r="823">
      <c r="A823" s="24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5" t="n">
        <v>27.430222</v>
      </c>
    </row>
    <row r="824">
      <c r="A824" s="24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5" t="n">
        <v>25.781612</v>
      </c>
    </row>
    <row r="825">
      <c r="A825" s="24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5" t="n">
        <v>20.50113</v>
      </c>
    </row>
    <row r="826">
      <c r="A826" s="24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5" t="n">
        <v>21.486114</v>
      </c>
    </row>
    <row r="827">
      <c r="A827" s="24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5" t="n">
        <v>14.541638</v>
      </c>
    </row>
    <row r="828">
      <c r="A828" s="24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5" t="n">
        <v>10.261441</v>
      </c>
    </row>
    <row r="829">
      <c r="A829" s="24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5" t="n">
        <v>9.088203</v>
      </c>
    </row>
    <row r="830">
      <c r="A830" s="24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5" t="n">
        <v>5.79102</v>
      </c>
    </row>
    <row r="831">
      <c r="A831" s="24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5" t="n">
        <v>5.849103</v>
      </c>
    </row>
    <row r="832">
      <c r="A832" s="24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5" t="n">
        <v>16.098822</v>
      </c>
    </row>
    <row r="833">
      <c r="A833" s="24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5" t="n">
        <v>25.80488</v>
      </c>
    </row>
    <row r="834">
      <c r="A834" s="24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5" t="n">
        <v>18.450001</v>
      </c>
    </row>
    <row r="835">
      <c r="A835" s="24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5" t="n">
        <v>11.99349</v>
      </c>
    </row>
    <row r="836">
      <c r="A836" s="24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5" t="n">
        <v>10.83512</v>
      </c>
    </row>
    <row r="837">
      <c r="A837" s="24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5" t="n">
        <v>6.580933</v>
      </c>
    </row>
    <row r="838">
      <c r="A838" s="24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5" t="n">
        <v>6.88405</v>
      </c>
    </row>
    <row r="839">
      <c r="A839" s="24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5" t="n">
        <v>4.335208</v>
      </c>
    </row>
    <row r="840">
      <c r="A840" s="24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5" t="n">
        <v>4.396213</v>
      </c>
    </row>
    <row r="841">
      <c r="A841" s="24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5" t="n">
        <v>5.34957</v>
      </c>
    </row>
    <row r="842">
      <c r="A842" s="24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5" t="n">
        <v>5.696998</v>
      </c>
    </row>
    <row r="843">
      <c r="A843" s="24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5" t="n">
        <v>4.225914</v>
      </c>
    </row>
    <row r="844">
      <c r="A844" s="24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5" t="n">
        <v>2.789835</v>
      </c>
    </row>
    <row r="845">
      <c r="A845" s="24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5" t="n">
        <v>3.332428</v>
      </c>
    </row>
    <row r="846">
      <c r="A846" s="24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5" t="n">
        <v>1.576804</v>
      </c>
    </row>
    <row r="847">
      <c r="A847" s="24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5" t="n">
        <v>2.587126</v>
      </c>
    </row>
    <row r="848">
      <c r="A848" s="24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5" t="n">
        <v>1.069152</v>
      </c>
    </row>
    <row r="849">
      <c r="A849" s="24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5" t="n">
        <v>1.930039</v>
      </c>
    </row>
    <row r="850">
      <c r="A850" s="24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5" t="n">
        <v>14.238276</v>
      </c>
    </row>
    <row r="851">
      <c r="A851" s="24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5" t="n">
        <v>30.213267</v>
      </c>
    </row>
    <row r="852">
      <c r="A852" s="24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5" t="n">
        <v>24.352743</v>
      </c>
    </row>
    <row r="853">
      <c r="A853" s="24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5" t="n">
        <v>29.101419</v>
      </c>
    </row>
    <row r="854">
      <c r="A854" s="24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5" t="n">
        <v>44.795747</v>
      </c>
    </row>
    <row r="855">
      <c r="A855" s="24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5" t="n">
        <v>35.237944</v>
      </c>
    </row>
    <row r="856">
      <c r="A856" s="24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5" t="n">
        <v>24.307738</v>
      </c>
    </row>
    <row r="857">
      <c r="A857" s="24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5" t="n">
        <v>30.325798</v>
      </c>
    </row>
    <row r="858">
      <c r="A858" s="24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5" t="n">
        <v>36.842805</v>
      </c>
    </row>
    <row r="859">
      <c r="A859" s="24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5" t="n">
        <v>36.796978</v>
      </c>
    </row>
    <row r="860">
      <c r="A860" s="24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5" t="n">
        <v>29.223059</v>
      </c>
    </row>
    <row r="861">
      <c r="A861" s="24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5" t="n">
        <v>37.04817</v>
      </c>
    </row>
    <row r="862">
      <c r="A862" s="24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5" t="n">
        <v>75.89373999999999</v>
      </c>
    </row>
    <row r="863">
      <c r="A863" s="24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5" t="n">
        <v>99.779335</v>
      </c>
    </row>
    <row r="864">
      <c r="A864" s="24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5" t="n">
        <v>80.58924399999999</v>
      </c>
    </row>
    <row r="865">
      <c r="A865" s="24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5" t="n">
        <v>57.571547</v>
      </c>
    </row>
    <row r="866">
      <c r="A866" s="24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5" t="n">
        <v>44.496143</v>
      </c>
    </row>
    <row r="867">
      <c r="A867" s="24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5" t="n">
        <v>31.624881</v>
      </c>
    </row>
    <row r="868">
      <c r="A868" s="24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5" t="n">
        <v>24.906742</v>
      </c>
    </row>
    <row r="869">
      <c r="A869" s="24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5" t="n">
        <v>19.872404</v>
      </c>
    </row>
    <row r="870">
      <c r="A870" s="24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5" t="n">
        <v>15.677863</v>
      </c>
    </row>
    <row r="871">
      <c r="A871" s="24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5" t="n">
        <v>13.293767</v>
      </c>
    </row>
    <row r="872">
      <c r="A872" s="24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5" t="n">
        <v>10.796773</v>
      </c>
    </row>
    <row r="873">
      <c r="A873" s="24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5" t="n">
        <v>9.256796</v>
      </c>
    </row>
    <row r="874">
      <c r="A874" s="24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5" t="n">
        <v>7.908002</v>
      </c>
    </row>
    <row r="875">
      <c r="A875" s="24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5" t="n">
        <v>6.675837</v>
      </c>
    </row>
    <row r="876">
      <c r="A876" s="24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5" t="n">
        <v>6.012727</v>
      </c>
    </row>
    <row r="877">
      <c r="A877" s="24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5" t="n">
        <v>4.98825</v>
      </c>
    </row>
    <row r="878">
      <c r="A878" s="24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5" t="n">
        <v>4.650469</v>
      </c>
    </row>
    <row r="879">
      <c r="A879" s="24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5" t="n">
        <v>3.861313</v>
      </c>
    </row>
    <row r="880">
      <c r="A880" s="24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5" t="n">
        <v>3.609983</v>
      </c>
    </row>
    <row r="881">
      <c r="A881" s="24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5" t="n">
        <v>3.085889</v>
      </c>
    </row>
    <row r="882">
      <c r="A882" s="24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5" t="n">
        <v>2.793537</v>
      </c>
    </row>
    <row r="883">
      <c r="A883" s="24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5" t="n">
        <v>2.527745</v>
      </c>
    </row>
    <row r="884">
      <c r="A884" s="24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5" t="n">
        <v>2.152228</v>
      </c>
    </row>
    <row r="885">
      <c r="A885" s="24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5" t="n">
        <v>2.101707</v>
      </c>
    </row>
    <row r="886">
      <c r="A886" s="24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5" t="n">
        <v>1.656068</v>
      </c>
    </row>
    <row r="887">
      <c r="A887" s="24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5" t="n">
        <v>1.755794</v>
      </c>
    </row>
    <row r="888">
      <c r="A888" s="24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5" t="n">
        <v>1.281255</v>
      </c>
    </row>
    <row r="889">
      <c r="A889" s="24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5" t="n">
        <v>1.460359</v>
      </c>
    </row>
    <row r="890">
      <c r="A890" s="24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5" t="n">
        <v>1.005718</v>
      </c>
    </row>
    <row r="891">
      <c r="A891" s="24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5" t="n">
        <v>1.200239</v>
      </c>
    </row>
    <row r="892">
      <c r="A892" s="24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5" t="n">
        <v>0.808335</v>
      </c>
    </row>
    <row r="893">
      <c r="A893" s="24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5" t="n">
        <v>0.969035</v>
      </c>
    </row>
    <row r="894">
      <c r="A894" s="24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5" t="n">
        <v>0.669521</v>
      </c>
    </row>
    <row r="895">
      <c r="A895" s="24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5" t="n">
        <v>0.765053</v>
      </c>
    </row>
    <row r="896">
      <c r="A896" s="24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5" t="n">
        <v>0.572047</v>
      </c>
    </row>
    <row r="897">
      <c r="A897" s="24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5" t="n">
        <v>0.5885629999999999</v>
      </c>
    </row>
    <row r="898">
      <c r="A898" s="24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5" t="n">
        <v>0.501655</v>
      </c>
    </row>
    <row r="899">
      <c r="A899" s="24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5" t="n">
        <v>0.440097</v>
      </c>
    </row>
    <row r="900">
      <c r="A900" s="24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5" t="n">
        <v>0.447307</v>
      </c>
    </row>
    <row r="901">
      <c r="A901" s="24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5" t="n">
        <v>0.319519</v>
      </c>
    </row>
    <row r="902">
      <c r="A902" s="24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5" t="n">
        <v>0.401101</v>
      </c>
    </row>
    <row r="903">
      <c r="A903" s="24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5" t="n">
        <v>0.225648</v>
      </c>
    </row>
    <row r="904">
      <c r="A904" s="24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5" t="n">
        <v>0.357938</v>
      </c>
    </row>
    <row r="905">
      <c r="A905" s="24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5" t="n">
        <v>0.156254</v>
      </c>
    </row>
    <row r="906">
      <c r="A906" s="24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5" t="n">
        <v>0.315034</v>
      </c>
    </row>
    <row r="907">
      <c r="A907" s="24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5" t="n">
        <v>0.115861</v>
      </c>
    </row>
    <row r="908">
      <c r="A908" s="24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5" t="n">
        <v>0.270628</v>
      </c>
    </row>
    <row r="909">
      <c r="A909" s="24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5" t="n">
        <v>0.08958099999999999</v>
      </c>
    </row>
    <row r="910">
      <c r="A910" s="24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5" t="n">
        <v>0.23208</v>
      </c>
    </row>
    <row r="911">
      <c r="A911" s="24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5" t="n">
        <v>0.082357</v>
      </c>
    </row>
    <row r="912">
      <c r="A912" s="24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5" t="n">
        <v>0.192884</v>
      </c>
    </row>
    <row r="913">
      <c r="A913" s="24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5" t="n">
        <v>0.085364</v>
      </c>
    </row>
    <row r="914">
      <c r="A914" s="24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5" t="n">
        <v>0.141587</v>
      </c>
    </row>
    <row r="915">
      <c r="A915" s="24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5" t="n">
        <v>0.094157</v>
      </c>
    </row>
    <row r="916">
      <c r="A916" s="24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5" t="n">
        <v>0.086885</v>
      </c>
    </row>
    <row r="917">
      <c r="A917" s="24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5" t="n">
        <v>0.101012</v>
      </c>
    </row>
    <row r="918">
      <c r="A918" s="24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5" t="n">
        <v>0.049233</v>
      </c>
    </row>
    <row r="919">
      <c r="A919" s="24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5" t="n">
        <v>0.10128</v>
      </c>
    </row>
    <row r="920">
      <c r="A920" s="24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5" t="n">
        <v>0.031381</v>
      </c>
    </row>
    <row r="921">
      <c r="A921" s="24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5" t="n">
        <v>0.092392</v>
      </c>
    </row>
    <row r="922">
      <c r="A922" s="24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5" t="n">
        <v>6.257026</v>
      </c>
    </row>
    <row r="923">
      <c r="A923" s="24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5" t="n">
        <v>24.022769</v>
      </c>
    </row>
    <row r="924">
      <c r="A924" s="24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5" t="n">
        <v>42.650064</v>
      </c>
    </row>
    <row r="925">
      <c r="A925" s="24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5" t="n">
        <v>52.282579</v>
      </c>
    </row>
    <row r="926">
      <c r="A926" s="24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5" t="n">
        <v>54.825952</v>
      </c>
    </row>
    <row r="927">
      <c r="A927" s="24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5" t="n">
        <v>44.099617</v>
      </c>
    </row>
    <row r="928">
      <c r="A928" s="24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5" t="n">
        <v>29.448924</v>
      </c>
    </row>
    <row r="929">
      <c r="A929" s="24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5" t="n">
        <v>23.009059</v>
      </c>
    </row>
    <row r="930">
      <c r="A930" s="24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5" t="n">
        <v>17.862774</v>
      </c>
    </row>
    <row r="931">
      <c r="A931" s="24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5" t="n">
        <v>13.368847</v>
      </c>
    </row>
    <row r="932">
      <c r="A932" s="24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5" t="n">
        <v>11.518247</v>
      </c>
    </row>
    <row r="933">
      <c r="A933" s="24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5" t="n">
        <v>8.599342</v>
      </c>
    </row>
    <row r="934">
      <c r="A934" s="24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5" t="n">
        <v>7.700717</v>
      </c>
    </row>
    <row r="935">
      <c r="A935" s="24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5" t="n">
        <v>8.761481</v>
      </c>
    </row>
    <row r="936">
      <c r="A936" s="24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5" t="n">
        <v>9.175560000000001</v>
      </c>
    </row>
    <row r="937">
      <c r="A937" s="24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5" t="n">
        <v>6.510093</v>
      </c>
    </row>
    <row r="938">
      <c r="A938" s="24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5" t="n">
        <v>5.137621</v>
      </c>
    </row>
    <row r="939">
      <c r="A939" s="24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5" t="n">
        <v>4.867901</v>
      </c>
    </row>
    <row r="940">
      <c r="A940" s="24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5" t="n">
        <v>3.352755</v>
      </c>
    </row>
    <row r="941">
      <c r="A941" s="24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5" t="n">
        <v>9.308089000000001</v>
      </c>
    </row>
    <row r="942">
      <c r="A942" s="24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5" t="n">
        <v>25.613608</v>
      </c>
    </row>
    <row r="943">
      <c r="A943" s="24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5" t="n">
        <v>31.391138</v>
      </c>
    </row>
    <row r="944">
      <c r="A944" s="24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5" t="n">
        <v>20.182445</v>
      </c>
    </row>
    <row r="945">
      <c r="A945" s="24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5" t="n">
        <v>14.53075</v>
      </c>
    </row>
    <row r="946">
      <c r="A946" s="24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5" t="n">
        <v>12.04301</v>
      </c>
    </row>
    <row r="947">
      <c r="A947" s="24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5" t="n">
        <v>8.066807000000001</v>
      </c>
    </row>
    <row r="948">
      <c r="A948" s="24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5" t="n">
        <v>7.779685</v>
      </c>
    </row>
    <row r="949">
      <c r="A949" s="24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5" t="n">
        <v>5.155771</v>
      </c>
    </row>
    <row r="950">
      <c r="A950" s="24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5" t="n">
        <v>5.161609</v>
      </c>
    </row>
    <row r="951">
      <c r="A951" s="24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5" t="n">
        <v>3.708544</v>
      </c>
    </row>
    <row r="952">
      <c r="A952" s="24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5" t="n">
        <v>3.478861</v>
      </c>
    </row>
    <row r="953">
      <c r="A953" s="24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5" t="n">
        <v>2.880162</v>
      </c>
    </row>
    <row r="954">
      <c r="A954" s="24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5" t="n">
        <v>2.394353</v>
      </c>
    </row>
    <row r="955">
      <c r="A955" s="24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5" t="n">
        <v>2.312821</v>
      </c>
    </row>
    <row r="956">
      <c r="A956" s="24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5" t="n">
        <v>1.706844</v>
      </c>
    </row>
    <row r="957">
      <c r="A957" s="24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5" t="n">
        <v>1.862771</v>
      </c>
    </row>
    <row r="958">
      <c r="A958" s="24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5" t="n">
        <v>1.278397</v>
      </c>
    </row>
    <row r="959">
      <c r="A959" s="24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5" t="n">
        <v>1.480142</v>
      </c>
    </row>
    <row r="960">
      <c r="A960" s="24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5" t="n">
        <v>1.011813</v>
      </c>
    </row>
    <row r="961">
      <c r="A961" s="24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5" t="n">
        <v>1.152764</v>
      </c>
    </row>
    <row r="962">
      <c r="A962" s="24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5" t="n">
        <v>0.840027</v>
      </c>
    </row>
    <row r="963">
      <c r="A963" s="24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5" t="n">
        <v>0.880065</v>
      </c>
    </row>
    <row r="964">
      <c r="A964" s="24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5" t="n">
        <v>0.719098</v>
      </c>
    </row>
    <row r="965">
      <c r="A965" s="24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5" t="n">
        <v>0.662056</v>
      </c>
    </row>
    <row r="966">
      <c r="A966" s="24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5" t="n">
        <v>0.6224460000000001</v>
      </c>
    </row>
    <row r="967">
      <c r="A967" s="24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5" t="n">
        <v>0.495739</v>
      </c>
    </row>
    <row r="968">
      <c r="A968" s="24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5" t="n">
        <v>0.535886</v>
      </c>
    </row>
    <row r="969">
      <c r="A969" s="24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5" t="n">
        <v>0.374919</v>
      </c>
    </row>
    <row r="970">
      <c r="A970" s="24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5" t="n">
        <v>0.453472</v>
      </c>
    </row>
    <row r="971">
      <c r="A971" s="24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5" t="n">
        <v>0.291318</v>
      </c>
    </row>
    <row r="972">
      <c r="A972" s="24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5" t="n">
        <v>0.374205</v>
      </c>
    </row>
    <row r="973">
      <c r="A973" s="24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5" t="n">
        <v>0.235932</v>
      </c>
    </row>
    <row r="974">
      <c r="A974" s="24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5" t="n">
        <v>0.299585</v>
      </c>
    </row>
    <row r="975">
      <c r="A975" s="24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5" t="n">
        <v>0.200188</v>
      </c>
    </row>
    <row r="976">
      <c r="A976" s="24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5" t="n">
        <v>0.231942</v>
      </c>
    </row>
    <row r="977">
      <c r="A977" s="24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5" t="n">
        <v>0.176716</v>
      </c>
    </row>
    <row r="978">
      <c r="A978" s="24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5" t="n">
        <v>8.582186</v>
      </c>
    </row>
    <row r="979">
      <c r="A979" s="24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5" t="n">
        <v>12.173325</v>
      </c>
    </row>
    <row r="980">
      <c r="A980" s="24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5" t="n">
        <v>6.264409</v>
      </c>
    </row>
    <row r="981">
      <c r="A981" s="24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5" t="n">
        <v>4.429935</v>
      </c>
    </row>
    <row r="982">
      <c r="A982" s="24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5" t="n">
        <v>4.29947</v>
      </c>
    </row>
    <row r="983">
      <c r="A983" s="24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5" t="n">
        <v>1.962659</v>
      </c>
    </row>
    <row r="984">
      <c r="A984" s="24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5" t="n">
        <v>2.807231</v>
      </c>
    </row>
    <row r="985">
      <c r="A985" s="24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5" t="n">
        <v>1.251796</v>
      </c>
    </row>
    <row r="986">
      <c r="A986" s="24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5" t="n">
        <v>1.641858</v>
      </c>
    </row>
    <row r="987">
      <c r="A987" s="24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5" t="n">
        <v>1.104351</v>
      </c>
    </row>
    <row r="988">
      <c r="A988" s="24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5" t="n">
        <v>0.842011</v>
      </c>
    </row>
    <row r="989">
      <c r="A989" s="24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5" t="n">
        <v>1.055038</v>
      </c>
    </row>
    <row r="990">
      <c r="A990" s="24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5" t="n">
        <v>0.37721</v>
      </c>
    </row>
    <row r="991">
      <c r="A991" s="24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5" t="n">
        <v>0.951106</v>
      </c>
    </row>
    <row r="992">
      <c r="A992" s="24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5" t="n">
        <v>0.219184</v>
      </c>
    </row>
    <row r="993">
      <c r="A993" s="24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5" t="n">
        <v>0.738276</v>
      </c>
    </row>
    <row r="994">
      <c r="A994" s="24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5" t="n">
        <v>0.253185</v>
      </c>
    </row>
    <row r="995">
      <c r="A995" s="24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5" t="n">
        <v>6.077625</v>
      </c>
    </row>
    <row r="996">
      <c r="A996" s="24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5" t="n">
        <v>14.100165</v>
      </c>
    </row>
    <row r="997">
      <c r="A997" s="24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5" t="n">
        <v>12.71319</v>
      </c>
    </row>
    <row r="998">
      <c r="A998" s="24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5" t="n">
        <v>7.399909</v>
      </c>
    </row>
    <row r="999">
      <c r="A999" s="24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5" t="n">
        <v>5.920288</v>
      </c>
    </row>
    <row r="1000">
      <c r="A1000" s="24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5" t="n">
        <v>4.458693</v>
      </c>
    </row>
    <row r="1001">
      <c r="A1001" s="24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5" t="n">
        <v>3.131291</v>
      </c>
    </row>
    <row r="1002">
      <c r="A1002" s="24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5" t="n">
        <v>2.989598</v>
      </c>
    </row>
    <row r="1003">
      <c r="A1003" s="24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5" t="n">
        <v>1.817725</v>
      </c>
    </row>
    <row r="1004">
      <c r="A1004" s="24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5" t="n">
        <v>5.261388</v>
      </c>
    </row>
    <row r="1005">
      <c r="A1005" s="24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5" t="n">
        <v>7.624028</v>
      </c>
    </row>
    <row r="1006">
      <c r="A1006" s="24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5" t="n">
        <v>6.52998</v>
      </c>
    </row>
    <row r="1007">
      <c r="A1007" s="24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5" t="n">
        <v>3.872303</v>
      </c>
    </row>
    <row r="1008">
      <c r="A1008" s="24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5" t="n">
        <v>3.60422</v>
      </c>
    </row>
    <row r="1009">
      <c r="A1009" s="24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5" t="n">
        <v>2.342365</v>
      </c>
    </row>
    <row r="1010">
      <c r="A1010" s="24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5" t="n">
        <v>2.173323</v>
      </c>
    </row>
    <row r="1011">
      <c r="A1011" s="24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5" t="n">
        <v>1.651125</v>
      </c>
    </row>
    <row r="1012">
      <c r="A1012" s="24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5" t="n">
        <v>1.349424</v>
      </c>
    </row>
    <row r="1013">
      <c r="A1013" s="24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5" t="n">
        <v>7.501126</v>
      </c>
    </row>
    <row r="1014">
      <c r="A1014" s="24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5" t="n">
        <v>11.49064</v>
      </c>
    </row>
    <row r="1015">
      <c r="A1015" s="24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5" t="n">
        <v>10.379992</v>
      </c>
    </row>
    <row r="1016">
      <c r="A1016" s="24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5" t="n">
        <v>8.315732000000001</v>
      </c>
    </row>
    <row r="1017">
      <c r="A1017" s="24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5" t="n">
        <v>6.536563</v>
      </c>
    </row>
    <row r="1018">
      <c r="A1018" s="24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5" t="n">
        <v>3.792979</v>
      </c>
    </row>
    <row r="1019">
      <c r="A1019" s="24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5" t="n">
        <v>4.251492</v>
      </c>
    </row>
    <row r="1020">
      <c r="A1020" s="24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5" t="n">
        <v>2.197921</v>
      </c>
    </row>
    <row r="1021">
      <c r="A1021" s="24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5" t="n">
        <v>2.71402</v>
      </c>
    </row>
    <row r="1022">
      <c r="A1022" s="24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5" t="n">
        <v>1.616296</v>
      </c>
    </row>
    <row r="1023">
      <c r="A1023" s="24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5" t="n">
        <v>3.584892</v>
      </c>
    </row>
    <row r="1024">
      <c r="A1024" s="24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5" t="n">
        <v>4.105818</v>
      </c>
    </row>
    <row r="1025">
      <c r="A1025" s="24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5" t="n">
        <v>2.39953</v>
      </c>
    </row>
    <row r="1026">
      <c r="A1026" s="24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5" t="n">
        <v>2.15628</v>
      </c>
    </row>
    <row r="1027">
      <c r="A1027" s="24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5" t="n">
        <v>1.577567</v>
      </c>
    </row>
    <row r="1028">
      <c r="A1028" s="24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5" t="n">
        <v>1.40083</v>
      </c>
    </row>
    <row r="1029">
      <c r="A1029" s="24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5" t="n">
        <v>1.054704</v>
      </c>
    </row>
    <row r="1030">
      <c r="A1030" s="24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5" t="n">
        <v>1.031841</v>
      </c>
    </row>
    <row r="1031">
      <c r="A1031" s="24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5" t="n">
        <v>0.7195279999999999</v>
      </c>
    </row>
    <row r="1032">
      <c r="A1032" s="24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5" t="n">
        <v>0.796603</v>
      </c>
    </row>
    <row r="1033">
      <c r="A1033" s="24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5" t="n">
        <v>0.521858</v>
      </c>
    </row>
    <row r="1034">
      <c r="A1034" s="24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5" t="n">
        <v>4.927795</v>
      </c>
    </row>
    <row r="1035">
      <c r="A1035" s="24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5" t="n">
        <v>17.688781</v>
      </c>
    </row>
    <row r="1036">
      <c r="A1036" s="24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5" t="n">
        <v>19.465937</v>
      </c>
    </row>
    <row r="1037">
      <c r="A1037" s="24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5" t="n">
        <v>10.667385</v>
      </c>
    </row>
    <row r="1038">
      <c r="A1038" s="24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5" t="n">
        <v>8.136316000000001</v>
      </c>
    </row>
    <row r="1039">
      <c r="A1039" s="24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5" t="n">
        <v>6.828401</v>
      </c>
    </row>
    <row r="1040">
      <c r="A1040" s="24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5" t="n">
        <v>4.042561</v>
      </c>
    </row>
    <row r="1041">
      <c r="A1041" s="24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5" t="n">
        <v>4.505066</v>
      </c>
    </row>
    <row r="1042">
      <c r="A1042" s="24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5" t="n">
        <v>2.465633</v>
      </c>
    </row>
    <row r="1043">
      <c r="A1043" s="24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5" t="n">
        <v>2.884738</v>
      </c>
    </row>
    <row r="1044">
      <c r="A1044" s="24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5" t="n">
        <v>1.84848</v>
      </c>
    </row>
    <row r="1045">
      <c r="A1045" s="24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5" t="n">
        <v>1.779532</v>
      </c>
    </row>
    <row r="1046">
      <c r="A1046" s="24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5" t="n">
        <v>1.555501</v>
      </c>
    </row>
    <row r="1047">
      <c r="A1047" s="24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5" t="n">
        <v>1.075289</v>
      </c>
    </row>
    <row r="1048">
      <c r="A1048" s="24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5" t="n">
        <v>1.337494</v>
      </c>
    </row>
    <row r="1049">
      <c r="A1049" s="24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5" t="n">
        <v>0.66728</v>
      </c>
    </row>
    <row r="1050">
      <c r="A1050" s="24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5" t="n">
        <v>1.117076</v>
      </c>
    </row>
    <row r="1051">
      <c r="A1051" s="24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5" t="n">
        <v>0.45903</v>
      </c>
    </row>
    <row r="1052">
      <c r="A1052" s="24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5" t="n">
        <v>0.888042</v>
      </c>
    </row>
    <row r="1053">
      <c r="A1053" s="24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5" t="n">
        <v>0.370776</v>
      </c>
    </row>
    <row r="1054">
      <c r="A1054" s="24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5" t="n">
        <v>0.667235</v>
      </c>
    </row>
    <row r="1055">
      <c r="A1055" s="24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5" t="n">
        <v>0.343293</v>
      </c>
    </row>
    <row r="1056">
      <c r="A1056" s="24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5" t="n">
        <v>0.472877</v>
      </c>
    </row>
    <row r="1057">
      <c r="A1057" s="24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5" t="n">
        <v>0.337297</v>
      </c>
    </row>
    <row r="1058">
      <c r="A1058" s="24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5" t="n">
        <v>0.316553</v>
      </c>
    </row>
    <row r="1059">
      <c r="A1059" s="24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5" t="n">
        <v>0.330217</v>
      </c>
    </row>
    <row r="1060">
      <c r="A1060" s="24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5" t="n">
        <v>2.338162</v>
      </c>
    </row>
    <row r="1061">
      <c r="A1061" s="24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5" t="n">
        <v>18.155146</v>
      </c>
    </row>
    <row r="1062">
      <c r="A1062" s="24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5" t="n">
        <v>29.170986</v>
      </c>
    </row>
    <row r="1063">
      <c r="A1063" s="24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5" t="n">
        <v>21.244866</v>
      </c>
    </row>
    <row r="1064">
      <c r="A1064" s="24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5" t="n">
        <v>13.327482</v>
      </c>
    </row>
    <row r="1065">
      <c r="A1065" s="24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5" t="n">
        <v>11.34985</v>
      </c>
    </row>
    <row r="1066">
      <c r="A1066" s="24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5" t="n">
        <v>7.16413</v>
      </c>
    </row>
    <row r="1067">
      <c r="A1067" s="24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5" t="n">
        <v>6.695786</v>
      </c>
    </row>
    <row r="1068">
      <c r="A1068" s="24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5" t="n">
        <v>4.537528</v>
      </c>
    </row>
    <row r="1069">
      <c r="A1069" s="24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5" t="n">
        <v>4.071883</v>
      </c>
    </row>
    <row r="1070">
      <c r="A1070" s="24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5" t="n">
        <v>7.57124</v>
      </c>
    </row>
    <row r="1071">
      <c r="A1071" s="24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5" t="n">
        <v>24.110619</v>
      </c>
    </row>
    <row r="1072">
      <c r="A1072" s="24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5" t="n">
        <v>38.204798</v>
      </c>
    </row>
    <row r="1073">
      <c r="A1073" s="24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5" t="n">
        <v>29.753641</v>
      </c>
    </row>
    <row r="1074">
      <c r="A1074" s="24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5" t="n">
        <v>19.216208</v>
      </c>
    </row>
    <row r="1075">
      <c r="A1075" s="24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5" t="n">
        <v>15.124211</v>
      </c>
    </row>
    <row r="1076">
      <c r="A1076" s="24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5" t="n">
        <v>11.547151</v>
      </c>
    </row>
    <row r="1077">
      <c r="A1077" s="24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5" t="n">
        <v>8.691153999999999</v>
      </c>
    </row>
    <row r="1078">
      <c r="A1078" s="24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5" t="n">
        <v>7.526254</v>
      </c>
    </row>
    <row r="1079">
      <c r="A1079" s="24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5" t="n">
        <v>10.572412</v>
      </c>
    </row>
    <row r="1080">
      <c r="A1080" s="24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5" t="n">
        <v>12.291808</v>
      </c>
    </row>
    <row r="1081">
      <c r="A1081" s="24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5" t="n">
        <v>7.561092</v>
      </c>
    </row>
    <row r="1082">
      <c r="A1082" s="24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5" t="n">
        <v>17.499092</v>
      </c>
    </row>
    <row r="1083">
      <c r="A1083" s="24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5" t="n">
        <v>21.769666</v>
      </c>
    </row>
    <row r="1084">
      <c r="A1084" s="24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5" t="n">
        <v>11.89681</v>
      </c>
    </row>
    <row r="1085">
      <c r="A1085" s="24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5" t="n">
        <v>9.798546999999999</v>
      </c>
    </row>
    <row r="1086">
      <c r="A1086" s="24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5" t="n">
        <v>8.158588</v>
      </c>
    </row>
    <row r="1087">
      <c r="A1087" s="24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5" t="n">
        <v>12.911345</v>
      </c>
    </row>
    <row r="1088">
      <c r="A1088" s="24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5" t="n">
        <v>25.199469</v>
      </c>
    </row>
    <row r="1089">
      <c r="A1089" s="24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5" t="n">
        <v>22.636883</v>
      </c>
    </row>
    <row r="1090">
      <c r="A1090" s="24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5" t="n">
        <v>15.469273</v>
      </c>
    </row>
    <row r="1091">
      <c r="A1091" s="24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5" t="n">
        <v>11.811638</v>
      </c>
    </row>
    <row r="1092">
      <c r="A1092" s="24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5" t="n">
        <v>8.986185000000001</v>
      </c>
    </row>
    <row r="1093">
      <c r="A1093" s="24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5" t="n">
        <v>7.267297</v>
      </c>
    </row>
    <row r="1094">
      <c r="A1094" s="24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5" t="n">
        <v>5.687029</v>
      </c>
    </row>
    <row r="1095">
      <c r="A1095" s="24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5" t="n">
        <v>16.836866</v>
      </c>
    </row>
    <row r="1096">
      <c r="A1096" s="24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5" t="n">
        <v>21.24345</v>
      </c>
    </row>
    <row r="1097">
      <c r="A1097" s="24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5" t="n">
        <v>12.914535</v>
      </c>
    </row>
    <row r="1098">
      <c r="A1098" s="24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5" t="n">
        <v>9.066349000000001</v>
      </c>
    </row>
    <row r="1099">
      <c r="A1099" s="24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5" t="n">
        <v>8.854221000000001</v>
      </c>
    </row>
    <row r="1100">
      <c r="A1100" s="24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5" t="n">
        <v>4.859599</v>
      </c>
    </row>
    <row r="1101">
      <c r="A1101" s="24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5" t="n">
        <v>5.95814</v>
      </c>
    </row>
    <row r="1102">
      <c r="A1102" s="24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5" t="n">
        <v>3.398802</v>
      </c>
    </row>
    <row r="1103">
      <c r="A1103" s="24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5" t="n">
        <v>8.273479</v>
      </c>
    </row>
    <row r="1104">
      <c r="A1104" s="24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5" t="n">
        <v>12.407743</v>
      </c>
    </row>
    <row r="1105">
      <c r="A1105" s="24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5" t="n">
        <v>9.938397</v>
      </c>
    </row>
    <row r="1106">
      <c r="A1106" s="24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5" t="n">
        <v>7.155501</v>
      </c>
    </row>
    <row r="1107">
      <c r="A1107" s="24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5" t="n">
        <v>5.119533</v>
      </c>
    </row>
    <row r="1108">
      <c r="A1108" s="24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5" t="n">
        <v>4.825599</v>
      </c>
    </row>
    <row r="1109">
      <c r="A1109" s="24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5" t="n">
        <v>2.927183</v>
      </c>
    </row>
    <row r="1110">
      <c r="A1110" s="24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5" t="n">
        <v>3.528355</v>
      </c>
    </row>
    <row r="1111">
      <c r="A1111" s="24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5" t="n">
        <v>1.850906</v>
      </c>
    </row>
    <row r="1112">
      <c r="A1112" s="24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5" t="n">
        <v>2.603945</v>
      </c>
    </row>
    <row r="1113">
      <c r="A1113" s="24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5" t="n">
        <v>7.114662</v>
      </c>
    </row>
    <row r="1114">
      <c r="A1114" s="24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5" t="n">
        <v>10.803422</v>
      </c>
    </row>
    <row r="1115">
      <c r="A1115" s="24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5" t="n">
        <v>6.340835</v>
      </c>
    </row>
    <row r="1116">
      <c r="A1116" s="24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5" t="n">
        <v>4.723186</v>
      </c>
    </row>
    <row r="1117">
      <c r="A1117" s="24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5" t="n">
        <v>4.295842</v>
      </c>
    </row>
    <row r="1118">
      <c r="A1118" s="24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5" t="n">
        <v>2.420571</v>
      </c>
    </row>
    <row r="1119">
      <c r="A1119" s="24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5" t="n">
        <v>3.040479</v>
      </c>
    </row>
    <row r="1120">
      <c r="A1120" s="24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5" t="n">
        <v>1.486723</v>
      </c>
    </row>
    <row r="1121">
      <c r="A1121" s="24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5" t="n">
        <v>2.211538</v>
      </c>
    </row>
    <row r="1122">
      <c r="A1122" s="24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5" t="n">
        <v>2.73302</v>
      </c>
    </row>
    <row r="1123">
      <c r="A1123" s="24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5" t="n">
        <v>6.229912</v>
      </c>
    </row>
    <row r="1124">
      <c r="A1124" s="24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5" t="n">
        <v>5.559395</v>
      </c>
    </row>
    <row r="1125">
      <c r="A1125" s="24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5" t="n">
        <v>3.689921</v>
      </c>
    </row>
    <row r="1126">
      <c r="A1126" s="24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5" t="n">
        <v>2.765571</v>
      </c>
    </row>
    <row r="1127">
      <c r="A1127" s="24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5" t="n">
        <v>2.373899</v>
      </c>
    </row>
    <row r="1128">
      <c r="A1128" s="24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5" t="n">
        <v>1.643057</v>
      </c>
    </row>
    <row r="1129">
      <c r="A1129" s="24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5" t="n">
        <v>7.955677</v>
      </c>
    </row>
    <row r="1130">
      <c r="A1130" s="24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5" t="n">
        <v>10.169357</v>
      </c>
    </row>
    <row r="1131">
      <c r="A1131" s="24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5" t="n">
        <v>5.749341</v>
      </c>
    </row>
    <row r="1132">
      <c r="A1132" s="24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5" t="n">
        <v>15.800686</v>
      </c>
    </row>
    <row r="1133">
      <c r="A1133" s="24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5" t="n">
        <v>22.21165</v>
      </c>
    </row>
    <row r="1134">
      <c r="A1134" s="24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5" t="n">
        <v>16.806661</v>
      </c>
    </row>
    <row r="1135">
      <c r="A1135" s="24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5" t="n">
        <v>22.040377</v>
      </c>
    </row>
    <row r="1136">
      <c r="A1136" s="24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5" t="n">
        <v>35.184229</v>
      </c>
    </row>
    <row r="1137">
      <c r="A1137" s="24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5" t="n">
        <v>32.955771</v>
      </c>
    </row>
    <row r="1138">
      <c r="A1138" s="24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5" t="n">
        <v>21.632857</v>
      </c>
    </row>
    <row r="1139">
      <c r="A1139" s="24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5" t="n">
        <v>26.58852</v>
      </c>
    </row>
    <row r="1140">
      <c r="A1140" s="24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5" t="n">
        <v>31.222623</v>
      </c>
    </row>
    <row r="1141">
      <c r="A1141" s="24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5" t="n">
        <v>17.436239</v>
      </c>
    </row>
    <row r="1142">
      <c r="A1142" s="24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5" t="n">
        <v>15.203822</v>
      </c>
    </row>
    <row r="1143">
      <c r="A1143" s="24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5" t="n">
        <v>11.699721</v>
      </c>
    </row>
    <row r="1144">
      <c r="A1144" s="24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5" t="n">
        <v>8.324856</v>
      </c>
    </row>
    <row r="1145">
      <c r="A1145" s="24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5" t="n">
        <v>22.10379</v>
      </c>
    </row>
    <row r="1146">
      <c r="A1146" s="24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5" t="n">
        <v>32.019568</v>
      </c>
    </row>
    <row r="1147">
      <c r="A1147" s="24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5" t="n">
        <v>38.712492</v>
      </c>
    </row>
    <row r="1148">
      <c r="A1148" s="24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5" t="n">
        <v>48.955918</v>
      </c>
    </row>
    <row r="1149">
      <c r="A1149" s="24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5" t="n">
        <v>56.712161</v>
      </c>
    </row>
    <row r="1150">
      <c r="A1150" s="24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5" t="n">
        <v>42.336847</v>
      </c>
    </row>
    <row r="1151">
      <c r="A1151" s="24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5" t="n">
        <v>30.652649</v>
      </c>
    </row>
    <row r="1152">
      <c r="A1152" s="24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5" t="n">
        <v>22.695838</v>
      </c>
    </row>
    <row r="1153">
      <c r="A1153" s="24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5" t="n">
        <v>24.625601</v>
      </c>
    </row>
    <row r="1154">
      <c r="A1154" s="24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5" t="n">
        <v>22.967828</v>
      </c>
    </row>
    <row r="1155">
      <c r="A1155" s="24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5" t="n">
        <v>16.128013</v>
      </c>
    </row>
    <row r="1156">
      <c r="A1156" s="24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5" t="n">
        <v>13.078842</v>
      </c>
    </row>
    <row r="1157">
      <c r="A1157" s="24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5" t="n">
        <v>10.631052</v>
      </c>
    </row>
    <row r="1158">
      <c r="A1158" s="24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5" t="n">
        <v>8.809737</v>
      </c>
    </row>
    <row r="1159">
      <c r="A1159" s="24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5" t="n">
        <v>7.120354</v>
      </c>
    </row>
    <row r="1160">
      <c r="A1160" s="24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5" t="n">
        <v>6.582185</v>
      </c>
    </row>
    <row r="1161">
      <c r="A1161" s="24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5" t="n">
        <v>4.866583</v>
      </c>
    </row>
    <row r="1162">
      <c r="A1162" s="24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5" t="n">
        <v>5.134472</v>
      </c>
    </row>
    <row r="1163">
      <c r="A1163" s="24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5" t="n">
        <v>3.495139</v>
      </c>
    </row>
    <row r="1164">
      <c r="A1164" s="24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5" t="n">
        <v>3.993892</v>
      </c>
    </row>
    <row r="1165">
      <c r="A1165" s="24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5" t="n">
        <v>2.713565</v>
      </c>
    </row>
    <row r="1166">
      <c r="A1166" s="24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5" t="n">
        <v>3.014594</v>
      </c>
    </row>
    <row r="1167">
      <c r="A1167" s="24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5" t="n">
        <v>8.752473</v>
      </c>
    </row>
    <row r="1168">
      <c r="A1168" s="24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5" t="n">
        <v>18.761858</v>
      </c>
    </row>
    <row r="1169">
      <c r="A1169" s="24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5" t="n">
        <v>17.267315</v>
      </c>
    </row>
    <row r="1170">
      <c r="A1170" s="24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5" t="n">
        <v>13.739738</v>
      </c>
    </row>
    <row r="1171">
      <c r="A1171" s="24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5" t="n">
        <v>17.06316</v>
      </c>
    </row>
    <row r="1172">
      <c r="A1172" s="24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5" t="n">
        <v>20.394056</v>
      </c>
    </row>
    <row r="1173">
      <c r="A1173" s="24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5" t="n">
        <v>28.903082</v>
      </c>
    </row>
    <row r="1174">
      <c r="A1174" s="24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5" t="n">
        <v>25.444325</v>
      </c>
    </row>
    <row r="1175">
      <c r="A1175" s="24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5" t="n">
        <v>16.324894</v>
      </c>
    </row>
    <row r="1176">
      <c r="A1176" s="24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5" t="n">
        <v>12.672501</v>
      </c>
    </row>
    <row r="1177">
      <c r="A1177" s="24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5" t="n">
        <v>10.344335</v>
      </c>
    </row>
    <row r="1178">
      <c r="A1178" s="24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5" t="n">
        <v>10.181874</v>
      </c>
    </row>
    <row r="1179">
      <c r="A1179" s="24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5" t="n">
        <v>11.280816</v>
      </c>
    </row>
    <row r="1180">
      <c r="A1180" s="24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5" t="n">
        <v>6.778782</v>
      </c>
    </row>
    <row r="1181">
      <c r="A1181" s="24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5" t="n">
        <v>6.425048</v>
      </c>
    </row>
    <row r="1182">
      <c r="A1182" s="24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5" t="n">
        <v>4.800386</v>
      </c>
    </row>
    <row r="1183">
      <c r="A1183" s="24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5" t="n">
        <v>4.067882</v>
      </c>
    </row>
    <row r="1184">
      <c r="A1184" s="24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5" t="n">
        <v>3.595746</v>
      </c>
    </row>
    <row r="1185">
      <c r="A1185" s="24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5" t="n">
        <v>2.75526</v>
      </c>
    </row>
    <row r="1186">
      <c r="A1186" s="24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5" t="n">
        <v>2.779443</v>
      </c>
    </row>
    <row r="1187">
      <c r="A1187" s="24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5" t="n">
        <v>3.188576</v>
      </c>
    </row>
    <row r="1188">
      <c r="A1188" s="24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5" t="n">
        <v>3.971536</v>
      </c>
    </row>
    <row r="1189">
      <c r="A1189" s="24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5" t="n">
        <v>2.319845</v>
      </c>
    </row>
    <row r="1190">
      <c r="A1190" s="24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5" t="n">
        <v>2.417686</v>
      </c>
    </row>
    <row r="1191">
      <c r="A1191" s="24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5" t="n">
        <v>1.658451</v>
      </c>
    </row>
    <row r="1192">
      <c r="A1192" s="24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5" t="n">
        <v>1.742613</v>
      </c>
    </row>
    <row r="1193">
      <c r="A1193" s="24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5" t="n">
        <v>13.171903</v>
      </c>
    </row>
    <row r="1194">
      <c r="A1194" s="24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5" t="n">
        <v>19.417076</v>
      </c>
    </row>
    <row r="1195">
      <c r="A1195" s="24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5" t="n">
        <v>10.778667</v>
      </c>
    </row>
    <row r="1196">
      <c r="A1196" s="24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5" t="n">
        <v>7.871913</v>
      </c>
    </row>
    <row r="1197">
      <c r="A1197" s="24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5" t="n">
        <v>7.0089</v>
      </c>
    </row>
    <row r="1198">
      <c r="A1198" s="24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5" t="n">
        <v>10.377593</v>
      </c>
    </row>
    <row r="1199">
      <c r="A1199" s="24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5" t="n">
        <v>13.581801</v>
      </c>
    </row>
    <row r="1200">
      <c r="A1200" s="24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5" t="n">
        <v>8.424848000000001</v>
      </c>
    </row>
    <row r="1201">
      <c r="A1201" s="24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5" t="n">
        <v>7.506212</v>
      </c>
    </row>
    <row r="1202">
      <c r="A1202" s="24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5" t="n">
        <v>6.187555</v>
      </c>
    </row>
    <row r="1203">
      <c r="A1203" s="24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5" t="n">
        <v>16.72997</v>
      </c>
    </row>
    <row r="1204">
      <c r="A1204" s="24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5" t="n">
        <v>38.772221</v>
      </c>
    </row>
    <row r="1205">
      <c r="A1205" s="24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5" t="n">
        <v>47.622871</v>
      </c>
    </row>
    <row r="1206">
      <c r="A1206" s="24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5" t="n">
        <v>43.798543</v>
      </c>
    </row>
    <row r="1207">
      <c r="A1207" s="24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5" t="n">
        <v>34.422727</v>
      </c>
    </row>
    <row r="1208">
      <c r="A1208" s="24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5" t="n">
        <v>43.285953</v>
      </c>
    </row>
    <row r="1209">
      <c r="A1209" s="24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5" t="n">
        <v>48.117552</v>
      </c>
    </row>
    <row r="1210">
      <c r="A1210" s="24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5" t="n">
        <v>33.430553</v>
      </c>
    </row>
    <row r="1211">
      <c r="A1211" s="24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5" t="n">
        <v>24.982146</v>
      </c>
    </row>
    <row r="1212">
      <c r="A1212" s="24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5" t="n">
        <v>19.295981</v>
      </c>
    </row>
    <row r="1213">
      <c r="A1213" s="24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5" t="n">
        <v>15.074696</v>
      </c>
    </row>
    <row r="1214">
      <c r="A1214" s="24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5" t="n">
        <v>12.207559</v>
      </c>
    </row>
    <row r="1215">
      <c r="A1215" s="24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5" t="n">
        <v>16.189616</v>
      </c>
    </row>
    <row r="1216">
      <c r="A1216" s="24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5" t="n">
        <v>17.018789</v>
      </c>
    </row>
    <row r="1217">
      <c r="A1217" s="24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5" t="n">
        <v>11.634195</v>
      </c>
    </row>
    <row r="1218">
      <c r="A1218" s="24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5" t="n">
        <v>11.044841</v>
      </c>
    </row>
    <row r="1219">
      <c r="A1219" s="24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5" t="n">
        <v>20.804847</v>
      </c>
    </row>
    <row r="1220">
      <c r="A1220" s="24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5" t="n">
        <v>21.893569</v>
      </c>
    </row>
    <row r="1221">
      <c r="A1221" s="24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5" t="n">
        <v>17.81266</v>
      </c>
    </row>
    <row r="1222">
      <c r="A1222" s="24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5" t="n">
        <v>13.091615</v>
      </c>
    </row>
    <row r="1223">
      <c r="A1223" s="24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5" t="n">
        <v>24.494296</v>
      </c>
    </row>
    <row r="1224">
      <c r="A1224" s="24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5" t="n">
        <v>32.851497</v>
      </c>
    </row>
    <row r="1225">
      <c r="A1225" s="24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5" t="n">
        <v>32.6057</v>
      </c>
    </row>
    <row r="1226">
      <c r="A1226" s="24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5" t="n">
        <v>25.285302</v>
      </c>
    </row>
    <row r="1227">
      <c r="A1227" s="24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5" t="n">
        <v>19.322426</v>
      </c>
    </row>
    <row r="1228">
      <c r="A1228" s="24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5" t="n">
        <v>13.404216</v>
      </c>
    </row>
    <row r="1229">
      <c r="A1229" s="24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5" t="n">
        <v>24.586938</v>
      </c>
    </row>
    <row r="1230">
      <c r="A1230" s="24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5" t="n">
        <v>42.055138</v>
      </c>
    </row>
    <row r="1231">
      <c r="A1231" s="24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5" t="n">
        <v>53.711853</v>
      </c>
    </row>
    <row r="1232">
      <c r="A1232" s="24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5" t="n">
        <v>59.269148</v>
      </c>
    </row>
    <row r="1233">
      <c r="A1233" s="24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5" t="n">
        <v>48.644836</v>
      </c>
    </row>
    <row r="1234">
      <c r="A1234" s="24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5" t="n">
        <v>32.747806</v>
      </c>
    </row>
    <row r="1235">
      <c r="A1235" s="24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5" t="n">
        <v>25.139003</v>
      </c>
    </row>
    <row r="1236">
      <c r="A1236" s="24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5" t="n">
        <v>21.041739</v>
      </c>
    </row>
    <row r="1237">
      <c r="A1237" s="24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5" t="n">
        <v>14.537248</v>
      </c>
    </row>
    <row r="1238">
      <c r="A1238" s="24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5" t="n">
        <v>14.259633</v>
      </c>
    </row>
    <row r="1239">
      <c r="A1239" s="24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5" t="n">
        <v>9.463604999999999</v>
      </c>
    </row>
    <row r="1240">
      <c r="A1240" s="24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5" t="n">
        <v>9.805857</v>
      </c>
    </row>
    <row r="1241">
      <c r="A1241" s="24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5" t="n">
        <v>6.918461</v>
      </c>
    </row>
    <row r="1242">
      <c r="A1242" s="24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5" t="n">
        <v>6.740504</v>
      </c>
    </row>
    <row r="1243">
      <c r="A1243" s="24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5" t="n">
        <v>5.509912</v>
      </c>
    </row>
    <row r="1244">
      <c r="A1244" s="24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5" t="n">
        <v>4.629458</v>
      </c>
    </row>
    <row r="1245">
      <c r="A1245" s="24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5" t="n">
        <v>4.582087</v>
      </c>
    </row>
    <row r="1246">
      <c r="A1246" s="24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5" t="n">
        <v>3.212351</v>
      </c>
    </row>
    <row r="1247">
      <c r="A1247" s="24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5" t="n">
        <v>3.840241</v>
      </c>
    </row>
    <row r="1248">
      <c r="A1248" s="24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5" t="n">
        <v>2.300093</v>
      </c>
    </row>
    <row r="1249">
      <c r="A1249" s="24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5" t="n">
        <v>3.170374</v>
      </c>
    </row>
    <row r="1250">
      <c r="A1250" s="24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5" t="n">
        <v>1.742995</v>
      </c>
    </row>
    <row r="1251">
      <c r="A1251" s="24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5" t="n">
        <v>2.544423</v>
      </c>
    </row>
    <row r="1252">
      <c r="A1252" s="24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5" t="n">
        <v>1.421384</v>
      </c>
    </row>
    <row r="1253">
      <c r="A1253" s="24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5" t="n">
        <v>1.969866</v>
      </c>
    </row>
    <row r="1254">
      <c r="A1254" s="24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5" t="n">
        <v>16.689228</v>
      </c>
    </row>
    <row r="1255">
      <c r="A1255" s="24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5" t="n">
        <v>38.544116</v>
      </c>
    </row>
    <row r="1256">
      <c r="A1256" s="24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5" t="n">
        <v>46.860612</v>
      </c>
    </row>
    <row r="1257">
      <c r="A1257" s="24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5" t="n">
        <v>43.208082</v>
      </c>
    </row>
    <row r="1258">
      <c r="A1258" s="24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5" t="n">
        <v>48.011636</v>
      </c>
    </row>
    <row r="1259">
      <c r="A1259" s="24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5" t="n">
        <v>58.896085</v>
      </c>
    </row>
    <row r="1260">
      <c r="A1260" s="24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5" t="n">
        <v>93.716443</v>
      </c>
    </row>
    <row r="1261">
      <c r="A1261" s="24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5" t="n">
        <v>161.046925</v>
      </c>
    </row>
    <row r="1262">
      <c r="A1262" s="24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5" t="n">
        <v>175.177963</v>
      </c>
    </row>
    <row r="1263">
      <c r="A1263" s="24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5" t="n">
        <v>108.731421</v>
      </c>
    </row>
    <row r="1264">
      <c r="A1264" s="24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5" t="n">
        <v>78.70686600000001</v>
      </c>
    </row>
    <row r="1265">
      <c r="A1265" s="24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5" t="n">
        <v>70.894345</v>
      </c>
    </row>
    <row r="1266">
      <c r="A1266" s="24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5" t="n">
        <v>48.816757</v>
      </c>
    </row>
    <row r="1267">
      <c r="A1267" s="24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5" t="n">
        <v>37.943356</v>
      </c>
    </row>
    <row r="1268">
      <c r="A1268" s="24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5" t="n">
        <v>29.5547</v>
      </c>
    </row>
    <row r="1269">
      <c r="A1269" s="24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5" t="n">
        <v>23.112258</v>
      </c>
    </row>
    <row r="1270">
      <c r="A1270" s="24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5" t="n">
        <v>25.44878</v>
      </c>
    </row>
    <row r="1271">
      <c r="A1271" s="24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5" t="n">
        <v>24.070775</v>
      </c>
    </row>
    <row r="1272">
      <c r="A1272" s="24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5" t="n">
        <v>17.800356</v>
      </c>
    </row>
    <row r="1273">
      <c r="A1273" s="24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5" t="n">
        <v>14.133089</v>
      </c>
    </row>
    <row r="1274">
      <c r="A1274" s="24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5" t="n">
        <v>12.619528</v>
      </c>
    </row>
    <row r="1275">
      <c r="A1275" s="24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5" t="n">
        <v>9.597664999999999</v>
      </c>
    </row>
    <row r="1276">
      <c r="A1276" s="24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5" t="n">
        <v>9.079618</v>
      </c>
    </row>
    <row r="1277">
      <c r="A1277" s="24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5" t="n">
        <v>7.192134</v>
      </c>
    </row>
    <row r="1278">
      <c r="A1278" s="24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5" t="n">
        <v>6.570141</v>
      </c>
    </row>
    <row r="1279">
      <c r="A1279" s="24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5" t="n">
        <v>5.703665</v>
      </c>
    </row>
    <row r="1280">
      <c r="A1280" s="24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5" t="n">
        <v>4.819432</v>
      </c>
    </row>
    <row r="1281">
      <c r="A1281" s="24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5" t="n">
        <v>4.622261</v>
      </c>
    </row>
    <row r="1282">
      <c r="A1282" s="24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5" t="n">
        <v>3.623193</v>
      </c>
    </row>
    <row r="1283">
      <c r="A1283" s="24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5" t="n">
        <v>3.744325</v>
      </c>
    </row>
    <row r="1284">
      <c r="A1284" s="24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5" t="n">
        <v>2.814338</v>
      </c>
    </row>
    <row r="1285">
      <c r="A1285" s="24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5" t="n">
        <v>2.999864</v>
      </c>
    </row>
    <row r="1286">
      <c r="A1286" s="24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5" t="n">
        <v>2.261</v>
      </c>
    </row>
    <row r="1287">
      <c r="A1287" s="24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5" t="n">
        <v>2.370429</v>
      </c>
    </row>
    <row r="1288">
      <c r="A1288" s="24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5" t="n">
        <v>1.866593</v>
      </c>
    </row>
    <row r="1289">
      <c r="A1289" s="24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5" t="n">
        <v>1.851641</v>
      </c>
    </row>
    <row r="1290">
      <c r="A1290" s="24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5" t="n">
        <v>1.56607</v>
      </c>
    </row>
    <row r="1291">
      <c r="A1291" s="24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5" t="n">
        <v>1.438131</v>
      </c>
    </row>
    <row r="1292">
      <c r="A1292" s="24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5" t="n">
        <v>1.31971</v>
      </c>
    </row>
    <row r="1293">
      <c r="A1293" s="24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5" t="n">
        <v>14.910169</v>
      </c>
    </row>
    <row r="1294">
      <c r="A1294" s="24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5" t="n">
        <v>35.227464</v>
      </c>
    </row>
    <row r="1295">
      <c r="A1295" s="24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5" t="n">
        <v>46.74592</v>
      </c>
    </row>
    <row r="1296">
      <c r="A1296" s="24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5" t="n">
        <v>54.228431</v>
      </c>
    </row>
    <row r="1297">
      <c r="A1297" s="24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5" t="n">
        <v>45.424399</v>
      </c>
    </row>
    <row r="1298">
      <c r="A1298" s="24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5" t="n">
        <v>28.382867</v>
      </c>
    </row>
    <row r="1299">
      <c r="A1299" s="24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5" t="n">
        <v>22.935889</v>
      </c>
    </row>
    <row r="1300">
      <c r="A1300" s="24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5" t="n">
        <v>17.610876</v>
      </c>
    </row>
    <row r="1301">
      <c r="A1301" s="24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5" t="n">
        <v>12.934</v>
      </c>
    </row>
    <row r="1302">
      <c r="A1302" s="24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5" t="n">
        <v>11.656612</v>
      </c>
    </row>
    <row r="1303">
      <c r="A1303" s="24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5" t="n">
        <v>8.137606</v>
      </c>
    </row>
    <row r="1304">
      <c r="A1304" s="24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5" t="n">
        <v>7.922738</v>
      </c>
    </row>
    <row r="1305">
      <c r="A1305" s="24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5" t="n">
        <v>5.697389</v>
      </c>
    </row>
    <row r="1306">
      <c r="A1306" s="24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5" t="n">
        <v>5.458458</v>
      </c>
    </row>
    <row r="1307">
      <c r="A1307" s="24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5" t="n">
        <v>4.330121</v>
      </c>
    </row>
    <row r="1308">
      <c r="A1308" s="24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5" t="n">
        <v>3.815518</v>
      </c>
    </row>
    <row r="1309">
      <c r="A1309" s="24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5" t="n">
        <v>3.44582</v>
      </c>
    </row>
    <row r="1310">
      <c r="A1310" s="24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5" t="n">
        <v>2.732234</v>
      </c>
    </row>
    <row r="1311">
      <c r="A1311" s="24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5" t="n">
        <v>2.780509</v>
      </c>
    </row>
    <row r="1312">
      <c r="A1312" s="24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5" t="n">
        <v>2.031762</v>
      </c>
    </row>
    <row r="1313">
      <c r="A1313" s="24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5" t="n">
        <v>2.226711</v>
      </c>
    </row>
    <row r="1314">
      <c r="A1314" s="24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5" t="n">
        <v>1.586355</v>
      </c>
    </row>
    <row r="1315">
      <c r="A1315" s="24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5" t="n">
        <v>1.748403</v>
      </c>
    </row>
    <row r="1316">
      <c r="A1316" s="24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5" t="n">
        <v>1.302791</v>
      </c>
    </row>
    <row r="1317">
      <c r="A1317" s="24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5" t="n">
        <v>1.338359</v>
      </c>
    </row>
    <row r="1318">
      <c r="A1318" s="24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5" t="n">
        <v>1.114747</v>
      </c>
    </row>
    <row r="1319">
      <c r="A1319" s="24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5" t="n">
        <v>0.997628</v>
      </c>
    </row>
    <row r="1320">
      <c r="A1320" s="24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5" t="n">
        <v>0.977346</v>
      </c>
    </row>
    <row r="1321">
      <c r="A1321" s="24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5" t="n">
        <v>0.726638</v>
      </c>
    </row>
    <row r="1322">
      <c r="A1322" s="24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5" t="n">
        <v>0.862439</v>
      </c>
    </row>
    <row r="1323">
      <c r="A1323" s="24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5" t="n">
        <v>0.522241</v>
      </c>
    </row>
    <row r="1324">
      <c r="A1324" s="24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5" t="n">
        <v>0.754359</v>
      </c>
    </row>
    <row r="1325">
      <c r="A1325" s="24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5" t="n">
        <v>0.377607</v>
      </c>
    </row>
    <row r="1326">
      <c r="A1326" s="24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5" t="n">
        <v>0.646214</v>
      </c>
    </row>
    <row r="1327">
      <c r="A1327" s="24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5" t="n">
        <v>0.283285</v>
      </c>
    </row>
    <row r="1328">
      <c r="A1328" s="24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5" t="n">
        <v>0.539766</v>
      </c>
    </row>
    <row r="1329">
      <c r="A1329" s="24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5" t="n">
        <v>0.232756</v>
      </c>
    </row>
    <row r="1330">
      <c r="A1330" s="24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5" t="n">
        <v>0.44332</v>
      </c>
    </row>
    <row r="1331">
      <c r="A1331" s="24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5" t="n">
        <v>0.247165</v>
      </c>
    </row>
    <row r="1332">
      <c r="A1332" s="24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5" t="n">
        <v>0.306889</v>
      </c>
    </row>
    <row r="1333">
      <c r="A1333" s="24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5" t="n">
        <v>0.272983</v>
      </c>
    </row>
    <row r="1334">
      <c r="A1334" s="24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5" t="n">
        <v>0.178617</v>
      </c>
    </row>
    <row r="1335">
      <c r="A1335" s="24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5" t="n">
        <v>0.281098</v>
      </c>
    </row>
    <row r="1336">
      <c r="A1336" s="24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5" t="n">
        <v>0.10316</v>
      </c>
    </row>
    <row r="1337">
      <c r="A1337" s="24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5" t="n">
        <v>0.277545</v>
      </c>
    </row>
    <row r="1338">
      <c r="A1338" s="24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5" t="n">
        <v>0.075349</v>
      </c>
    </row>
    <row r="1339">
      <c r="A1339" s="24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5" t="n">
        <v>0.241771</v>
      </c>
    </row>
    <row r="1340">
      <c r="A1340" s="24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5" t="n">
        <v>0.06675200000000001</v>
      </c>
    </row>
    <row r="1341">
      <c r="A1341" s="24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5" t="n">
        <v>0.207057</v>
      </c>
    </row>
    <row r="1342">
      <c r="A1342" s="24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5" t="n">
        <v>0.062049</v>
      </c>
    </row>
    <row r="1343">
      <c r="A1343" s="24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5" t="n">
        <v>0.161031</v>
      </c>
    </row>
    <row r="1344">
      <c r="A1344" s="24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5" t="n">
        <v>0.067874</v>
      </c>
    </row>
    <row r="1345">
      <c r="A1345" s="24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5" t="n">
        <v>0.11467</v>
      </c>
    </row>
    <row r="1346">
      <c r="A1346" s="24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5" t="n">
        <v>0.074147</v>
      </c>
    </row>
    <row r="1347">
      <c r="A1347" s="24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5" t="n">
        <v>0.07509200000000001</v>
      </c>
    </row>
    <row r="1348">
      <c r="A1348" s="24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5" t="n">
        <v>0.078842</v>
      </c>
    </row>
    <row r="1349">
      <c r="A1349" s="24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5" t="n">
        <v>0.045058</v>
      </c>
    </row>
    <row r="1350">
      <c r="A1350" s="24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5" t="n">
        <v>0.081163</v>
      </c>
    </row>
    <row r="1351">
      <c r="A1351" s="24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5" t="n">
        <v>14.151849</v>
      </c>
    </row>
    <row r="1352">
      <c r="A1352" s="24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5" t="n">
        <v>36.355452</v>
      </c>
    </row>
    <row r="1353">
      <c r="A1353" s="24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5" t="n">
        <v>47.099252</v>
      </c>
    </row>
    <row r="1354">
      <c r="A1354" s="24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5" t="n">
        <v>48.277756</v>
      </c>
    </row>
    <row r="1355">
      <c r="A1355" s="24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5" t="n">
        <v>38.981416</v>
      </c>
    </row>
    <row r="1356">
      <c r="A1356" s="24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5" t="n">
        <v>25.493419</v>
      </c>
    </row>
    <row r="1357">
      <c r="A1357" s="24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5" t="n">
        <v>20.473282</v>
      </c>
    </row>
    <row r="1358">
      <c r="A1358" s="24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5" t="n">
        <v>15.403055</v>
      </c>
    </row>
    <row r="1359">
      <c r="A1359" s="24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5" t="n">
        <v>11.767431</v>
      </c>
    </row>
    <row r="1360">
      <c r="A1360" s="24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5" t="n">
        <v>10.058575</v>
      </c>
    </row>
    <row r="1361">
      <c r="A1361" s="24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5" t="n">
        <v>7.364298</v>
      </c>
    </row>
    <row r="1362">
      <c r="A1362" s="24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5" t="n">
        <v>6.877978</v>
      </c>
    </row>
    <row r="1363">
      <c r="A1363" s="24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5" t="n">
        <v>5.014866</v>
      </c>
    </row>
    <row r="1364">
      <c r="A1364" s="24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5" t="n">
        <v>4.832455</v>
      </c>
    </row>
    <row r="1365">
      <c r="A1365" s="24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5" t="n">
        <v>3.681347</v>
      </c>
    </row>
    <row r="1366">
      <c r="A1366" s="24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5" t="n">
        <v>3.457044</v>
      </c>
    </row>
    <row r="1367">
      <c r="A1367" s="24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5" t="n">
        <v>2.856921</v>
      </c>
    </row>
    <row r="1368">
      <c r="A1368" s="24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5" t="n">
        <v>2.511728</v>
      </c>
    </row>
    <row r="1369">
      <c r="A1369" s="24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5" t="n">
        <v>2.290954</v>
      </c>
    </row>
    <row r="1370">
      <c r="A1370" s="24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5" t="n">
        <v>1.857428</v>
      </c>
    </row>
    <row r="1371">
      <c r="A1371" s="24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5" t="n">
        <v>1.861625</v>
      </c>
    </row>
    <row r="1372">
      <c r="A1372" s="24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5" t="n">
        <v>1.404789</v>
      </c>
    </row>
    <row r="1373">
      <c r="A1373" s="24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5" t="n">
        <v>1.512058</v>
      </c>
    </row>
    <row r="1374">
      <c r="A1374" s="24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5" t="n">
        <v>1.092017</v>
      </c>
    </row>
    <row r="1375">
      <c r="A1375" s="24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5" t="n">
        <v>1.217274</v>
      </c>
    </row>
    <row r="1376">
      <c r="A1376" s="24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5" t="n">
        <v>0.87474</v>
      </c>
    </row>
    <row r="1377">
      <c r="A1377" s="24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5" t="n">
        <v>0.966987</v>
      </c>
    </row>
    <row r="1378">
      <c r="A1378" s="24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5" t="n">
        <v>0.720899</v>
      </c>
    </row>
    <row r="1379">
      <c r="A1379" s="24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5" t="n">
        <v>0.756836</v>
      </c>
    </row>
    <row r="1380">
      <c r="A1380" s="24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5" t="n">
        <v>0.607724</v>
      </c>
    </row>
    <row r="1381">
      <c r="A1381" s="24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5" t="n">
        <v>0.584136</v>
      </c>
    </row>
    <row r="1382">
      <c r="A1382" s="24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5" t="n">
        <v>0.519608</v>
      </c>
    </row>
    <row r="1383">
      <c r="A1383" s="24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5" t="n">
        <v>0.446061</v>
      </c>
    </row>
    <row r="1384">
      <c r="A1384" s="24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5" t="n">
        <v>2.582688</v>
      </c>
    </row>
    <row r="1385">
      <c r="A1385" s="24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5" t="n">
        <v>3.39116</v>
      </c>
    </row>
    <row r="1386">
      <c r="A1386" s="24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5" t="n">
        <v>1.941683</v>
      </c>
    </row>
    <row r="1387">
      <c r="A1387" s="24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5" t="n">
        <v>1.347509</v>
      </c>
    </row>
    <row r="1388">
      <c r="A1388" s="24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5" t="n">
        <v>1.393133</v>
      </c>
    </row>
    <row r="1389">
      <c r="A1389" s="24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5" t="n">
        <v>0.6665759999999999</v>
      </c>
    </row>
    <row r="1390">
      <c r="A1390" s="24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5" t="n">
        <v>0.966273</v>
      </c>
    </row>
    <row r="1391">
      <c r="A1391" s="24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5" t="n">
        <v>0.449839</v>
      </c>
    </row>
    <row r="1392">
      <c r="A1392" s="24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5" t="n">
        <v>0.62416</v>
      </c>
    </row>
    <row r="1393">
      <c r="A1393" s="24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5" t="n">
        <v>0.38989</v>
      </c>
    </row>
    <row r="1394">
      <c r="A1394" s="24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5" t="n">
        <v>0.377433</v>
      </c>
    </row>
    <row r="1395">
      <c r="A1395" s="24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5" t="n">
        <v>0.364509</v>
      </c>
    </row>
    <row r="1396">
      <c r="A1396" s="24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5" t="n">
        <v>0.219414</v>
      </c>
    </row>
    <row r="1397">
      <c r="A1397" s="24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5" t="n">
        <v>0.331397</v>
      </c>
    </row>
    <row r="1398">
      <c r="A1398" s="24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5" t="n">
        <v>0.131411</v>
      </c>
    </row>
    <row r="1399">
      <c r="A1399" s="24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5" t="n">
        <v>3.294333</v>
      </c>
    </row>
    <row r="1400">
      <c r="A1400" s="24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5" t="n">
        <v>4.393015</v>
      </c>
    </row>
    <row r="1401">
      <c r="A1401" s="24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5" t="n">
        <v>2.424463</v>
      </c>
    </row>
    <row r="1402">
      <c r="A1402" s="24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5" t="n">
        <v>1.613034</v>
      </c>
    </row>
    <row r="1403">
      <c r="A1403" s="24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5" t="n">
        <v>6.423011</v>
      </c>
    </row>
    <row r="1404">
      <c r="A1404" s="24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5" t="n">
        <v>22.925101</v>
      </c>
    </row>
    <row r="1405">
      <c r="A1405" s="24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5" t="n">
        <v>35.29503</v>
      </c>
    </row>
    <row r="1406">
      <c r="A1406" s="24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5" t="n">
        <v>26.156238</v>
      </c>
    </row>
    <row r="1407">
      <c r="A1407" s="24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5" t="n">
        <v>16.782723</v>
      </c>
    </row>
    <row r="1408">
      <c r="A1408" s="24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5" t="n">
        <v>13.569462</v>
      </c>
    </row>
    <row r="1409">
      <c r="A1409" s="24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5" t="n">
        <v>11.349036</v>
      </c>
    </row>
    <row r="1410">
      <c r="A1410" s="24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5" t="n">
        <v>10.373591</v>
      </c>
    </row>
    <row r="1411">
      <c r="A1411" s="24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5" t="n">
        <v>9.64439</v>
      </c>
    </row>
    <row r="1412">
      <c r="A1412" s="24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5" t="n">
        <v>13.300283</v>
      </c>
    </row>
    <row r="1413">
      <c r="A1413" s="24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5" t="n">
        <v>13.546446</v>
      </c>
    </row>
    <row r="1414">
      <c r="A1414" s="24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5" t="n">
        <v>9.401156</v>
      </c>
    </row>
    <row r="1415">
      <c r="A1415" s="24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5" t="n">
        <v>7.449838</v>
      </c>
    </row>
    <row r="1416">
      <c r="A1416" s="24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5" t="n">
        <v>5.720431</v>
      </c>
    </row>
    <row r="1417">
      <c r="A1417" s="24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5" t="n">
        <v>4.606141</v>
      </c>
    </row>
    <row r="1418">
      <c r="A1418" s="24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5" t="n">
        <v>3.863151</v>
      </c>
    </row>
    <row r="1419">
      <c r="A1419" s="24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5" t="n">
        <v>3.094322</v>
      </c>
    </row>
    <row r="1420">
      <c r="A1420" s="24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5" t="n">
        <v>2.750381</v>
      </c>
    </row>
    <row r="1421">
      <c r="A1421" s="24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5" t="n">
        <v>2.218761</v>
      </c>
    </row>
    <row r="1422">
      <c r="A1422" s="24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5" t="n">
        <v>2.018202</v>
      </c>
    </row>
    <row r="1423">
      <c r="A1423" s="24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5" t="n">
        <v>1.675842</v>
      </c>
    </row>
    <row r="1424">
      <c r="A1424" s="24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5" t="n">
        <v>1.904379</v>
      </c>
    </row>
    <row r="1425">
      <c r="A1425" s="24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5" t="n">
        <v>11.276568</v>
      </c>
    </row>
    <row r="1426">
      <c r="A1426" s="24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5" t="n">
        <v>14.857584</v>
      </c>
    </row>
    <row r="1427">
      <c r="A1427" s="24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5" t="n">
        <v>8.115166</v>
      </c>
    </row>
    <row r="1428">
      <c r="A1428" s="24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5" t="n">
        <v>5.865066</v>
      </c>
    </row>
    <row r="1429">
      <c r="A1429" s="24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5" t="n">
        <v>5.643463</v>
      </c>
    </row>
    <row r="1430">
      <c r="A1430" s="24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5" t="n">
        <v>2.863722</v>
      </c>
    </row>
    <row r="1431">
      <c r="A1431" s="24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5" t="n">
        <v>3.808326</v>
      </c>
    </row>
    <row r="1432">
      <c r="A1432" s="24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5" t="n">
        <v>1.895077</v>
      </c>
    </row>
    <row r="1433">
      <c r="A1433" s="24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5" t="n">
        <v>2.380979</v>
      </c>
    </row>
    <row r="1434">
      <c r="A1434" s="24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5" t="n">
        <v>1.613167</v>
      </c>
    </row>
    <row r="1435">
      <c r="A1435" s="24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5" t="n">
        <v>1.379312</v>
      </c>
    </row>
    <row r="1436">
      <c r="A1436" s="24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5" t="n">
        <v>1.484608</v>
      </c>
    </row>
    <row r="1437">
      <c r="A1437" s="24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5" t="n">
        <v>0.761665</v>
      </c>
    </row>
    <row r="1438">
      <c r="A1438" s="24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5" t="n">
        <v>10.580471</v>
      </c>
    </row>
    <row r="1439">
      <c r="A1439" s="24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5" t="n">
        <v>19.703983</v>
      </c>
    </row>
    <row r="1440">
      <c r="A1440" s="24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5" t="n">
        <v>16.490312</v>
      </c>
    </row>
    <row r="1441">
      <c r="A1441" s="24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5" t="n">
        <v>9.444793000000001</v>
      </c>
    </row>
    <row r="1442">
      <c r="A1442" s="24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5" t="n">
        <v>14.713531</v>
      </c>
    </row>
    <row r="1443">
      <c r="A1443" s="24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5" t="n">
        <v>15.010392</v>
      </c>
    </row>
    <row r="1444">
      <c r="A1444" s="24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5" t="n">
        <v>10.666293</v>
      </c>
    </row>
    <row r="1445">
      <c r="A1445" s="24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5" t="n">
        <v>7.335549</v>
      </c>
    </row>
    <row r="1446">
      <c r="A1446" s="24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5" t="n">
        <v>6.472626</v>
      </c>
    </row>
    <row r="1447">
      <c r="A1447" s="24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5" t="n">
        <v>4.409027</v>
      </c>
    </row>
    <row r="1448">
      <c r="A1448" s="24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5" t="n">
        <v>4.013561</v>
      </c>
    </row>
    <row r="1449">
      <c r="A1449" s="24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5" t="n">
        <v>5.445175</v>
      </c>
    </row>
    <row r="1450">
      <c r="A1450" s="24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5" t="n">
        <v>5.719844</v>
      </c>
    </row>
    <row r="1451">
      <c r="A1451" s="24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5" t="n">
        <v>4.176411</v>
      </c>
    </row>
    <row r="1452">
      <c r="A1452" s="24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5" t="n">
        <v>2.677137</v>
      </c>
    </row>
    <row r="1453">
      <c r="A1453" s="24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5" t="n">
        <v>3.185952</v>
      </c>
    </row>
    <row r="1454">
      <c r="A1454" s="24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5" t="n">
        <v>1.488085</v>
      </c>
    </row>
    <row r="1455">
      <c r="A1455" s="24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5" t="n">
        <v>2.36892</v>
      </c>
    </row>
    <row r="1456">
      <c r="A1456" s="24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5" t="n">
        <v>1.049107</v>
      </c>
    </row>
    <row r="1457">
      <c r="A1457" s="24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5" t="n">
        <v>1.661039</v>
      </c>
    </row>
    <row r="1458">
      <c r="A1458" s="24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5" t="n">
        <v>2.550587</v>
      </c>
    </row>
    <row r="1459">
      <c r="A1459" s="24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5" t="n">
        <v>3.415808</v>
      </c>
    </row>
    <row r="1460">
      <c r="A1460" s="24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5" t="n">
        <v>11.617817</v>
      </c>
    </row>
    <row r="1461">
      <c r="A1461" s="24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5" t="n">
        <v>18.448868</v>
      </c>
    </row>
    <row r="1462">
      <c r="A1462" s="24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5" t="n">
        <v>13.411213</v>
      </c>
    </row>
    <row r="1463">
      <c r="A1463" s="24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5" t="n">
        <v>8.020413</v>
      </c>
    </row>
    <row r="1464">
      <c r="A1464" s="24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5" t="n">
        <v>7.817991</v>
      </c>
    </row>
    <row r="1465">
      <c r="A1465" s="24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5" t="n">
        <v>4.168582</v>
      </c>
    </row>
    <row r="1466">
      <c r="A1466" s="24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5" t="n">
        <v>4.865883</v>
      </c>
    </row>
    <row r="1467">
      <c r="A1467" s="24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5" t="n">
        <v>2.69246</v>
      </c>
    </row>
    <row r="1468">
      <c r="A1468" s="24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5" t="n">
        <v>3.012731</v>
      </c>
    </row>
    <row r="1469">
      <c r="A1469" s="24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5" t="n">
        <v>2.063766</v>
      </c>
    </row>
    <row r="1470">
      <c r="A1470" s="24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5" t="n">
        <v>1.840174</v>
      </c>
    </row>
    <row r="1471">
      <c r="A1471" s="24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5" t="n">
        <v>7.33179</v>
      </c>
    </row>
    <row r="1472">
      <c r="A1472" s="24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5" t="n">
        <v>10.075352</v>
      </c>
    </row>
    <row r="1473">
      <c r="A1473" s="24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5" t="n">
        <v>16.426102</v>
      </c>
    </row>
    <row r="1474">
      <c r="A1474" s="24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5" t="n">
        <v>18.556445</v>
      </c>
    </row>
    <row r="1475">
      <c r="A1475" s="24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5" t="n">
        <v>27.314278</v>
      </c>
    </row>
    <row r="1476">
      <c r="A1476" s="24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5" t="n">
        <v>43.20314</v>
      </c>
    </row>
    <row r="1477">
      <c r="A1477" s="24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5" t="n">
        <v>54.070683</v>
      </c>
    </row>
    <row r="1478">
      <c r="A1478" s="24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5" t="n">
        <v>46.044157</v>
      </c>
    </row>
    <row r="1479">
      <c r="A1479" s="24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5" t="n">
        <v>35.053554</v>
      </c>
    </row>
    <row r="1480">
      <c r="A1480" s="24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5" t="n">
        <v>22.895611</v>
      </c>
    </row>
    <row r="1481">
      <c r="A1481" s="24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5" t="n">
        <v>19.998327</v>
      </c>
    </row>
    <row r="1482">
      <c r="A1482" s="24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5" t="n">
        <v>13.828657</v>
      </c>
    </row>
    <row r="1483">
      <c r="A1483" s="24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5" t="n">
        <v>24.358453</v>
      </c>
    </row>
    <row r="1484">
      <c r="A1484" s="24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5" t="n">
        <v>41.755702</v>
      </c>
    </row>
    <row r="1485">
      <c r="A1485" s="24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5" t="n">
        <v>36.700207</v>
      </c>
    </row>
    <row r="1486">
      <c r="A1486" s="24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5" t="n">
        <v>23.986171</v>
      </c>
    </row>
    <row r="1487">
      <c r="A1487" s="24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5" t="n">
        <v>18.120638</v>
      </c>
    </row>
    <row r="1488">
      <c r="A1488" s="24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5" t="n">
        <v>15.540383</v>
      </c>
    </row>
    <row r="1489">
      <c r="A1489" s="24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5" t="n">
        <v>10.335916</v>
      </c>
    </row>
    <row r="1490">
      <c r="A1490" s="24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5" t="n">
        <v>10.667718</v>
      </c>
    </row>
    <row r="1491">
      <c r="A1491" s="24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5" t="n">
        <v>17.018774</v>
      </c>
    </row>
    <row r="1492">
      <c r="A1492" s="24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5" t="n">
        <v>23.160151</v>
      </c>
    </row>
    <row r="1493">
      <c r="A1493" s="24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5" t="n">
        <v>14.213877</v>
      </c>
    </row>
    <row r="1494">
      <c r="A1494" s="24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5" t="n">
        <v>11.050647</v>
      </c>
    </row>
    <row r="1495">
      <c r="A1495" s="24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5" t="n">
        <v>9.913582</v>
      </c>
    </row>
    <row r="1496">
      <c r="A1496" s="24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5" t="n">
        <v>6.124582</v>
      </c>
    </row>
    <row r="1497">
      <c r="A1497" s="24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5" t="n">
        <v>13.987317</v>
      </c>
    </row>
    <row r="1498">
      <c r="A1498" s="24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5" t="n">
        <v>13.634062</v>
      </c>
    </row>
    <row r="1499">
      <c r="A1499" s="24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5" t="n">
        <v>10.165691</v>
      </c>
    </row>
    <row r="1500">
      <c r="A1500" s="24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5" t="n">
        <v>6.386422</v>
      </c>
    </row>
    <row r="1501">
      <c r="A1501" s="24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5" t="n">
        <v>7.133763</v>
      </c>
    </row>
    <row r="1502">
      <c r="A1502" s="24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5" t="n">
        <v>3.868713</v>
      </c>
    </row>
    <row r="1503">
      <c r="A1503" s="24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5" t="n">
        <v>4.87951</v>
      </c>
    </row>
    <row r="1504">
      <c r="A1504" s="24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5" t="n">
        <v>2.955309</v>
      </c>
    </row>
    <row r="1505">
      <c r="A1505" s="24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5" t="n">
        <v>3.192858</v>
      </c>
    </row>
    <row r="1506">
      <c r="A1506" s="24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5" t="n">
        <v>2.569906</v>
      </c>
    </row>
    <row r="1507">
      <c r="A1507" s="24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5" t="n">
        <v>2.022924</v>
      </c>
    </row>
    <row r="1508">
      <c r="A1508" s="24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5" t="n">
        <v>9.816665</v>
      </c>
    </row>
    <row r="1509">
      <c r="A1509" s="24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5" t="n">
        <v>16.428929</v>
      </c>
    </row>
    <row r="1510">
      <c r="A1510" s="24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5" t="n">
        <v>13.797705</v>
      </c>
    </row>
    <row r="1511">
      <c r="A1511" s="24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5" t="n">
        <v>7.89767</v>
      </c>
    </row>
    <row r="1512">
      <c r="A1512" s="24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5" t="n">
        <v>10.166106</v>
      </c>
    </row>
    <row r="1513">
      <c r="A1513" s="24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5" t="n">
        <v>20.407273</v>
      </c>
    </row>
    <row r="1514">
      <c r="A1514" s="24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5" t="n">
        <v>24.306439</v>
      </c>
    </row>
    <row r="1515">
      <c r="A1515" s="24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5" t="n">
        <v>13.294806</v>
      </c>
    </row>
    <row r="1516">
      <c r="A1516" s="24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5" t="n">
        <v>10.632304</v>
      </c>
    </row>
    <row r="1517">
      <c r="A1517" s="24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5" t="n">
        <v>8.96579</v>
      </c>
    </row>
    <row r="1518">
      <c r="A1518" s="24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5" t="n">
        <v>5.541051</v>
      </c>
    </row>
    <row r="1519">
      <c r="A1519" s="24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5" t="n">
        <v>6.131714</v>
      </c>
    </row>
    <row r="1520">
      <c r="A1520" s="24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5" t="n">
        <v>3.536094</v>
      </c>
    </row>
    <row r="1521">
      <c r="A1521" s="24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5" t="n">
        <v>4.056423</v>
      </c>
    </row>
    <row r="1522">
      <c r="A1522" s="24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5" t="n">
        <v>2.72008</v>
      </c>
    </row>
    <row r="1523">
      <c r="A1523" s="24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5" t="n">
        <v>2.598986</v>
      </c>
    </row>
    <row r="1524">
      <c r="A1524" s="24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5" t="n">
        <v>2.301521</v>
      </c>
    </row>
    <row r="1525">
      <c r="A1525" s="24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5" t="n">
        <v>1.653048</v>
      </c>
    </row>
    <row r="1526">
      <c r="A1526" s="24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5" t="n">
        <v>1.967647</v>
      </c>
    </row>
    <row r="1527">
      <c r="A1527" s="24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5" t="n">
        <v>1.098953</v>
      </c>
    </row>
    <row r="1528">
      <c r="A1528" s="24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5" t="n">
        <v>1.623437</v>
      </c>
    </row>
    <row r="1529">
      <c r="A1529" s="24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5" t="n">
        <v>0.815744</v>
      </c>
    </row>
    <row r="1530">
      <c r="A1530" s="24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5" t="n">
        <v>3.080921</v>
      </c>
    </row>
    <row r="1531">
      <c r="A1531" s="24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5" t="n">
        <v>3.291995</v>
      </c>
    </row>
    <row r="1532">
      <c r="A1532" s="24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5" t="n">
        <v>2.245465</v>
      </c>
    </row>
    <row r="1533">
      <c r="A1533" s="24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5" t="n">
        <v>1.590332</v>
      </c>
    </row>
    <row r="1534">
      <c r="A1534" s="24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5" t="n">
        <v>1.524325</v>
      </c>
    </row>
    <row r="1535">
      <c r="A1535" s="24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5" t="n">
        <v>1.056657</v>
      </c>
    </row>
    <row r="1536">
      <c r="A1536" s="24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5" t="n">
        <v>0.961991</v>
      </c>
    </row>
    <row r="1537">
      <c r="A1537" s="24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5" t="n">
        <v>0.897878</v>
      </c>
    </row>
    <row r="1538">
      <c r="A1538" s="24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5" t="n">
        <v>0.534288</v>
      </c>
    </row>
    <row r="1539">
      <c r="A1539" s="24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5" t="n">
        <v>0.840411</v>
      </c>
    </row>
    <row r="1540">
      <c r="A1540" s="24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5" t="n">
        <v>0.247381</v>
      </c>
    </row>
    <row r="1541">
      <c r="A1541" s="24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5" t="n">
        <v>0.779768</v>
      </c>
    </row>
    <row r="1542">
      <c r="A1542" s="24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5" t="n">
        <v>0.190515</v>
      </c>
    </row>
    <row r="1543">
      <c r="A1543" s="24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5" t="n">
        <v>0.590959</v>
      </c>
    </row>
    <row r="1544">
      <c r="A1544" s="24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5" t="n">
        <v>0.200189</v>
      </c>
    </row>
    <row r="1545">
      <c r="A1545" s="24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5" t="n">
        <v>0.421778</v>
      </c>
    </row>
    <row r="1546">
      <c r="A1546" s="24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5" t="n">
        <v>0.219211</v>
      </c>
    </row>
    <row r="1547">
      <c r="A1547" s="24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5" t="n">
        <v>0.315962</v>
      </c>
    </row>
    <row r="1548">
      <c r="A1548" s="24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5" t="n">
        <v>0.240857</v>
      </c>
    </row>
    <row r="1549">
      <c r="A1549" s="24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5" t="n">
        <v>3.583361</v>
      </c>
    </row>
    <row r="1550">
      <c r="A1550" s="24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5" t="n">
        <v>19.943853</v>
      </c>
    </row>
    <row r="1551">
      <c r="A1551" s="24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5" t="n">
        <v>24.399926</v>
      </c>
    </row>
    <row r="1552">
      <c r="A1552" s="24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5" t="n">
        <v>13.600484</v>
      </c>
    </row>
    <row r="1553">
      <c r="A1553" s="24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5" t="n">
        <v>9.717674000000001</v>
      </c>
    </row>
    <row r="1554">
      <c r="A1554" s="24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5" t="n">
        <v>10.085749</v>
      </c>
    </row>
    <row r="1555">
      <c r="A1555" s="24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5" t="n">
        <v>9.805937</v>
      </c>
    </row>
    <row r="1556">
      <c r="A1556" s="24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5" t="n">
        <v>16.393911</v>
      </c>
    </row>
    <row r="1557">
      <c r="A1557" s="24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5" t="n">
        <v>13.306803</v>
      </c>
    </row>
    <row r="1558">
      <c r="A1558" s="24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5" t="n">
        <v>16.924386</v>
      </c>
    </row>
    <row r="1559">
      <c r="A1559" s="24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5" t="n">
        <v>32.270133</v>
      </c>
    </row>
    <row r="1560">
      <c r="A1560" s="24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5" t="n">
        <v>47.588948</v>
      </c>
    </row>
    <row r="1561">
      <c r="A1561" s="24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5" t="n">
        <v>54.716224</v>
      </c>
    </row>
    <row r="1562">
      <c r="A1562" s="24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5" t="n">
        <v>49.226861</v>
      </c>
    </row>
    <row r="1563">
      <c r="A1563" s="24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5" t="n">
        <v>50.215314</v>
      </c>
    </row>
    <row r="1564">
      <c r="A1564" s="24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5" t="n">
        <v>63.253253</v>
      </c>
    </row>
    <row r="1565">
      <c r="A1565" s="24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5" t="n">
        <v>68.238882</v>
      </c>
    </row>
    <row r="1566">
      <c r="A1566" s="24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5" t="n">
        <v>62.866166</v>
      </c>
    </row>
    <row r="1567">
      <c r="A1567" s="24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5" t="n">
        <v>52.378517</v>
      </c>
    </row>
    <row r="1568">
      <c r="A1568" s="24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5" t="n">
        <v>34.797918</v>
      </c>
    </row>
    <row r="1569">
      <c r="A1569" s="24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5" t="n">
        <v>52.685091</v>
      </c>
    </row>
    <row r="1570">
      <c r="A1570" s="24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5" t="n">
        <v>94.17738300000001</v>
      </c>
    </row>
    <row r="1571">
      <c r="A1571" s="24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5" t="n">
        <v>110.038902</v>
      </c>
    </row>
    <row r="1572">
      <c r="A1572" s="24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5" t="n">
        <v>85.073808</v>
      </c>
    </row>
    <row r="1573">
      <c r="A1573" s="24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5" t="n">
        <v>63.966005</v>
      </c>
    </row>
    <row r="1574">
      <c r="A1574" s="24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5" t="n">
        <v>51.575589</v>
      </c>
    </row>
    <row r="1575">
      <c r="A1575" s="24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5" t="n">
        <v>35.411575</v>
      </c>
    </row>
    <row r="1576">
      <c r="A1576" s="24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5" t="n">
        <v>29.370171</v>
      </c>
    </row>
    <row r="1577">
      <c r="A1577" s="24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5" t="n">
        <v>22.511733</v>
      </c>
    </row>
    <row r="1578">
      <c r="A1578" s="24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5" t="n">
        <v>18.671951</v>
      </c>
    </row>
    <row r="1579">
      <c r="A1579" s="24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5" t="n">
        <v>15.32779</v>
      </c>
    </row>
    <row r="1580">
      <c r="A1580" s="24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5" t="n">
        <v>12.860404</v>
      </c>
    </row>
    <row r="1581">
      <c r="A1581" s="24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5" t="n">
        <v>10.916597</v>
      </c>
    </row>
    <row r="1582">
      <c r="A1582" s="24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5" t="n">
        <v>9.346235</v>
      </c>
    </row>
    <row r="1583">
      <c r="A1583" s="24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5" t="n">
        <v>8.075156</v>
      </c>
    </row>
    <row r="1584">
      <c r="A1584" s="24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5" t="n">
        <v>7.019418</v>
      </c>
    </row>
    <row r="1585">
      <c r="A1585" s="24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5" t="n">
        <v>6.183889</v>
      </c>
    </row>
    <row r="1586">
      <c r="A1586" s="24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5" t="n">
        <v>5.358912</v>
      </c>
    </row>
    <row r="1587">
      <c r="A1587" s="24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5" t="n">
        <v>4.881871</v>
      </c>
    </row>
    <row r="1588">
      <c r="A1588" s="24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5" t="n">
        <v>11.918025</v>
      </c>
    </row>
    <row r="1589">
      <c r="A1589" s="24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5" t="n">
        <v>19.941883</v>
      </c>
    </row>
    <row r="1590">
      <c r="A1590" s="24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5" t="n">
        <v>19.561656</v>
      </c>
    </row>
    <row r="1591">
      <c r="A1591" s="24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5" t="n">
        <v>16.14172</v>
      </c>
    </row>
    <row r="1592">
      <c r="A1592" s="24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5" t="n">
        <v>12.601664</v>
      </c>
    </row>
    <row r="1593">
      <c r="A1593" s="24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5" t="n">
        <v>10.188672</v>
      </c>
    </row>
    <row r="1594">
      <c r="A1594" s="24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5" t="n">
        <v>21.311883</v>
      </c>
    </row>
    <row r="1595">
      <c r="A1595" s="24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5" t="n">
        <v>28.560057</v>
      </c>
    </row>
    <row r="1596">
      <c r="A1596" s="24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5" t="n">
        <v>33.671646</v>
      </c>
    </row>
    <row r="1597">
      <c r="A1597" s="24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5" t="n">
        <v>40.403572</v>
      </c>
    </row>
    <row r="1598">
      <c r="A1598" s="24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5" t="n">
        <v>32.000157</v>
      </c>
    </row>
    <row r="1599">
      <c r="A1599" s="24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5" t="n">
        <v>19.965655</v>
      </c>
    </row>
    <row r="1600">
      <c r="A1600" s="24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5" t="n">
        <v>18.018282</v>
      </c>
    </row>
    <row r="1601">
      <c r="A1601" s="24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5" t="n">
        <v>12.302086</v>
      </c>
    </row>
    <row r="1602">
      <c r="A1602" s="24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5" t="n">
        <v>10.700363</v>
      </c>
    </row>
    <row r="1603">
      <c r="A1603" s="24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5" t="n">
        <v>8.678286</v>
      </c>
    </row>
    <row r="1604">
      <c r="A1604" s="24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5" t="n">
        <v>6.58836</v>
      </c>
    </row>
    <row r="1605">
      <c r="A1605" s="24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5" t="n">
        <v>6.538003</v>
      </c>
    </row>
    <row r="1606">
      <c r="A1606" s="24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5" t="n">
        <v>4.308162</v>
      </c>
    </row>
    <row r="1607">
      <c r="A1607" s="24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5" t="n">
        <v>4.980974</v>
      </c>
    </row>
    <row r="1608">
      <c r="A1608" s="24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5" t="n">
        <v>3.103767</v>
      </c>
    </row>
    <row r="1609">
      <c r="A1609" s="24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5" t="n">
        <v>3.709414</v>
      </c>
    </row>
    <row r="1610">
      <c r="A1610" s="24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5" t="n">
        <v>2.503413</v>
      </c>
    </row>
    <row r="1611">
      <c r="A1611" s="24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5" t="n">
        <v>2.650526</v>
      </c>
    </row>
    <row r="1612">
      <c r="A1612" s="24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5" t="n">
        <v>2.204061</v>
      </c>
    </row>
    <row r="1613">
      <c r="A1613" s="24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5" t="n">
        <v>1.800858</v>
      </c>
    </row>
    <row r="1614">
      <c r="A1614" s="24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5" t="n">
        <v>2.01978</v>
      </c>
    </row>
    <row r="1615">
      <c r="A1615" s="24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5" t="n">
        <v>1.163832</v>
      </c>
    </row>
    <row r="1616">
      <c r="A1616" s="24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5" t="n">
        <v>1.847848</v>
      </c>
    </row>
    <row r="1617">
      <c r="A1617" s="24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5" t="n">
        <v>0.729044</v>
      </c>
    </row>
    <row r="1618">
      <c r="A1618" s="24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5" t="n">
        <v>1.642768</v>
      </c>
    </row>
    <row r="1619">
      <c r="A1619" s="24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5" t="n">
        <v>0.470188</v>
      </c>
    </row>
    <row r="1620">
      <c r="A1620" s="24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5" t="n">
        <v>1.431029</v>
      </c>
    </row>
    <row r="1621">
      <c r="A1621" s="24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5" t="n">
        <v>0.422219</v>
      </c>
    </row>
    <row r="1622">
      <c r="A1622" s="24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5" t="n">
        <v>1.110381</v>
      </c>
    </row>
    <row r="1623">
      <c r="A1623" s="24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5" t="n">
        <v>0.503875</v>
      </c>
    </row>
    <row r="1624">
      <c r="A1624" s="24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5" t="n">
        <v>0.726268</v>
      </c>
    </row>
    <row r="1625">
      <c r="A1625" s="24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5" t="n">
        <v>0.590205</v>
      </c>
    </row>
    <row r="1626">
      <c r="A1626" s="24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5" t="n">
        <v>0.42283</v>
      </c>
    </row>
    <row r="1627">
      <c r="A1627" s="24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5" t="n">
        <v>0.6391559999999999</v>
      </c>
    </row>
    <row r="1628">
      <c r="A1628" s="24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5" t="n">
        <v>0.210873</v>
      </c>
    </row>
    <row r="1629">
      <c r="A1629" s="24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5" t="n">
        <v>0.631482</v>
      </c>
    </row>
    <row r="1630">
      <c r="A1630" s="24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5" t="n">
        <v>0.161225</v>
      </c>
    </row>
    <row r="1631">
      <c r="A1631" s="24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5" t="n">
        <v>0.522271</v>
      </c>
    </row>
    <row r="1632">
      <c r="A1632" s="24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5" t="n">
        <v>0.1629</v>
      </c>
    </row>
    <row r="1633">
      <c r="A1633" s="24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5" t="n">
        <v>0.385007</v>
      </c>
    </row>
    <row r="1634">
      <c r="A1634" s="24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5" t="n">
        <v>0.185003</v>
      </c>
    </row>
    <row r="1635">
      <c r="A1635" s="24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5" t="n">
        <v>0.26458</v>
      </c>
    </row>
    <row r="1636">
      <c r="A1636" s="24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5" t="n">
        <v>0.212031</v>
      </c>
    </row>
    <row r="1637">
      <c r="A1637" s="24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5" t="n">
        <v>0.166803</v>
      </c>
    </row>
    <row r="1638">
      <c r="A1638" s="24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5" t="n">
        <v>0.226804</v>
      </c>
    </row>
    <row r="1639">
      <c r="A1639" s="24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5" t="n">
        <v>0.08878900000000001</v>
      </c>
    </row>
    <row r="1640">
      <c r="A1640" s="24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5" t="n">
        <v>0.226883</v>
      </c>
    </row>
    <row r="1641">
      <c r="A1641" s="24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5" t="n">
        <v>0.056414</v>
      </c>
    </row>
    <row r="1642">
      <c r="A1642" s="24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5" t="n">
        <v>0.193095</v>
      </c>
    </row>
    <row r="1643">
      <c r="A1643" s="24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5" t="n">
        <v>0.052482</v>
      </c>
    </row>
    <row r="1644">
      <c r="A1644" s="24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5" t="n">
        <v>11.485797</v>
      </c>
    </row>
    <row r="1645">
      <c r="A1645" s="24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5" t="n">
        <v>16.271241</v>
      </c>
    </row>
    <row r="1646">
      <c r="A1646" s="24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5" t="n">
        <v>8.403014000000001</v>
      </c>
    </row>
    <row r="1647">
      <c r="A1647" s="24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5" t="n">
        <v>19.115005</v>
      </c>
    </row>
    <row r="1648">
      <c r="A1648" s="24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5" t="n">
        <v>34.029189</v>
      </c>
    </row>
    <row r="1649">
      <c r="A1649" s="24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5" t="n">
        <v>34.597325</v>
      </c>
    </row>
    <row r="1650">
      <c r="A1650" s="24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5" t="n">
        <v>32.714494</v>
      </c>
    </row>
    <row r="1651">
      <c r="A1651" s="24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5" t="n">
        <v>38.501156</v>
      </c>
    </row>
    <row r="1652">
      <c r="A1652" s="24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5" t="n">
        <v>49.056919</v>
      </c>
    </row>
    <row r="1653">
      <c r="A1653" s="24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5" t="n">
        <v>39.688525</v>
      </c>
    </row>
    <row r="1654">
      <c r="A1654" s="24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5" t="n">
        <v>24.293073</v>
      </c>
    </row>
    <row r="1655">
      <c r="A1655" s="24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5" t="n">
        <v>21.826869</v>
      </c>
    </row>
    <row r="1656">
      <c r="A1656" s="24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5" t="n">
        <v>14.587348</v>
      </c>
    </row>
    <row r="1657">
      <c r="A1657" s="24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5" t="n">
        <v>12.975508</v>
      </c>
    </row>
    <row r="1658">
      <c r="A1658" s="24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5" t="n">
        <v>9.838179</v>
      </c>
    </row>
    <row r="1659">
      <c r="A1659" s="24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5" t="n">
        <v>8.122047</v>
      </c>
    </row>
    <row r="1660">
      <c r="A1660" s="24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5" t="n">
        <v>7.13376</v>
      </c>
    </row>
    <row r="1661">
      <c r="A1661" s="24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5" t="n">
        <v>5.356581</v>
      </c>
    </row>
    <row r="1662">
      <c r="A1662" s="24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5" t="n">
        <v>5.368634</v>
      </c>
    </row>
    <row r="1663">
      <c r="A1663" s="24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5" t="n">
        <v>3.753239</v>
      </c>
    </row>
    <row r="1664">
      <c r="A1664" s="24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5" t="n">
        <v>4.087213</v>
      </c>
    </row>
    <row r="1665">
      <c r="A1665" s="24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5" t="n">
        <v>16.538351</v>
      </c>
    </row>
    <row r="1666">
      <c r="A1666" s="24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5" t="n">
        <v>32.312667</v>
      </c>
    </row>
    <row r="1667">
      <c r="A1667" s="24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5" t="n">
        <v>25.485223</v>
      </c>
    </row>
    <row r="1668">
      <c r="A1668" s="24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5" t="n">
        <v>15.821677</v>
      </c>
    </row>
    <row r="1669">
      <c r="A1669" s="24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5" t="n">
        <v>13.568793</v>
      </c>
    </row>
    <row r="1670">
      <c r="A1670" s="24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5" t="n">
        <v>9.513667999999999</v>
      </c>
    </row>
    <row r="1671">
      <c r="A1671" s="24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5" t="n">
        <v>14.833664</v>
      </c>
    </row>
    <row r="1672">
      <c r="A1672" s="24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5" t="n">
        <v>15.99699</v>
      </c>
    </row>
    <row r="1673">
      <c r="A1673" s="24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5" t="n">
        <v>10.144085</v>
      </c>
    </row>
    <row r="1674">
      <c r="A1674" s="24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5" t="n">
        <v>7.8761</v>
      </c>
    </row>
    <row r="1675">
      <c r="A1675" s="24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5" t="n">
        <v>7.010384</v>
      </c>
    </row>
    <row r="1676">
      <c r="A1676" s="24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5" t="n">
        <v>4.664756</v>
      </c>
    </row>
    <row r="1677">
      <c r="A1677" s="24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5" t="n">
        <v>4.899581</v>
      </c>
    </row>
    <row r="1678">
      <c r="A1678" s="24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5" t="n">
        <v>3.252726</v>
      </c>
    </row>
    <row r="1679">
      <c r="A1679" s="24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5" t="n">
        <v>3.382504</v>
      </c>
    </row>
    <row r="1680">
      <c r="A1680" s="24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5" t="n">
        <v>2.546608</v>
      </c>
    </row>
    <row r="1681">
      <c r="A1681" s="24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5" t="n">
        <v>2.330246</v>
      </c>
    </row>
    <row r="1682">
      <c r="A1682" s="24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5" t="n">
        <v>2.097196</v>
      </c>
    </row>
    <row r="1683">
      <c r="A1683" s="24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5" t="n">
        <v>1.637682</v>
      </c>
    </row>
    <row r="1684">
      <c r="A1684" s="24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5" t="n">
        <v>1.732521</v>
      </c>
    </row>
    <row r="1685">
      <c r="A1685" s="24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5" t="n">
        <v>1.204195</v>
      </c>
    </row>
    <row r="1686">
      <c r="A1686" s="24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5" t="n">
        <v>1.40236</v>
      </c>
    </row>
    <row r="1687">
      <c r="A1687" s="24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5" t="n">
        <v>0.940897</v>
      </c>
    </row>
    <row r="1688">
      <c r="A1688" s="24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5" t="n">
        <v>1.103921</v>
      </c>
    </row>
    <row r="1689">
      <c r="A1689" s="24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5" t="n">
        <v>0.777997</v>
      </c>
    </row>
    <row r="1690">
      <c r="A1690" s="24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5" t="n">
        <v>0.847105</v>
      </c>
    </row>
    <row r="1691">
      <c r="A1691" s="24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5" t="n">
        <v>0.66656</v>
      </c>
    </row>
    <row r="1692">
      <c r="A1692" s="24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5" t="n">
        <v>0.639889</v>
      </c>
    </row>
    <row r="1693">
      <c r="A1693" s="24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5" t="n">
        <v>0.576343</v>
      </c>
    </row>
    <row r="1694">
      <c r="A1694" s="24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5" t="n">
        <v>0.483874</v>
      </c>
    </row>
    <row r="1695">
      <c r="A1695" s="24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5" t="n">
        <v>0.491732</v>
      </c>
    </row>
    <row r="1696">
      <c r="A1696" s="24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5" t="n">
        <v>0.374544</v>
      </c>
    </row>
    <row r="1697">
      <c r="A1697" s="24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5" t="n">
        <v>0.407255</v>
      </c>
    </row>
    <row r="1698">
      <c r="A1698" s="24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5" t="n">
        <v>0.303311</v>
      </c>
    </row>
    <row r="1699">
      <c r="A1699" s="24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5" t="n">
        <v>0.323539</v>
      </c>
    </row>
    <row r="1700">
      <c r="A1700" s="24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5" t="n">
        <v>0.259837</v>
      </c>
    </row>
    <row r="1701">
      <c r="A1701" s="24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5" t="n">
        <v>0.244121</v>
      </c>
    </row>
    <row r="1702">
      <c r="A1702" s="24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5" t="n">
        <v>0.244177</v>
      </c>
    </row>
    <row r="1703">
      <c r="A1703" s="24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5" t="n">
        <v>0.188842</v>
      </c>
    </row>
    <row r="1704">
      <c r="A1704" s="24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5" t="n">
        <v>0.23811</v>
      </c>
    </row>
    <row r="1705">
      <c r="A1705" s="24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5" t="n">
        <v>0.128381</v>
      </c>
    </row>
    <row r="1706">
      <c r="A1706" s="24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5" t="n">
        <v>0.23919</v>
      </c>
    </row>
    <row r="1707">
      <c r="A1707" s="24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5" t="n">
        <v>0.07241</v>
      </c>
    </row>
    <row r="1708">
      <c r="A1708" s="24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5" t="n">
        <v>0.225157</v>
      </c>
    </row>
    <row r="1709">
      <c r="A1709" s="24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5" t="n">
        <v>0.065305</v>
      </c>
    </row>
    <row r="1710">
      <c r="A1710" s="24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5" t="n">
        <v>0.17601</v>
      </c>
    </row>
    <row r="1711">
      <c r="A1711" s="24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5" t="n">
        <v>0.07643</v>
      </c>
    </row>
    <row r="1712">
      <c r="A1712" s="24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5" t="n">
        <v>0.1207</v>
      </c>
    </row>
    <row r="1713">
      <c r="A1713" s="24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5" t="n">
        <v>0.08947099999999999</v>
      </c>
    </row>
    <row r="1714">
      <c r="A1714" s="24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5" t="n">
        <v>0.06786</v>
      </c>
    </row>
    <row r="1715">
      <c r="A1715" s="24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5" t="n">
        <v>0.094293</v>
      </c>
    </row>
    <row r="1716">
      <c r="A1716" s="24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5" t="n">
        <v>0.034159</v>
      </c>
    </row>
    <row r="1717">
      <c r="A1717" s="24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5" t="n">
        <v>0.09505</v>
      </c>
    </row>
    <row r="1718">
      <c r="A1718" s="24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5" t="n">
        <v>0.024468</v>
      </c>
    </row>
    <row r="1719">
      <c r="A1719" s="24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5" t="n">
        <v>0.080099</v>
      </c>
    </row>
    <row r="1720">
      <c r="A1720" s="24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5" t="n">
        <v>0.022612</v>
      </c>
    </row>
    <row r="1721">
      <c r="A1721" s="24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5" t="n">
        <v>0.058721</v>
      </c>
    </row>
    <row r="1722">
      <c r="A1722" s="24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5" t="n">
        <v>0.024238</v>
      </c>
    </row>
    <row r="1723">
      <c r="A1723" s="24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5" t="n">
        <v>0.042606</v>
      </c>
    </row>
    <row r="1724">
      <c r="A1724" s="24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5" t="n">
        <v>0.027557</v>
      </c>
    </row>
    <row r="1725">
      <c r="A1725" s="24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5" t="n">
        <v>0.026587</v>
      </c>
    </row>
    <row r="1726">
      <c r="A1726" s="24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5" t="n">
        <v>0.029357</v>
      </c>
    </row>
    <row r="1727">
      <c r="A1727" s="24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5" t="n">
        <v>0.014142</v>
      </c>
    </row>
    <row r="1728">
      <c r="A1728" s="24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5" t="n">
        <v>0.030169</v>
      </c>
    </row>
    <row r="1729">
      <c r="A1729" s="24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5" t="n">
        <v>0.008572</v>
      </c>
    </row>
    <row r="1730">
      <c r="A1730" s="24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5" t="n">
        <v>0.026772</v>
      </c>
    </row>
    <row r="1731">
      <c r="A1731" s="24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5" t="n">
        <v>3.024923</v>
      </c>
    </row>
    <row r="1732">
      <c r="A1732" s="24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5" t="n">
        <v>5.07755</v>
      </c>
    </row>
    <row r="1733">
      <c r="A1733" s="24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5" t="n">
        <v>3.261641</v>
      </c>
    </row>
    <row r="1734">
      <c r="A1734" s="24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5" t="n">
        <v>2.094982</v>
      </c>
    </row>
    <row r="1735">
      <c r="A1735" s="24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5" t="n">
        <v>1.89078</v>
      </c>
    </row>
    <row r="1736">
      <c r="A1736" s="24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5" t="n">
        <v>1.041323</v>
      </c>
    </row>
    <row r="1737">
      <c r="A1737" s="24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5" t="n">
        <v>1.148417</v>
      </c>
    </row>
    <row r="1738">
      <c r="A1738" s="24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5" t="n">
        <v>0.660593</v>
      </c>
    </row>
    <row r="1739">
      <c r="A1739" s="24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5" t="n">
        <v>0.674749</v>
      </c>
    </row>
    <row r="1740">
      <c r="A1740" s="24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5" t="n">
        <v>0.510792</v>
      </c>
    </row>
    <row r="1741">
      <c r="A1741" s="24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5" t="n">
        <v>0.3798</v>
      </c>
    </row>
    <row r="1742">
      <c r="A1742" s="24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5" t="n">
        <v>0.6753169999999999</v>
      </c>
    </row>
    <row r="1743">
      <c r="A1743" s="24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5" t="n">
        <v>0.565725</v>
      </c>
    </row>
    <row r="1744">
      <c r="A1744" s="24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5" t="n">
        <v>13.509691</v>
      </c>
    </row>
    <row r="1745">
      <c r="A1745" s="24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5" t="n">
        <v>24.756903</v>
      </c>
    </row>
    <row r="1746">
      <c r="A1746" s="24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5" t="n">
        <v>22.773027</v>
      </c>
    </row>
    <row r="1747">
      <c r="A1747" s="24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5" t="n">
        <v>17.487456</v>
      </c>
    </row>
    <row r="1748">
      <c r="A1748" s="24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5" t="n">
        <v>14.456552</v>
      </c>
    </row>
    <row r="1749">
      <c r="A1749" s="24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5" t="n">
        <v>10.154807</v>
      </c>
    </row>
    <row r="1750">
      <c r="A1750" s="24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5" t="n">
        <v>8.913031</v>
      </c>
    </row>
    <row r="1751">
      <c r="A1751" s="24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5" t="n">
        <v>6.34782</v>
      </c>
    </row>
    <row r="1752">
      <c r="A1752" s="24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5" t="n">
        <v>6.62347</v>
      </c>
    </row>
    <row r="1753">
      <c r="A1753" s="24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5" t="n">
        <v>4.345989</v>
      </c>
    </row>
    <row r="1754">
      <c r="A1754" s="24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5" t="n">
        <v>3.691567</v>
      </c>
    </row>
    <row r="1755">
      <c r="A1755" s="24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5" t="n">
        <v>15.834525</v>
      </c>
    </row>
    <row r="1756">
      <c r="A1756" s="24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5" t="n">
        <v>22.650086</v>
      </c>
    </row>
    <row r="1757">
      <c r="A1757" s="24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5" t="n">
        <v>19.403363</v>
      </c>
    </row>
    <row r="1758">
      <c r="A1758" s="24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5" t="n">
        <v>15.016771</v>
      </c>
    </row>
    <row r="1759">
      <c r="A1759" s="24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5" t="n">
        <v>12.549302</v>
      </c>
    </row>
    <row r="1760">
      <c r="A1760" s="24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5" t="n">
        <v>6.961118</v>
      </c>
    </row>
    <row r="1761">
      <c r="A1761" s="24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5" t="n">
        <v>8.145109</v>
      </c>
    </row>
    <row r="1762">
      <c r="A1762" s="24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5" t="n">
        <v>4.216752</v>
      </c>
    </row>
    <row r="1763">
      <c r="A1763" s="24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5" t="n">
        <v>5.071756</v>
      </c>
    </row>
    <row r="1764">
      <c r="A1764" s="24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5" t="n">
        <v>3.302265</v>
      </c>
    </row>
    <row r="1765">
      <c r="A1765" s="24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5" t="n">
        <v>5.085932</v>
      </c>
    </row>
    <row r="1766">
      <c r="A1766" s="24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5" t="n">
        <v>16.039125</v>
      </c>
    </row>
    <row r="1767">
      <c r="A1767" s="24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5" t="n">
        <v>22.753928</v>
      </c>
    </row>
    <row r="1768">
      <c r="A1768" s="24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5" t="n">
        <v>18.506882</v>
      </c>
    </row>
    <row r="1769">
      <c r="A1769" s="24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5" t="n">
        <v>10.872821</v>
      </c>
    </row>
    <row r="1770">
      <c r="A1770" s="24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5" t="n">
        <v>10.386032</v>
      </c>
    </row>
    <row r="1771">
      <c r="A1771" s="24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5" t="n">
        <v>6.04945</v>
      </c>
    </row>
    <row r="1772">
      <c r="A1772" s="24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5" t="n">
        <v>6.467699</v>
      </c>
    </row>
    <row r="1773">
      <c r="A1773" s="24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5" t="n">
        <v>3.950271</v>
      </c>
    </row>
    <row r="1774">
      <c r="A1774" s="24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5" t="n">
        <v>4.146341</v>
      </c>
    </row>
    <row r="1775">
      <c r="A1775" s="24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5" t="n">
        <v>2.939869</v>
      </c>
    </row>
    <row r="1776">
      <c r="A1776" s="24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5" t="n">
        <v>2.667498</v>
      </c>
    </row>
    <row r="1777">
      <c r="A1777" s="24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5" t="n">
        <v>2.388256</v>
      </c>
    </row>
    <row r="1778">
      <c r="A1778" s="24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5" t="n">
        <v>1.708209</v>
      </c>
    </row>
    <row r="1779">
      <c r="A1779" s="24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5" t="n">
        <v>3.78376</v>
      </c>
    </row>
    <row r="1780">
      <c r="A1780" s="24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5" t="n">
        <v>5.680348</v>
      </c>
    </row>
    <row r="1781">
      <c r="A1781" s="24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5" t="n">
        <v>5.950639</v>
      </c>
    </row>
    <row r="1782">
      <c r="A1782" s="24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5" t="n">
        <v>3.129864</v>
      </c>
    </row>
    <row r="1783">
      <c r="A1783" s="24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5" t="n">
        <v>3.366398</v>
      </c>
    </row>
    <row r="1784">
      <c r="A1784" s="24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5" t="n">
        <v>1.933202</v>
      </c>
    </row>
    <row r="1785">
      <c r="A1785" s="24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5" t="n">
        <v>2.184109</v>
      </c>
    </row>
    <row r="1786">
      <c r="A1786" s="24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5" t="n">
        <v>1.325077</v>
      </c>
    </row>
    <row r="1787">
      <c r="A1787" s="24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5" t="n">
        <v>1.514729</v>
      </c>
    </row>
    <row r="1788">
      <c r="A1788" s="24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5" t="n">
        <v>2.828211</v>
      </c>
    </row>
    <row r="1789">
      <c r="A1789" s="24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5" t="n">
        <v>3.726668</v>
      </c>
    </row>
    <row r="1790">
      <c r="A1790" s="24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5" t="n">
        <v>2.123181</v>
      </c>
    </row>
    <row r="1791">
      <c r="A1791" s="24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5" t="n">
        <v>1.718282</v>
      </c>
    </row>
    <row r="1792">
      <c r="A1792" s="24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5" t="n">
        <v>1.574851</v>
      </c>
    </row>
    <row r="1793">
      <c r="A1793" s="24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5" t="n">
        <v>0.947103</v>
      </c>
    </row>
    <row r="1794">
      <c r="A1794" s="24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5" t="n">
        <v>1.173603</v>
      </c>
    </row>
    <row r="1795">
      <c r="A1795" s="24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5" t="n">
        <v>12.464546</v>
      </c>
    </row>
    <row r="1796">
      <c r="A1796" s="24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5" t="n">
        <v>18.170402</v>
      </c>
    </row>
    <row r="1797">
      <c r="A1797" s="24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5" t="n">
        <v>10.797978</v>
      </c>
    </row>
    <row r="1798">
      <c r="A1798" s="24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5" t="n">
        <v>8.608466999999999</v>
      </c>
    </row>
    <row r="1799">
      <c r="A1799" s="24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5" t="n">
        <v>19.3021</v>
      </c>
    </row>
    <row r="1800">
      <c r="A1800" s="24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5" t="n">
        <v>22.702475</v>
      </c>
    </row>
    <row r="1801">
      <c r="A1801" s="24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5" t="n">
        <v>16.02995</v>
      </c>
    </row>
    <row r="1802">
      <c r="A1802" s="24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5" t="n">
        <v>10.871195</v>
      </c>
    </row>
    <row r="1803">
      <c r="A1803" s="24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5" t="n">
        <v>11.366048</v>
      </c>
    </row>
    <row r="1804">
      <c r="A1804" s="24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5" t="n">
        <v>6.28046</v>
      </c>
    </row>
    <row r="1805">
      <c r="A1805" s="24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5" t="n">
        <v>6.405977</v>
      </c>
    </row>
    <row r="1806">
      <c r="A1806" s="24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5" t="n">
        <v>4.583503</v>
      </c>
    </row>
    <row r="1807">
      <c r="A1807" s="24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5" t="n">
        <v>13.754961</v>
      </c>
    </row>
    <row r="1808">
      <c r="A1808" s="24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5" t="n">
        <v>25.725383</v>
      </c>
    </row>
    <row r="1809">
      <c r="A1809" s="24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5" t="n">
        <v>19.776887</v>
      </c>
    </row>
    <row r="1810">
      <c r="A1810" s="24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5" t="n">
        <v>13.682132</v>
      </c>
    </row>
    <row r="1811">
      <c r="A1811" s="24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5" t="n">
        <v>9.932135000000001</v>
      </c>
    </row>
    <row r="1812">
      <c r="A1812" s="24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5" t="n">
        <v>16.489989</v>
      </c>
    </row>
    <row r="1813">
      <c r="A1813" s="24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5" t="n">
        <v>30.719243</v>
      </c>
    </row>
    <row r="1814">
      <c r="A1814" s="24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5" t="n">
        <v>39.804697</v>
      </c>
    </row>
    <row r="1815">
      <c r="A1815" s="24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5" t="n">
        <v>30.849493</v>
      </c>
    </row>
    <row r="1816">
      <c r="A1816" s="24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5" t="n">
        <v>22.352699</v>
      </c>
    </row>
    <row r="1817">
      <c r="A1817" s="24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5" t="n">
        <v>33.421544</v>
      </c>
    </row>
    <row r="1818">
      <c r="A1818" s="24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5" t="n">
        <v>50.794598</v>
      </c>
    </row>
    <row r="1819">
      <c r="A1819" s="24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5" t="n">
        <v>47.541519</v>
      </c>
    </row>
    <row r="1820">
      <c r="A1820" s="24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5" t="n">
        <v>47.164047</v>
      </c>
    </row>
    <row r="1821">
      <c r="A1821" s="24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5" t="n">
        <v>52.588155</v>
      </c>
    </row>
    <row r="1822">
      <c r="A1822" s="24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5" t="n">
        <v>40.171547</v>
      </c>
    </row>
    <row r="1823">
      <c r="A1823" s="24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5" t="n">
        <v>28.805367</v>
      </c>
    </row>
    <row r="1824">
      <c r="A1824" s="24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5" t="n">
        <v>22.353288</v>
      </c>
    </row>
    <row r="1825">
      <c r="A1825" s="24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5" t="n">
        <v>17.783381</v>
      </c>
    </row>
    <row r="1826">
      <c r="A1826" s="24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5" t="n">
        <v>15.788446</v>
      </c>
    </row>
    <row r="1827">
      <c r="A1827" s="24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5" t="n">
        <v>26.72121</v>
      </c>
    </row>
    <row r="1828">
      <c r="A1828" s="24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5" t="n">
        <v>27.686105</v>
      </c>
    </row>
    <row r="1829">
      <c r="A1829" s="24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5" t="n">
        <v>18.243212</v>
      </c>
    </row>
    <row r="1830">
      <c r="A1830" s="24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5" t="n">
        <v>13.588695</v>
      </c>
    </row>
    <row r="1831">
      <c r="A1831" s="24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5" t="n">
        <v>12.650086</v>
      </c>
    </row>
    <row r="1832">
      <c r="A1832" s="24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5" t="n">
        <v>13.240906</v>
      </c>
    </row>
    <row r="1833">
      <c r="A1833" s="24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5" t="n">
        <v>16.067909</v>
      </c>
    </row>
    <row r="1834">
      <c r="A1834" s="24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5" t="n">
        <v>9.581922</v>
      </c>
    </row>
    <row r="1835">
      <c r="A1835" s="24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5" t="n">
        <v>8.533868999999999</v>
      </c>
    </row>
    <row r="1836">
      <c r="A1836" s="24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5" t="n">
        <v>7.468675</v>
      </c>
    </row>
    <row r="1837">
      <c r="A1837" s="24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5" t="n">
        <v>5.204854</v>
      </c>
    </row>
    <row r="1838">
      <c r="A1838" s="24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5" t="n">
        <v>5.880111</v>
      </c>
    </row>
    <row r="1839">
      <c r="A1839" s="24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5" t="n">
        <v>3.334256</v>
      </c>
    </row>
    <row r="1840">
      <c r="A1840" s="24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5" t="n">
        <v>4.57292</v>
      </c>
    </row>
    <row r="1841">
      <c r="A1841" s="24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5" t="n">
        <v>2.405728</v>
      </c>
    </row>
    <row r="1842">
      <c r="A1842" s="24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5" t="n">
        <v>3.482791</v>
      </c>
    </row>
    <row r="1843">
      <c r="A1843" s="24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5" t="n">
        <v>1.928463</v>
      </c>
    </row>
    <row r="1844">
      <c r="A1844" s="24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5" t="n">
        <v>2.594433</v>
      </c>
    </row>
    <row r="1845">
      <c r="A1845" s="24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5" t="n">
        <v>1.656999</v>
      </c>
    </row>
    <row r="1846">
      <c r="A1846" s="24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5" t="n">
        <v>1.896335</v>
      </c>
    </row>
    <row r="1847">
      <c r="A1847" s="24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5" t="n">
        <v>1.469192</v>
      </c>
    </row>
    <row r="1848">
      <c r="A1848" s="24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5" t="n">
        <v>5.377346</v>
      </c>
    </row>
    <row r="1849">
      <c r="A1849" s="24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5" t="n">
        <v>7.037472</v>
      </c>
    </row>
    <row r="1850">
      <c r="A1850" s="24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5" t="n">
        <v>3.908258</v>
      </c>
    </row>
    <row r="1851">
      <c r="A1851" s="24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5" t="n">
        <v>5.333467</v>
      </c>
    </row>
    <row r="1852">
      <c r="A1852" s="24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5" t="n">
        <v>5.76711</v>
      </c>
    </row>
    <row r="1853">
      <c r="A1853" s="24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5" t="n">
        <v>3.433579</v>
      </c>
    </row>
    <row r="1854">
      <c r="A1854" s="24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5" t="n">
        <v>2.91612</v>
      </c>
    </row>
    <row r="1855">
      <c r="A1855" s="24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5" t="n">
        <v>2.462359</v>
      </c>
    </row>
    <row r="1856">
      <c r="A1856" s="24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5" t="n">
        <v>1.618737</v>
      </c>
    </row>
    <row r="1857">
      <c r="A1857" s="24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5" t="n">
        <v>1.886216</v>
      </c>
    </row>
    <row r="1858">
      <c r="A1858" s="24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5" t="n">
        <v>2.537076</v>
      </c>
    </row>
    <row r="1859">
      <c r="A1859" s="24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5" t="n">
        <v>3.673203</v>
      </c>
    </row>
    <row r="1860">
      <c r="A1860" s="24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5" t="n">
        <v>1.808533</v>
      </c>
    </row>
    <row r="1861">
      <c r="A1861" s="24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5" t="n">
        <v>1.88755</v>
      </c>
    </row>
    <row r="1862">
      <c r="A1862" s="24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5" t="n">
        <v>13.291616</v>
      </c>
    </row>
    <row r="1863">
      <c r="A1863" s="24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5" t="n">
        <v>18.265172</v>
      </c>
    </row>
    <row r="1864">
      <c r="A1864" s="24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5" t="n">
        <v>9.716839999999999</v>
      </c>
    </row>
    <row r="1865">
      <c r="A1865" s="24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5" t="n">
        <v>6.891529</v>
      </c>
    </row>
    <row r="1866">
      <c r="A1866" s="24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5" t="n">
        <v>6.717081</v>
      </c>
    </row>
    <row r="1867">
      <c r="A1867" s="24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5" t="n">
        <v>3.197727</v>
      </c>
    </row>
    <row r="1868">
      <c r="A1868" s="24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5" t="n">
        <v>4.44838</v>
      </c>
    </row>
    <row r="1869">
      <c r="A1869" s="24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5" t="n">
        <v>2.075891</v>
      </c>
    </row>
    <row r="1870">
      <c r="A1870" s="24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5" t="n">
        <v>5.522133</v>
      </c>
    </row>
    <row r="1871">
      <c r="A1871" s="24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5" t="n">
        <v>14.158184</v>
      </c>
    </row>
    <row r="1872">
      <c r="A1872" s="24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5" t="n">
        <v>19.816009</v>
      </c>
    </row>
    <row r="1873">
      <c r="A1873" s="24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5" t="n">
        <v>16.415719</v>
      </c>
    </row>
    <row r="1874">
      <c r="A1874" s="24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5" t="n">
        <v>11.036191</v>
      </c>
    </row>
    <row r="1875">
      <c r="A1875" s="24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5" t="n">
        <v>11.102557</v>
      </c>
    </row>
    <row r="1876">
      <c r="A1876" s="24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5" t="n">
        <v>8.585520000000001</v>
      </c>
    </row>
    <row r="1877">
      <c r="A1877" s="24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5" t="n">
        <v>10.304918</v>
      </c>
    </row>
    <row r="1878">
      <c r="A1878" s="24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5" t="n">
        <v>14.972548</v>
      </c>
    </row>
    <row r="1879">
      <c r="A1879" s="24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5" t="n">
        <v>18.085408</v>
      </c>
    </row>
    <row r="1880">
      <c r="A1880" s="24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5" t="n">
        <v>27.775233</v>
      </c>
    </row>
    <row r="1881">
      <c r="A1881" s="24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5" t="n">
        <v>31.417675</v>
      </c>
    </row>
    <row r="1882">
      <c r="A1882" s="24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5" t="n">
        <v>19.026888</v>
      </c>
    </row>
    <row r="1883">
      <c r="A1883" s="24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5" t="n">
        <v>13.567686</v>
      </c>
    </row>
    <row r="1884">
      <c r="A1884" s="24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5" t="n">
        <v>12.640985</v>
      </c>
    </row>
    <row r="1885">
      <c r="A1885" s="24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5" t="n">
        <v>7.62007</v>
      </c>
    </row>
    <row r="1886">
      <c r="A1886" s="24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5" t="n">
        <v>9.415459999999999</v>
      </c>
    </row>
    <row r="1887">
      <c r="A1887" s="24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5" t="n">
        <v>5.830296</v>
      </c>
    </row>
    <row r="1888">
      <c r="A1888" s="24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5" t="n">
        <v>11.080367</v>
      </c>
    </row>
    <row r="1889">
      <c r="A1889" s="24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5" t="n">
        <v>9.977772</v>
      </c>
    </row>
    <row r="1890">
      <c r="A1890" s="24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5" t="n">
        <v>8.159484000000001</v>
      </c>
    </row>
    <row r="1891">
      <c r="A1891" s="24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5" t="n">
        <v>21.914108</v>
      </c>
    </row>
    <row r="1892">
      <c r="A1892" s="24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5" t="n">
        <v>26.193962</v>
      </c>
    </row>
    <row r="1893">
      <c r="A1893" s="24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5" t="n">
        <v>15.107906</v>
      </c>
    </row>
    <row r="1894">
      <c r="A1894" s="24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5" t="n">
        <v>10.940962</v>
      </c>
    </row>
    <row r="1895">
      <c r="A1895" s="24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5" t="n">
        <v>10.495939</v>
      </c>
    </row>
    <row r="1896">
      <c r="A1896" s="24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5" t="n">
        <v>5.50573</v>
      </c>
    </row>
    <row r="1897">
      <c r="A1897" s="24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5" t="n">
        <v>7.240474</v>
      </c>
    </row>
    <row r="1898">
      <c r="A1898" s="24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5" t="n">
        <v>3.565166</v>
      </c>
    </row>
    <row r="1899">
      <c r="A1899" s="24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5" t="n">
        <v>4.732125</v>
      </c>
    </row>
    <row r="1900">
      <c r="A1900" s="24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5" t="n">
        <v>2.913292</v>
      </c>
    </row>
    <row r="1901">
      <c r="A1901" s="24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5" t="n">
        <v>2.923872</v>
      </c>
    </row>
    <row r="1902">
      <c r="A1902" s="24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5" t="n">
        <v>2.630265</v>
      </c>
    </row>
    <row r="1903">
      <c r="A1903" s="24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5" t="n">
        <v>1.74188</v>
      </c>
    </row>
    <row r="1904">
      <c r="A1904" s="24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5" t="n">
        <v>2.36203</v>
      </c>
    </row>
    <row r="1905">
      <c r="A1905" s="24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5" t="n">
        <v>1.060186</v>
      </c>
    </row>
    <row r="1906">
      <c r="A1906" s="24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5" t="n">
        <v>2.015286</v>
      </c>
    </row>
    <row r="1907">
      <c r="A1907" s="24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5" t="n">
        <v>0.732786</v>
      </c>
    </row>
    <row r="1908">
      <c r="A1908" s="24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5" t="n">
        <v>1.606181</v>
      </c>
    </row>
    <row r="1909">
      <c r="A1909" s="24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5" t="n">
        <v>0.624485</v>
      </c>
    </row>
    <row r="1910">
      <c r="A1910" s="24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5" t="n">
        <v>1.184703</v>
      </c>
    </row>
    <row r="1911">
      <c r="A1911" s="24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5" t="n">
        <v>0.627107</v>
      </c>
    </row>
    <row r="1912">
      <c r="A1912" s="24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5" t="n">
        <v>0.799184</v>
      </c>
    </row>
    <row r="1913">
      <c r="A1913" s="24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5" t="n">
        <v>0.666538</v>
      </c>
    </row>
    <row r="1914">
      <c r="A1914" s="24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5" t="n">
        <v>0.481137</v>
      </c>
    </row>
    <row r="1915">
      <c r="A1915" s="24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5" t="n">
        <v>0.710323</v>
      </c>
    </row>
    <row r="1916">
      <c r="A1916" s="24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5" t="n">
        <v>6.851511</v>
      </c>
    </row>
    <row r="1917">
      <c r="A1917" s="24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5" t="n">
        <v>24.632975</v>
      </c>
    </row>
    <row r="1918">
      <c r="A1918" s="24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5" t="n">
        <v>32.144568</v>
      </c>
    </row>
    <row r="1919">
      <c r="A1919" s="24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5" t="n">
        <v>23.862868</v>
      </c>
    </row>
    <row r="1920">
      <c r="A1920" s="24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5" t="n">
        <v>16.747522</v>
      </c>
    </row>
    <row r="1921">
      <c r="A1921" s="24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5" t="n">
        <v>14.364625</v>
      </c>
    </row>
    <row r="1922">
      <c r="A1922" s="24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5" t="n">
        <v>9.516923</v>
      </c>
    </row>
    <row r="1923">
      <c r="A1923" s="24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5" t="n">
        <v>10.135528</v>
      </c>
    </row>
    <row r="1924">
      <c r="A1924" s="24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5" t="n">
        <v>8.891522</v>
      </c>
    </row>
    <row r="1925">
      <c r="A1925" s="24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5" t="n">
        <v>6.48591</v>
      </c>
    </row>
    <row r="1926">
      <c r="A1926" s="24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5" t="n">
        <v>5.125137</v>
      </c>
    </row>
    <row r="1927">
      <c r="A1927" s="24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5" t="n">
        <v>4.318583</v>
      </c>
    </row>
    <row r="1928">
      <c r="A1928" s="24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5" t="n">
        <v>3.383868</v>
      </c>
    </row>
    <row r="1929">
      <c r="A1929" s="24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5" t="n">
        <v>2.961397</v>
      </c>
    </row>
    <row r="1930">
      <c r="A1930" s="24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5" t="n">
        <v>2.473538</v>
      </c>
    </row>
    <row r="1931">
      <c r="A1931" s="24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5" t="n">
        <v>2.052061</v>
      </c>
    </row>
    <row r="1932">
      <c r="A1932" s="24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5" t="n">
        <v>1.937217</v>
      </c>
    </row>
    <row r="1933">
      <c r="A1933" s="24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5" t="n">
        <v>1.437379</v>
      </c>
    </row>
    <row r="1934">
      <c r="A1934" s="24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5" t="n">
        <v>1.571107</v>
      </c>
    </row>
    <row r="1935">
      <c r="A1935" s="24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5" t="n">
        <v>1.027303</v>
      </c>
    </row>
    <row r="1936">
      <c r="A1936" s="24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5" t="n">
        <v>7.453897</v>
      </c>
    </row>
    <row r="1937">
      <c r="A1937" s="24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5" t="n">
        <v>16.050677</v>
      </c>
    </row>
    <row r="1938">
      <c r="A1938" s="24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5" t="n">
        <v>14.800045</v>
      </c>
    </row>
    <row r="1939">
      <c r="A1939" s="24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5" t="n">
        <v>8.462039000000001</v>
      </c>
    </row>
    <row r="1940">
      <c r="A1940" s="24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5" t="n">
        <v>13.336355</v>
      </c>
    </row>
    <row r="1941">
      <c r="A1941" s="24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5" t="n">
        <v>13.809491</v>
      </c>
    </row>
    <row r="1942">
      <c r="A1942" s="24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5" t="n">
        <v>8.536171</v>
      </c>
    </row>
    <row r="1943">
      <c r="A1943" s="24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5" t="n">
        <v>6.481307</v>
      </c>
    </row>
    <row r="1944">
      <c r="A1944" s="24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5" t="n">
        <v>6.632912</v>
      </c>
    </row>
    <row r="1945">
      <c r="A1945" s="24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5" t="n">
        <v>5.149522</v>
      </c>
    </row>
    <row r="1946">
      <c r="A1946" s="24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5" t="n">
        <v>5.70972</v>
      </c>
    </row>
    <row r="1947">
      <c r="A1947" s="24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5" t="n">
        <v>13.701468</v>
      </c>
    </row>
    <row r="1948">
      <c r="A1948" s="24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5" t="n">
        <v>21.117328</v>
      </c>
    </row>
    <row r="1949">
      <c r="A1949" s="24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5" t="n">
        <v>15.813448</v>
      </c>
    </row>
    <row r="1950">
      <c r="A1950" s="24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5" t="n">
        <v>10.363084</v>
      </c>
    </row>
    <row r="1951">
      <c r="A1951" s="24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5" t="n">
        <v>13.062086</v>
      </c>
    </row>
    <row r="1952">
      <c r="A1952" s="24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5" t="n">
        <v>13.293762</v>
      </c>
    </row>
    <row r="1953">
      <c r="A1953" s="24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5" t="n">
        <v>10.677384</v>
      </c>
    </row>
    <row r="1954">
      <c r="A1954" s="24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5" t="n">
        <v>6.90523</v>
      </c>
    </row>
    <row r="1955">
      <c r="A1955" s="24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5" t="n">
        <v>9.483212999999999</v>
      </c>
    </row>
    <row r="1956">
      <c r="A1956" s="24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5" t="n">
        <v>9.342535</v>
      </c>
    </row>
    <row r="1957">
      <c r="A1957" s="24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5" t="n">
        <v>7.604859</v>
      </c>
    </row>
    <row r="1958">
      <c r="A1958" s="24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5" t="n">
        <v>5.166363</v>
      </c>
    </row>
    <row r="1959">
      <c r="A1959" s="24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5" t="n">
        <v>4.670933</v>
      </c>
    </row>
    <row r="1960">
      <c r="A1960" s="24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5" t="n">
        <v>3.437964</v>
      </c>
    </row>
    <row r="1961">
      <c r="A1961" s="24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5" t="n">
        <v>2.980784</v>
      </c>
    </row>
    <row r="1962">
      <c r="A1962" s="24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5" t="n">
        <v>2.592594</v>
      </c>
    </row>
    <row r="1963">
      <c r="A1963" s="24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5" t="n">
        <v>1.938045</v>
      </c>
    </row>
    <row r="1964">
      <c r="A1964" s="24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5" t="n">
        <v>2.063807</v>
      </c>
    </row>
    <row r="1965">
      <c r="A1965" s="24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5" t="n">
        <v>1.311905</v>
      </c>
    </row>
    <row r="1966">
      <c r="A1966" s="24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5" t="n">
        <v>1.649838</v>
      </c>
    </row>
    <row r="1967">
      <c r="A1967" s="24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5" t="n">
        <v>0.956789</v>
      </c>
    </row>
    <row r="1968">
      <c r="A1968" s="24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5" t="n">
        <v>1.287438</v>
      </c>
    </row>
    <row r="1969">
      <c r="A1969" s="24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5" t="n">
        <v>9.284836</v>
      </c>
    </row>
    <row r="1970">
      <c r="A1970" s="24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5" t="n">
        <v>22.599813</v>
      </c>
    </row>
    <row r="1971">
      <c r="A1971" s="24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5" t="n">
        <v>20.410965</v>
      </c>
    </row>
    <row r="1972">
      <c r="A1972" s="24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5" t="n">
        <v>11.945276</v>
      </c>
    </row>
    <row r="1973">
      <c r="A1973" s="24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5" t="n">
        <v>9.70186</v>
      </c>
    </row>
    <row r="1974">
      <c r="A1974" s="24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5" t="n">
        <v>7.075064</v>
      </c>
    </row>
    <row r="1975">
      <c r="A1975" s="24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5" t="n">
        <v>9.634938</v>
      </c>
    </row>
    <row r="1976">
      <c r="A1976" s="24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5" t="n">
        <v>21.298494</v>
      </c>
    </row>
    <row r="1977">
      <c r="A1977" s="24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5" t="n">
        <v>25.481868</v>
      </c>
    </row>
    <row r="1978">
      <c r="A1978" s="24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5" t="n">
        <v>20.050022</v>
      </c>
    </row>
    <row r="1979">
      <c r="A1979" s="24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5" t="n">
        <v>15.189659</v>
      </c>
    </row>
    <row r="1980">
      <c r="A1980" s="24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5" t="n">
        <v>15.608256</v>
      </c>
    </row>
    <row r="1981">
      <c r="A1981" s="24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5" t="n">
        <v>29.066889</v>
      </c>
    </row>
    <row r="1982">
      <c r="A1982" s="24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5" t="n">
        <v>33.141445</v>
      </c>
    </row>
    <row r="1983">
      <c r="A1983" s="24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5" t="n">
        <v>20.538042</v>
      </c>
    </row>
    <row r="1984">
      <c r="A1984" s="24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5" t="n">
        <v>15.417114</v>
      </c>
    </row>
    <row r="1985">
      <c r="A1985" s="24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5" t="n">
        <v>25.416017</v>
      </c>
    </row>
    <row r="1986">
      <c r="A1986" s="24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5" t="n">
        <v>30.341475</v>
      </c>
    </row>
    <row r="1987">
      <c r="A1987" s="24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5" t="n">
        <v>32.000391</v>
      </c>
    </row>
    <row r="1988">
      <c r="A1988" s="24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5" t="n">
        <v>35.101665</v>
      </c>
    </row>
    <row r="1989">
      <c r="A1989" s="24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5" t="n">
        <v>34.613575</v>
      </c>
    </row>
    <row r="1990">
      <c r="A1990" s="24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5" t="n">
        <v>37.46067</v>
      </c>
    </row>
    <row r="1991">
      <c r="A1991" s="24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5" t="n">
        <v>42.410563</v>
      </c>
    </row>
    <row r="1992">
      <c r="A1992" s="24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5" t="n">
        <v>37.742677</v>
      </c>
    </row>
    <row r="1993">
      <c r="A1993" s="24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5" t="n">
        <v>39.704876</v>
      </c>
    </row>
    <row r="1994">
      <c r="A1994" s="24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5" t="n">
        <v>49.628584</v>
      </c>
    </row>
    <row r="1995">
      <c r="A1995" s="24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5" t="n">
        <v>83.013768</v>
      </c>
    </row>
    <row r="1996">
      <c r="A1996" s="24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5" t="n">
        <v>111.738612</v>
      </c>
    </row>
    <row r="1997">
      <c r="A1997" s="24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5" t="n">
        <v>85.947706</v>
      </c>
    </row>
    <row r="1998">
      <c r="A1998" s="24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5" t="n">
        <v>73.324376</v>
      </c>
    </row>
    <row r="1999">
      <c r="A1999" s="24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5" t="n">
        <v>74.18385499999999</v>
      </c>
    </row>
    <row r="2000">
      <c r="A2000" s="24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5" t="n">
        <v>62.32325</v>
      </c>
    </row>
    <row r="2001">
      <c r="A2001" s="24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5" t="n">
        <v>43.08248</v>
      </c>
    </row>
    <row r="2002">
      <c r="A2002" s="24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5" t="n">
        <v>34.523069</v>
      </c>
    </row>
    <row r="2003">
      <c r="A2003" s="24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5" t="n">
        <v>27.0837</v>
      </c>
    </row>
    <row r="2004">
      <c r="A2004" s="24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5" t="n">
        <v>21.02683</v>
      </c>
    </row>
    <row r="2005">
      <c r="A2005" s="24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5" t="n">
        <v>18.533674</v>
      </c>
    </row>
    <row r="2006">
      <c r="A2006" s="24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5" t="n">
        <v>17.796865</v>
      </c>
    </row>
    <row r="2007">
      <c r="A2007" s="24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5" t="n">
        <v>19.019338</v>
      </c>
    </row>
    <row r="2008">
      <c r="A2008" s="24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5" t="n">
        <v>34.155729</v>
      </c>
    </row>
    <row r="2009">
      <c r="A2009" s="24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5" t="n">
        <v>60.370639</v>
      </c>
    </row>
    <row r="2010">
      <c r="A2010" s="24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5" t="n">
        <v>96.042957</v>
      </c>
    </row>
    <row r="2011">
      <c r="A2011" s="24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5" t="n">
        <v>128.850638</v>
      </c>
    </row>
    <row r="2012">
      <c r="A2012" s="24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5" t="n">
        <v>100.017401</v>
      </c>
    </row>
    <row r="2013">
      <c r="A2013" s="24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5" t="n">
        <v>68.287059</v>
      </c>
    </row>
    <row r="2014">
      <c r="A2014" s="24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5" t="n">
        <v>65.62024700000001</v>
      </c>
    </row>
    <row r="2015">
      <c r="A2015" s="24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5" t="n">
        <v>43.604343</v>
      </c>
    </row>
    <row r="2016">
      <c r="A2016" s="24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5" t="n">
        <v>33.54112</v>
      </c>
    </row>
    <row r="2017">
      <c r="A2017" s="24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5" t="n">
        <v>28.303803</v>
      </c>
    </row>
    <row r="2018">
      <c r="A2018" s="24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5" t="n">
        <v>19.501802</v>
      </c>
    </row>
    <row r="2019">
      <c r="A2019" s="24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5" t="n">
        <v>19.321261</v>
      </c>
    </row>
    <row r="2020">
      <c r="A2020" s="24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5" t="n">
        <v>12.911746</v>
      </c>
    </row>
    <row r="2021">
      <c r="A2021" s="24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5" t="n">
        <v>13.334598</v>
      </c>
    </row>
    <row r="2022">
      <c r="A2022" s="24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5" t="n">
        <v>9.573138</v>
      </c>
    </row>
    <row r="2023">
      <c r="A2023" s="24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5" t="n">
        <v>9.207952000000001</v>
      </c>
    </row>
    <row r="2024">
      <c r="A2024" s="24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5" t="n">
        <v>7.662807</v>
      </c>
    </row>
    <row r="2025">
      <c r="A2025" s="24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5" t="n">
        <v>6.390455</v>
      </c>
    </row>
    <row r="2026">
      <c r="A2026" s="24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5" t="n">
        <v>6.343672</v>
      </c>
    </row>
    <row r="2027">
      <c r="A2027" s="24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5" t="n">
        <v>16.523409</v>
      </c>
    </row>
    <row r="2028">
      <c r="A2028" s="24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5" t="n">
        <v>23.281896</v>
      </c>
    </row>
    <row r="2029">
      <c r="A2029" s="24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5" t="n">
        <v>13.298584</v>
      </c>
    </row>
    <row r="2030">
      <c r="A2030" s="24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5" t="n">
        <v>10.991155</v>
      </c>
    </row>
    <row r="2031">
      <c r="A2031" s="24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5" t="n">
        <v>9.048868000000001</v>
      </c>
    </row>
    <row r="2032">
      <c r="A2032" s="24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5" t="n">
        <v>6.442851</v>
      </c>
    </row>
    <row r="2033">
      <c r="A2033" s="24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5" t="n">
        <v>89.32757599999999</v>
      </c>
    </row>
    <row r="2034">
      <c r="A2034" s="24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5" t="n">
        <v>192.522143</v>
      </c>
    </row>
    <row r="2035">
      <c r="A2035" s="24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5" t="n">
        <v>151.620949</v>
      </c>
    </row>
    <row r="2036">
      <c r="A2036" s="24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5" t="n">
        <v>74.192581</v>
      </c>
    </row>
    <row r="2037">
      <c r="A2037" s="24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5" t="n">
        <v>61.881521</v>
      </c>
    </row>
    <row r="2038">
      <c r="A2038" s="24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5" t="n">
        <v>39.895565</v>
      </c>
    </row>
    <row r="2039">
      <c r="A2039" s="24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5" t="n">
        <v>27.811942</v>
      </c>
    </row>
    <row r="2040">
      <c r="A2040" s="24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5" t="n">
        <v>24.013328</v>
      </c>
    </row>
    <row r="2041">
      <c r="A2041" s="24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5" t="n">
        <v>15.112056</v>
      </c>
    </row>
    <row r="2042">
      <c r="A2042" s="24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5" t="n">
        <v>15.784134</v>
      </c>
    </row>
    <row r="2043">
      <c r="A2043" s="24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5" t="n">
        <v>9.690841000000001</v>
      </c>
    </row>
    <row r="2044">
      <c r="A2044" s="24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5" t="n">
        <v>10.532178</v>
      </c>
    </row>
    <row r="2045">
      <c r="A2045" s="24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5" t="n">
        <v>7.155099</v>
      </c>
    </row>
    <row r="2046">
      <c r="A2046" s="24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5" t="n">
        <v>6.957505</v>
      </c>
    </row>
    <row r="2047">
      <c r="A2047" s="24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5" t="n">
        <v>5.823443</v>
      </c>
    </row>
    <row r="2048">
      <c r="A2048" s="24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5" t="n">
        <v>4.554963</v>
      </c>
    </row>
    <row r="2049">
      <c r="A2049" s="24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5" t="n">
        <v>4.937482</v>
      </c>
    </row>
    <row r="2050">
      <c r="A2050" s="24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5" t="n">
        <v>3.008508</v>
      </c>
    </row>
    <row r="2051">
      <c r="A2051" s="24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5" t="n">
        <v>4.177529</v>
      </c>
    </row>
    <row r="2052">
      <c r="A2052" s="24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5" t="n">
        <v>2.079862</v>
      </c>
    </row>
    <row r="2053">
      <c r="A2053" s="24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5" t="n">
        <v>3.438104</v>
      </c>
    </row>
    <row r="2054">
      <c r="A2054" s="24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5" t="n">
        <v>1.5766</v>
      </c>
    </row>
    <row r="2055">
      <c r="A2055" s="24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5" t="n">
        <v>2.711269</v>
      </c>
    </row>
    <row r="2056">
      <c r="A2056" s="24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5" t="n">
        <v>1.344193</v>
      </c>
    </row>
    <row r="2057">
      <c r="A2057" s="24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5" t="n">
        <v>2.025533</v>
      </c>
    </row>
    <row r="2058">
      <c r="A2058" s="24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5" t="n">
        <v>1.263593</v>
      </c>
    </row>
    <row r="2059">
      <c r="A2059" s="24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5" t="n">
        <v>1.415085</v>
      </c>
    </row>
    <row r="2060">
      <c r="A2060" s="24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5" t="n">
        <v>1.265542</v>
      </c>
    </row>
    <row r="2061">
      <c r="A2061" s="24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5" t="n">
        <v>0.894472</v>
      </c>
    </row>
    <row r="2062">
      <c r="A2062" s="24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5" t="n">
        <v>1.325621</v>
      </c>
    </row>
    <row r="2063">
      <c r="A2063" s="24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5" t="n">
        <v>0.461134</v>
      </c>
    </row>
    <row r="2064">
      <c r="A2064" s="24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5" t="n">
        <v>1.311299</v>
      </c>
    </row>
    <row r="2065">
      <c r="A2065" s="24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5" t="n">
        <v>0.346036</v>
      </c>
    </row>
    <row r="2066">
      <c r="A2066" s="24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5" t="n">
        <v>1.07198</v>
      </c>
    </row>
    <row r="2067">
      <c r="A2067" s="24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5" t="n">
        <v>0.344395</v>
      </c>
    </row>
    <row r="2068">
      <c r="A2068" s="24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5" t="n">
        <v>0.803817</v>
      </c>
    </row>
    <row r="2069">
      <c r="A2069" s="24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5" t="n">
        <v>0.363032</v>
      </c>
    </row>
    <row r="2070">
      <c r="A2070" s="24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5" t="n">
        <v>0.5714050000000001</v>
      </c>
    </row>
    <row r="2071">
      <c r="A2071" s="24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5" t="n">
        <v>0.404211</v>
      </c>
    </row>
    <row r="2072">
      <c r="A2072" s="24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5" t="n">
        <v>0.360551</v>
      </c>
    </row>
    <row r="2073">
      <c r="A2073" s="24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5" t="n">
        <v>0.42693</v>
      </c>
    </row>
    <row r="2074">
      <c r="A2074" s="24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5" t="n">
        <v>0.207618</v>
      </c>
    </row>
    <row r="2075">
      <c r="A2075" s="24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5" t="n">
        <v>0.432634</v>
      </c>
    </row>
    <row r="2076">
      <c r="A2076" s="24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5" t="n">
        <v>0.120771</v>
      </c>
    </row>
    <row r="2077">
      <c r="A2077" s="24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5" t="n">
        <v>0.392454</v>
      </c>
    </row>
    <row r="2078">
      <c r="A2078" s="24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5" t="n">
        <v>0.099791</v>
      </c>
    </row>
    <row r="2079">
      <c r="A2079" s="24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5" t="n">
        <v>0.316628</v>
      </c>
    </row>
    <row r="2080">
      <c r="A2080" s="24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5" t="n">
        <v>0.101142</v>
      </c>
    </row>
    <row r="2081">
      <c r="A2081" s="24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5" t="n">
        <v>11.923772</v>
      </c>
    </row>
    <row r="2082">
      <c r="A2082" s="24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5" t="n">
        <v>16.864772</v>
      </c>
    </row>
    <row r="2083">
      <c r="A2083" s="24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5" t="n">
        <v>8.774673</v>
      </c>
    </row>
    <row r="2084">
      <c r="A2084" s="24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5" t="n">
        <v>6.059236</v>
      </c>
    </row>
    <row r="2085">
      <c r="A2085" s="24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5" t="n">
        <v>6.016761</v>
      </c>
    </row>
    <row r="2086">
      <c r="A2086" s="24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5" t="n">
        <v>2.633203</v>
      </c>
    </row>
    <row r="2087">
      <c r="A2087" s="24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5" t="n">
        <v>3.922593</v>
      </c>
    </row>
    <row r="2088">
      <c r="A2088" s="24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5" t="n">
        <v>1.665644</v>
      </c>
    </row>
    <row r="2089">
      <c r="A2089" s="24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5" t="n">
        <v>2.28204</v>
      </c>
    </row>
    <row r="2090">
      <c r="A2090" s="24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5" t="n">
        <v>1.488433</v>
      </c>
    </row>
    <row r="2091">
      <c r="A2091" s="24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5" t="n">
        <v>1.148539</v>
      </c>
    </row>
    <row r="2092">
      <c r="A2092" s="24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5" t="n">
        <v>1.449612</v>
      </c>
    </row>
    <row r="2093">
      <c r="A2093" s="24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5" t="n">
        <v>3.492098</v>
      </c>
    </row>
    <row r="2094">
      <c r="A2094" s="24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5" t="n">
        <v>12.284818</v>
      </c>
    </row>
    <row r="2095">
      <c r="A2095" s="24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5" t="n">
        <v>27.078633</v>
      </c>
    </row>
    <row r="2096">
      <c r="A2096" s="24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5" t="n">
        <v>35.024813</v>
      </c>
    </row>
    <row r="2097">
      <c r="A2097" s="24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5" t="n">
        <v>24.08058</v>
      </c>
    </row>
    <row r="2098">
      <c r="A2098" s="24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5" t="n">
        <v>16.495944</v>
      </c>
    </row>
    <row r="2099">
      <c r="A2099" s="24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5" t="n">
        <v>13.112097</v>
      </c>
    </row>
    <row r="2100">
      <c r="A2100" s="24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5" t="n">
        <v>9.342347999999999</v>
      </c>
    </row>
    <row r="2101">
      <c r="A2101" s="24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5" t="n">
        <v>7.873915</v>
      </c>
    </row>
    <row r="2102">
      <c r="A2102" s="24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5" t="n">
        <v>5.91556</v>
      </c>
    </row>
    <row r="2103">
      <c r="A2103" s="24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5" t="n">
        <v>5.032735</v>
      </c>
    </row>
    <row r="2104">
      <c r="A2104" s="24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5" t="n">
        <v>4.047817</v>
      </c>
    </row>
    <row r="2105">
      <c r="A2105" s="24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5" t="n">
        <v>3.405368</v>
      </c>
    </row>
    <row r="2106">
      <c r="A2106" s="24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5" t="n">
        <v>2.907082</v>
      </c>
    </row>
    <row r="2107">
      <c r="A2107" s="24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5" t="n">
        <v>2.43852</v>
      </c>
    </row>
    <row r="2108">
      <c r="A2108" s="24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5" t="n">
        <v>2.142113</v>
      </c>
    </row>
    <row r="2109">
      <c r="A2109" s="24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5" t="n">
        <v>1.84099</v>
      </c>
    </row>
    <row r="2110">
      <c r="A2110" s="24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5" t="n">
        <v>1.598048</v>
      </c>
    </row>
    <row r="2111">
      <c r="A2111" s="24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5" t="n">
        <v>1.448491</v>
      </c>
    </row>
    <row r="2112">
      <c r="A2112" s="24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5" t="n">
        <v>1.202255</v>
      </c>
    </row>
    <row r="2113">
      <c r="A2113" s="24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5" t="n">
        <v>1.167947</v>
      </c>
    </row>
    <row r="2114">
      <c r="A2114" s="24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5" t="n">
        <v>0.915721</v>
      </c>
    </row>
    <row r="2115">
      <c r="A2115" s="24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5" t="n">
        <v>0.948487</v>
      </c>
    </row>
    <row r="2116">
      <c r="A2116" s="24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5" t="n">
        <v>0.712497</v>
      </c>
    </row>
    <row r="2117">
      <c r="A2117" s="24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5" t="n">
        <v>0.764497</v>
      </c>
    </row>
    <row r="2118">
      <c r="A2118" s="24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5" t="n">
        <v>0.571838</v>
      </c>
    </row>
    <row r="2119">
      <c r="A2119" s="24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5" t="n">
        <v>0.604973</v>
      </c>
    </row>
    <row r="2120">
      <c r="A2120" s="24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5" t="n">
        <v>0.475869</v>
      </c>
    </row>
    <row r="2121">
      <c r="A2121" s="24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5" t="n">
        <v>0.466656</v>
      </c>
    </row>
    <row r="2122">
      <c r="A2122" s="24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5" t="n">
        <v>0.409356</v>
      </c>
    </row>
    <row r="2123">
      <c r="A2123" s="24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5" t="n">
        <v>0.349666</v>
      </c>
    </row>
    <row r="2124">
      <c r="A2124" s="24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5" t="n">
        <v>0.360017</v>
      </c>
    </row>
    <row r="2125">
      <c r="A2125" s="24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5" t="n">
        <v>0.262525</v>
      </c>
    </row>
    <row r="2126">
      <c r="A2126" s="24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5" t="n">
        <v>0.337321</v>
      </c>
    </row>
    <row r="2127">
      <c r="A2127" s="24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5" t="n">
        <v>0.186805</v>
      </c>
    </row>
    <row r="2128">
      <c r="A2128" s="24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5" t="n">
        <v>0.324812</v>
      </c>
    </row>
    <row r="2129">
      <c r="A2129" s="24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5" t="n">
        <v>0.121039</v>
      </c>
    </row>
    <row r="2130">
      <c r="A2130" s="24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5" t="n">
        <v>0.277663</v>
      </c>
    </row>
    <row r="2131">
      <c r="A2131" s="24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5" t="n">
        <v>0.127818</v>
      </c>
    </row>
    <row r="2132">
      <c r="A2132" s="24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5" t="n">
        <v>0.211989</v>
      </c>
    </row>
    <row r="2133">
      <c r="A2133" s="24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5" t="n">
        <v>4.032792</v>
      </c>
    </row>
    <row r="2134">
      <c r="A2134" s="24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5" t="n">
        <v>5.732497</v>
      </c>
    </row>
    <row r="2135">
      <c r="A2135" s="24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5" t="n">
        <v>2.997033</v>
      </c>
    </row>
    <row r="2136">
      <c r="A2136" s="24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5" t="n">
        <v>2.062292</v>
      </c>
    </row>
    <row r="2137">
      <c r="A2137" s="24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5" t="n">
        <v>2.100827</v>
      </c>
    </row>
    <row r="2138">
      <c r="A2138" s="24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5" t="n">
        <v>0.880636</v>
      </c>
    </row>
    <row r="2139">
      <c r="A2139" s="24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5" t="n">
        <v>1.411882</v>
      </c>
    </row>
    <row r="2140">
      <c r="A2140" s="24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5" t="n">
        <v>0.532962</v>
      </c>
    </row>
    <row r="2141">
      <c r="A2141" s="24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5" t="n">
        <v>0.867924</v>
      </c>
    </row>
    <row r="2142">
      <c r="A2142" s="24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5" t="n">
        <v>0.456934</v>
      </c>
    </row>
    <row r="2143">
      <c r="A2143" s="24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5" t="n">
        <v>0.489808</v>
      </c>
    </row>
    <row r="2144">
      <c r="A2144" s="24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5" t="n">
        <v>0.454725</v>
      </c>
    </row>
    <row r="2145">
      <c r="A2145" s="24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5" t="n">
        <v>0.25742</v>
      </c>
    </row>
    <row r="2146">
      <c r="A2146" s="24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5" t="n">
        <v>0.412293</v>
      </c>
    </row>
    <row r="2147">
      <c r="A2147" s="24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5" t="n">
        <v>0.158045</v>
      </c>
    </row>
    <row r="2148">
      <c r="A2148" s="24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5" t="n">
        <v>0.318605</v>
      </c>
    </row>
    <row r="2149">
      <c r="A2149" s="24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5" t="n">
        <v>6.920351</v>
      </c>
    </row>
    <row r="2150">
      <c r="A2150" s="24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5" t="n">
        <v>9.872626</v>
      </c>
    </row>
    <row r="2151">
      <c r="A2151" s="24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5" t="n">
        <v>5.112554</v>
      </c>
    </row>
    <row r="2152">
      <c r="A2152" s="24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5" t="n">
        <v>3.556068</v>
      </c>
    </row>
    <row r="2153">
      <c r="A2153" s="24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5" t="n">
        <v>6.283142</v>
      </c>
    </row>
    <row r="2154">
      <c r="A2154" s="24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5" t="n">
        <v>5.403145</v>
      </c>
    </row>
    <row r="2155">
      <c r="A2155" s="24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5" t="n">
        <v>4.981501</v>
      </c>
    </row>
    <row r="2156">
      <c r="A2156" s="24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5" t="n">
        <v>3.198605</v>
      </c>
    </row>
    <row r="2157">
      <c r="A2157" s="24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5" t="n">
        <v>11.097157</v>
      </c>
    </row>
    <row r="2158">
      <c r="A2158" s="24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5" t="n">
        <v>17.286908</v>
      </c>
    </row>
    <row r="2159">
      <c r="A2159" s="24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5" t="n">
        <v>13.913364</v>
      </c>
    </row>
    <row r="2160">
      <c r="A2160" s="24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5" t="n">
        <v>8.474496</v>
      </c>
    </row>
    <row r="2161">
      <c r="A2161" s="24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5" t="n">
        <v>7.230159</v>
      </c>
    </row>
    <row r="2162">
      <c r="A2162" s="24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5" t="n">
        <v>5.041582</v>
      </c>
    </row>
    <row r="2163">
      <c r="A2163" s="24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5" t="n">
        <v>6.843267</v>
      </c>
    </row>
    <row r="2164">
      <c r="A2164" s="24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5" t="n">
        <v>7.500651</v>
      </c>
    </row>
    <row r="2165">
      <c r="A2165" s="24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5" t="n">
        <v>4.380155</v>
      </c>
    </row>
    <row r="2166">
      <c r="A2166" s="24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5" t="n">
        <v>4.046649</v>
      </c>
    </row>
    <row r="2167">
      <c r="A2167" s="24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5" t="n">
        <v>2.836942</v>
      </c>
    </row>
    <row r="2168">
      <c r="A2168" s="24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5" t="n">
        <v>2.591316</v>
      </c>
    </row>
    <row r="2169">
      <c r="A2169" s="24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5" t="n">
        <v>1.906548</v>
      </c>
    </row>
    <row r="2170">
      <c r="A2170" s="24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5" t="n">
        <v>1.838358</v>
      </c>
    </row>
    <row r="2171">
      <c r="A2171" s="24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5" t="n">
        <v>1.329965</v>
      </c>
    </row>
    <row r="2172">
      <c r="A2172" s="24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5" t="n">
        <v>1.362909</v>
      </c>
    </row>
    <row r="2173">
      <c r="A2173" s="24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5" t="n">
        <v>2.544365</v>
      </c>
    </row>
    <row r="2174">
      <c r="A2174" s="24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5" t="n">
        <v>3.232344</v>
      </c>
    </row>
    <row r="2175">
      <c r="A2175" s="24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5" t="n">
        <v>10.186096</v>
      </c>
    </row>
    <row r="2176">
      <c r="A2176" s="24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5" t="n">
        <v>13.315971</v>
      </c>
    </row>
    <row r="2177">
      <c r="A2177" s="24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5" t="n">
        <v>7.48779</v>
      </c>
    </row>
    <row r="2178">
      <c r="A2178" s="24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5" t="n">
        <v>5.052571</v>
      </c>
    </row>
    <row r="2179">
      <c r="A2179" s="24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5" t="n">
        <v>5.245758</v>
      </c>
    </row>
    <row r="2180">
      <c r="A2180" s="24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5" t="n">
        <v>2.352229</v>
      </c>
    </row>
    <row r="2181">
      <c r="A2181" s="24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5" t="n">
        <v>3.524071</v>
      </c>
    </row>
    <row r="2182">
      <c r="A2182" s="24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5" t="n">
        <v>1.536055</v>
      </c>
    </row>
    <row r="2183">
      <c r="A2183" s="24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5" t="n">
        <v>2.590129</v>
      </c>
    </row>
    <row r="2184">
      <c r="A2184" s="24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5" t="n">
        <v>1.931356</v>
      </c>
    </row>
    <row r="2185">
      <c r="A2185" s="24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5" t="n">
        <v>1.534827</v>
      </c>
    </row>
    <row r="2186">
      <c r="A2186" s="24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5" t="n">
        <v>1.476096</v>
      </c>
    </row>
    <row r="2187">
      <c r="A2187" s="24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5" t="n">
        <v>0.862913</v>
      </c>
    </row>
    <row r="2188">
      <c r="A2188" s="24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5" t="n">
        <v>1.237542</v>
      </c>
    </row>
    <row r="2189">
      <c r="A2189" s="24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5" t="n">
        <v>0.495642</v>
      </c>
    </row>
    <row r="2190">
      <c r="A2190" s="24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5" t="n">
        <v>1.018765</v>
      </c>
    </row>
    <row r="2191">
      <c r="A2191" s="24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5" t="n">
        <v>0.33023</v>
      </c>
    </row>
    <row r="2192">
      <c r="A2192" s="24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5" t="n">
        <v>0.789412</v>
      </c>
    </row>
    <row r="2193">
      <c r="A2193" s="24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5" t="n">
        <v>0.289932</v>
      </c>
    </row>
    <row r="2194">
      <c r="A2194" s="24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5" t="n">
        <v>0.565399</v>
      </c>
    </row>
    <row r="2195">
      <c r="A2195" s="24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5" t="n">
        <v>0.316048</v>
      </c>
    </row>
    <row r="2196">
      <c r="A2196" s="24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5" t="n">
        <v>1.755608</v>
      </c>
    </row>
    <row r="2197">
      <c r="A2197" s="24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5" t="n">
        <v>12.508583</v>
      </c>
    </row>
    <row r="2198">
      <c r="A2198" s="24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5" t="n">
        <v>15.847586</v>
      </c>
    </row>
    <row r="2199">
      <c r="A2199" s="24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5" t="n">
        <v>8.499202</v>
      </c>
    </row>
    <row r="2200">
      <c r="A2200" s="24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5" t="n">
        <v>6.004957</v>
      </c>
    </row>
    <row r="2201">
      <c r="A2201" s="24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5" t="n">
        <v>5.758666</v>
      </c>
    </row>
    <row r="2202">
      <c r="A2202" s="24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5" t="n">
        <v>2.702643</v>
      </c>
    </row>
    <row r="2203">
      <c r="A2203" s="24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5" t="n">
        <v>3.84155</v>
      </c>
    </row>
    <row r="2204">
      <c r="A2204" s="24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5" t="n">
        <v>1.635105</v>
      </c>
    </row>
    <row r="2205">
      <c r="A2205" s="24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5" t="n">
        <v>2.379004</v>
      </c>
    </row>
    <row r="2206">
      <c r="A2206" s="24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5" t="n">
        <v>2.338149</v>
      </c>
    </row>
    <row r="2207">
      <c r="A2207" s="24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5" t="n">
        <v>2.769637</v>
      </c>
    </row>
    <row r="2208">
      <c r="A2208" s="24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5" t="n">
        <v>1.976704</v>
      </c>
    </row>
    <row r="2209">
      <c r="A2209" s="24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5" t="n">
        <v>1.220319</v>
      </c>
    </row>
    <row r="2210">
      <c r="A2210" s="24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5" t="n">
        <v>1.638639</v>
      </c>
    </row>
    <row r="2211">
      <c r="A2211" s="24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5" t="n">
        <v>0.594305</v>
      </c>
    </row>
    <row r="2212">
      <c r="A2212" s="24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5" t="n">
        <v>1.292356</v>
      </c>
    </row>
    <row r="2213">
      <c r="A2213" s="24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5" t="n">
        <v>0.379598</v>
      </c>
    </row>
    <row r="2214">
      <c r="A2214" s="24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5" t="n">
        <v>0.940072</v>
      </c>
    </row>
    <row r="2215">
      <c r="A2215" s="24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5" t="n">
        <v>0.34888</v>
      </c>
    </row>
    <row r="2216">
      <c r="A2216" s="24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5" t="n">
        <v>0.622456</v>
      </c>
    </row>
    <row r="2217">
      <c r="A2217" s="24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5" t="n">
        <v>0.394578</v>
      </c>
    </row>
    <row r="2218">
      <c r="A2218" s="24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5" t="n">
        <v>0.359028</v>
      </c>
    </row>
    <row r="2219">
      <c r="A2219" s="24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5" t="n">
        <v>0.44319</v>
      </c>
    </row>
    <row r="2220">
      <c r="A2220" s="24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5" t="n">
        <v>0.170508</v>
      </c>
    </row>
    <row r="2221">
      <c r="A2221" s="24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5" t="n">
        <v>12.80201</v>
      </c>
    </row>
    <row r="2222">
      <c r="A2222" s="24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5" t="n">
        <v>20.030178</v>
      </c>
    </row>
    <row r="2223">
      <c r="A2223" s="24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5" t="n">
        <v>12.541743</v>
      </c>
    </row>
    <row r="2224">
      <c r="A2224" s="24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5" t="n">
        <v>9.685332000000001</v>
      </c>
    </row>
    <row r="2225">
      <c r="A2225" s="24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5" t="n">
        <v>17.497601</v>
      </c>
    </row>
    <row r="2226">
      <c r="A2226" s="24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5" t="n">
        <v>15.53566</v>
      </c>
    </row>
    <row r="2227">
      <c r="A2227" s="24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5" t="n">
        <v>18.751253</v>
      </c>
    </row>
    <row r="2228">
      <c r="A2228" s="24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5" t="n">
        <v>18.178174</v>
      </c>
    </row>
    <row r="2229">
      <c r="A2229" s="24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5" t="n">
        <v>12.79946</v>
      </c>
    </row>
    <row r="2230">
      <c r="A2230" s="24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5" t="n">
        <v>8.522520999999999</v>
      </c>
    </row>
    <row r="2231">
      <c r="A2231" s="24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5" t="n">
        <v>8.271364</v>
      </c>
    </row>
    <row r="2232">
      <c r="A2232" s="24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5" t="n">
        <v>18.893221</v>
      </c>
    </row>
    <row r="2233">
      <c r="A2233" s="24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5" t="n">
        <v>36.564234</v>
      </c>
    </row>
    <row r="2234">
      <c r="A2234" s="24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5" t="n">
        <v>29.691626</v>
      </c>
    </row>
    <row r="2235">
      <c r="A2235" s="24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5" t="n">
        <v>17.835834</v>
      </c>
    </row>
    <row r="2236">
      <c r="A2236" s="24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5" t="n">
        <v>25.845652</v>
      </c>
    </row>
    <row r="2237">
      <c r="A2237" s="24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5" t="n">
        <v>24.622146</v>
      </c>
    </row>
    <row r="2238">
      <c r="A2238" s="24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5" t="n">
        <v>18.643884</v>
      </c>
    </row>
    <row r="2239">
      <c r="A2239" s="24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5" t="n">
        <v>14.271015</v>
      </c>
    </row>
    <row r="2240">
      <c r="A2240" s="24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5" t="n">
        <v>12.542636</v>
      </c>
    </row>
    <row r="2241">
      <c r="A2241" s="24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5" t="n">
        <v>7.657189</v>
      </c>
    </row>
    <row r="2242">
      <c r="A2242" s="24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5" t="n">
        <v>11.984928</v>
      </c>
    </row>
    <row r="2243">
      <c r="A2243" s="24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5" t="n">
        <v>11.056421</v>
      </c>
    </row>
    <row r="2244">
      <c r="A2244" s="24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5" t="n">
        <v>17.295746</v>
      </c>
    </row>
    <row r="2245">
      <c r="A2245" s="24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5" t="n">
        <v>32.435021</v>
      </c>
    </row>
    <row r="2246">
      <c r="A2246" s="24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5" t="n">
        <v>32.123822</v>
      </c>
    </row>
    <row r="2247">
      <c r="A2247" s="24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5" t="n">
        <v>19.385029</v>
      </c>
    </row>
    <row r="2248">
      <c r="A2248" s="24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5" t="n">
        <v>14.797283</v>
      </c>
    </row>
    <row r="2249">
      <c r="A2249" s="24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5" t="n">
        <v>16.703197</v>
      </c>
    </row>
    <row r="2250">
      <c r="A2250" s="24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5" t="n">
        <v>13.394203</v>
      </c>
    </row>
    <row r="2251">
      <c r="A2251" s="24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5" t="n">
        <v>11.801802</v>
      </c>
    </row>
    <row r="2252">
      <c r="A2252" s="24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5" t="n">
        <v>6.819343</v>
      </c>
    </row>
    <row r="2253">
      <c r="A2253" s="24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5" t="n">
        <v>8.182843999999999</v>
      </c>
    </row>
    <row r="2254">
      <c r="A2254" s="24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5" t="n">
        <v>4.384313</v>
      </c>
    </row>
    <row r="2255">
      <c r="A2255" s="24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5" t="n">
        <v>5.502366</v>
      </c>
    </row>
    <row r="2256">
      <c r="A2256" s="24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5" t="n">
        <v>3.473361</v>
      </c>
    </row>
    <row r="2257">
      <c r="A2257" s="24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5" t="n">
        <v>3.528802</v>
      </c>
    </row>
    <row r="2258">
      <c r="A2258" s="24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5" t="n">
        <v>3.076559</v>
      </c>
    </row>
    <row r="2259">
      <c r="A2259" s="24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5" t="n">
        <v>2.170246</v>
      </c>
    </row>
    <row r="2260">
      <c r="A2260" s="24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5" t="n">
        <v>2.779812</v>
      </c>
    </row>
    <row r="2261">
      <c r="A2261" s="24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5" t="n">
        <v>1.314721</v>
      </c>
    </row>
    <row r="2262">
      <c r="A2262" s="24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5" t="n">
        <v>2.442207</v>
      </c>
    </row>
    <row r="2263">
      <c r="A2263" s="24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5" t="n">
        <v>0.8366980000000001</v>
      </c>
    </row>
    <row r="2264">
      <c r="A2264" s="24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5" t="n">
        <v>2.04607</v>
      </c>
    </row>
    <row r="2265">
      <c r="A2265" s="24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5" t="n">
        <v>14.601246</v>
      </c>
    </row>
    <row r="2266">
      <c r="A2266" s="24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5" t="n">
        <v>33.076297</v>
      </c>
    </row>
    <row r="2267">
      <c r="A2267" s="24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5" t="n">
        <v>26.560821</v>
      </c>
    </row>
    <row r="2268">
      <c r="A2268" s="24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5" t="n">
        <v>16.107411</v>
      </c>
    </row>
    <row r="2269">
      <c r="A2269" s="24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5" t="n">
        <v>20.923126</v>
      </c>
    </row>
    <row r="2270">
      <c r="A2270" s="24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5" t="n">
        <v>20.478483</v>
      </c>
    </row>
    <row r="2271">
      <c r="A2271" s="24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5" t="n">
        <v>13.063655</v>
      </c>
    </row>
    <row r="2272">
      <c r="A2272" s="24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5" t="n">
        <v>14.01359</v>
      </c>
    </row>
    <row r="2273">
      <c r="A2273" s="24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5" t="n">
        <v>15.156818</v>
      </c>
    </row>
    <row r="2274">
      <c r="A2274" s="24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5" t="n">
        <v>25.063584</v>
      </c>
    </row>
    <row r="2275">
      <c r="A2275" s="24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5" t="n">
        <v>32.904899</v>
      </c>
    </row>
    <row r="2276">
      <c r="A2276" s="24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5" t="n">
        <v>21.673017</v>
      </c>
    </row>
    <row r="2277">
      <c r="A2277" s="24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5" t="n">
        <v>15.181767</v>
      </c>
    </row>
    <row r="2278">
      <c r="A2278" s="24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5" t="n">
        <v>13.384573</v>
      </c>
    </row>
    <row r="2279">
      <c r="A2279" s="24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5" t="n">
        <v>8.454097000000001</v>
      </c>
    </row>
    <row r="2280">
      <c r="A2280" s="24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5" t="n">
        <v>14.850749</v>
      </c>
    </row>
    <row r="2281">
      <c r="A2281" s="24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5" t="n">
        <v>20.172709</v>
      </c>
    </row>
    <row r="2282">
      <c r="A2282" s="24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5" t="n">
        <v>17.981237</v>
      </c>
    </row>
    <row r="2283">
      <c r="A2283" s="24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5" t="n">
        <v>11.683324</v>
      </c>
    </row>
    <row r="2284">
      <c r="A2284" s="24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5" t="n">
        <v>18.831017</v>
      </c>
    </row>
    <row r="2285">
      <c r="A2285" s="24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5" t="n">
        <v>21.31852</v>
      </c>
    </row>
    <row r="2286">
      <c r="A2286" s="24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5" t="n">
        <v>14.315809</v>
      </c>
    </row>
    <row r="2287">
      <c r="A2287" s="24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5" t="n">
        <v>13.379627</v>
      </c>
    </row>
    <row r="2288">
      <c r="A2288" s="24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5" t="n">
        <v>20.493444</v>
      </c>
    </row>
    <row r="2289">
      <c r="A2289" s="24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5" t="n">
        <v>37.795744</v>
      </c>
    </row>
    <row r="2290">
      <c r="A2290" s="24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5" t="n">
        <v>37.28499</v>
      </c>
    </row>
    <row r="2291">
      <c r="A2291" s="24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5" t="n">
        <v>23.384128</v>
      </c>
    </row>
    <row r="2292">
      <c r="A2292" s="24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5" t="n">
        <v>18.461573</v>
      </c>
    </row>
    <row r="2293">
      <c r="A2293" s="24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5" t="n">
        <v>17.529862</v>
      </c>
    </row>
    <row r="2294">
      <c r="A2294" s="24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5" t="n">
        <v>15.251424</v>
      </c>
    </row>
    <row r="2295">
      <c r="A2295" s="24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5" t="n">
        <v>11.913593</v>
      </c>
    </row>
    <row r="2296">
      <c r="A2296" s="24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5" t="n">
        <v>8.396698000000001</v>
      </c>
    </row>
    <row r="2297">
      <c r="A2297" s="24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5" t="n">
        <v>8.200687</v>
      </c>
    </row>
    <row r="2298">
      <c r="A2298" s="24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5" t="n">
        <v>5.498971</v>
      </c>
    </row>
    <row r="2299">
      <c r="A2299" s="24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5" t="n">
        <v>5.60451</v>
      </c>
    </row>
    <row r="2300">
      <c r="A2300" s="24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5" t="n">
        <v>4.184969</v>
      </c>
    </row>
    <row r="2301">
      <c r="A2301" s="24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5" t="n">
        <v>12.655109</v>
      </c>
    </row>
    <row r="2302">
      <c r="A2302" s="24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5" t="n">
        <v>31.092058</v>
      </c>
    </row>
    <row r="2303">
      <c r="A2303" s="24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5" t="n">
        <v>34.520489</v>
      </c>
    </row>
    <row r="2304">
      <c r="A2304" s="24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5" t="n">
        <v>24.600436</v>
      </c>
    </row>
    <row r="2305">
      <c r="A2305" s="24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5" t="n">
        <v>30.271915</v>
      </c>
    </row>
    <row r="2306">
      <c r="A2306" s="24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5" t="n">
        <v>41.684827</v>
      </c>
    </row>
    <row r="2307">
      <c r="A2307" s="24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5" t="n">
        <v>30.784804</v>
      </c>
    </row>
    <row r="2308">
      <c r="A2308" s="24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5" t="n">
        <v>36.01729</v>
      </c>
    </row>
    <row r="2309">
      <c r="A2309" s="24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5" t="n">
        <v>48.631499</v>
      </c>
    </row>
    <row r="2310">
      <c r="A2310" s="24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5" t="n">
        <v>39.201711</v>
      </c>
    </row>
    <row r="2311">
      <c r="A2311" s="24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5" t="n">
        <v>25.297545</v>
      </c>
    </row>
    <row r="2312">
      <c r="A2312" s="24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5" t="n">
        <v>35.007992</v>
      </c>
    </row>
    <row r="2313">
      <c r="A2313" s="24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5" t="n">
        <v>50.263352</v>
      </c>
    </row>
    <row r="2314">
      <c r="A2314" s="24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5" t="n">
        <v>59.883756</v>
      </c>
    </row>
    <row r="2315">
      <c r="A2315" s="24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5" t="n">
        <v>60.302945</v>
      </c>
    </row>
    <row r="2316">
      <c r="A2316" s="24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5" t="n">
        <v>62.439583</v>
      </c>
    </row>
    <row r="2317">
      <c r="A2317" s="24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5" t="n">
        <v>67.048383</v>
      </c>
    </row>
    <row r="2318">
      <c r="A2318" s="24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5" t="n">
        <v>70.684298</v>
      </c>
    </row>
    <row r="2319">
      <c r="A2319" s="24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5" t="n">
        <v>69.159012</v>
      </c>
    </row>
    <row r="2320">
      <c r="A2320" s="24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5" t="n">
        <v>70.347656</v>
      </c>
    </row>
    <row r="2321">
      <c r="A2321" s="24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5" t="n">
        <v>75.882259</v>
      </c>
    </row>
    <row r="2322">
      <c r="A2322" s="24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5" t="n">
        <v>67.99875900000001</v>
      </c>
    </row>
    <row r="2323">
      <c r="A2323" s="24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5" t="n">
        <v>58.438872</v>
      </c>
    </row>
    <row r="2324">
      <c r="A2324" s="24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5" t="n">
        <v>63.514163</v>
      </c>
    </row>
    <row r="2325">
      <c r="A2325" s="24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5" t="n">
        <v>58.838031</v>
      </c>
    </row>
    <row r="2326">
      <c r="A2326" s="24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5" t="n">
        <v>40.244397</v>
      </c>
    </row>
    <row r="2327">
      <c r="A2327" s="24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5" t="n">
        <v>32.682979</v>
      </c>
    </row>
    <row r="2328">
      <c r="A2328" s="24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5" t="n">
        <v>25.659927</v>
      </c>
    </row>
    <row r="2329">
      <c r="A2329" s="24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5" t="n">
        <v>20.656849</v>
      </c>
    </row>
    <row r="2330">
      <c r="A2330" s="24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5" t="n">
        <v>17.526232</v>
      </c>
    </row>
    <row r="2331">
      <c r="A2331" s="24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5" t="n">
        <v>14.255921</v>
      </c>
    </row>
    <row r="2332">
      <c r="A2332" s="24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5" t="n">
        <v>12.463111</v>
      </c>
    </row>
    <row r="2333">
      <c r="A2333" s="24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5" t="n">
        <v>10.44962</v>
      </c>
    </row>
    <row r="2334">
      <c r="A2334" s="24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5" t="n">
        <v>9.168412999999999</v>
      </c>
    </row>
    <row r="2335">
      <c r="A2335" s="24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5" t="n">
        <v>7.935479</v>
      </c>
    </row>
    <row r="2336">
      <c r="A2336" s="24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5" t="n">
        <v>6.968724</v>
      </c>
    </row>
    <row r="2337">
      <c r="A2337" s="24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5" t="n">
        <v>6.123554</v>
      </c>
    </row>
    <row r="2338">
      <c r="A2338" s="24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5" t="n">
        <v>5.46406</v>
      </c>
    </row>
    <row r="2339">
      <c r="A2339" s="24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5" t="n">
        <v>4.744467</v>
      </c>
    </row>
    <row r="2340">
      <c r="A2340" s="24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5" t="n">
        <v>4.398585</v>
      </c>
    </row>
    <row r="2341">
      <c r="A2341" s="24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5" t="n">
        <v>3.672152</v>
      </c>
    </row>
    <row r="2342">
      <c r="A2342" s="24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5" t="n">
        <v>3.606542</v>
      </c>
    </row>
    <row r="2343">
      <c r="A2343" s="24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5" t="n">
        <v>2.841137</v>
      </c>
    </row>
    <row r="2344">
      <c r="A2344" s="24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5" t="n">
        <v>2.982954</v>
      </c>
    </row>
    <row r="2345">
      <c r="A2345" s="24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5" t="n">
        <v>2.20885</v>
      </c>
    </row>
    <row r="2346">
      <c r="A2346" s="24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5" t="n">
        <v>2.464706</v>
      </c>
    </row>
    <row r="2347">
      <c r="A2347" s="24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5" t="n">
        <v>1.740086</v>
      </c>
    </row>
    <row r="2348">
      <c r="A2348" s="24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5" t="n">
        <v>2.016915</v>
      </c>
    </row>
    <row r="2349">
      <c r="A2349" s="24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5" t="n">
        <v>1.401993</v>
      </c>
    </row>
    <row r="2350">
      <c r="A2350" s="24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5" t="n">
        <v>1.622748</v>
      </c>
    </row>
    <row r="2351">
      <c r="A2351" s="24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5" t="n">
        <v>1.163583</v>
      </c>
    </row>
    <row r="2352">
      <c r="A2352" s="24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5" t="n">
        <v>1.275892</v>
      </c>
    </row>
    <row r="2353">
      <c r="A2353" s="24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5" t="n">
        <v>0.996781</v>
      </c>
    </row>
    <row r="2354">
      <c r="A2354" s="24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5" t="n">
        <v>0.975228</v>
      </c>
    </row>
    <row r="2355">
      <c r="A2355" s="24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5" t="n">
        <v>12.669382</v>
      </c>
    </row>
    <row r="2356">
      <c r="A2356" s="24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5" t="n">
        <v>50.504755</v>
      </c>
    </row>
    <row r="2357">
      <c r="A2357" s="24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5" t="n">
        <v>79.062265</v>
      </c>
    </row>
    <row r="2358">
      <c r="A2358" s="24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5" t="n">
        <v>66.993713</v>
      </c>
    </row>
    <row r="2359">
      <c r="A2359" s="24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5" t="n">
        <v>49.103611</v>
      </c>
    </row>
    <row r="2360">
      <c r="A2360" s="24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5" t="n">
        <v>37.69624</v>
      </c>
    </row>
    <row r="2361">
      <c r="A2361" s="24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5" t="n">
        <v>26.164118</v>
      </c>
    </row>
    <row r="2362">
      <c r="A2362" s="24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5" t="n">
        <v>25.291786</v>
      </c>
    </row>
    <row r="2363">
      <c r="A2363" s="24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5" t="n">
        <v>23.793566</v>
      </c>
    </row>
    <row r="2364">
      <c r="A2364" s="24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5" t="n">
        <v>15.702919</v>
      </c>
    </row>
    <row r="2365">
      <c r="A2365" s="24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5" t="n">
        <v>13.366519</v>
      </c>
    </row>
    <row r="2366">
      <c r="A2366" s="24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5" t="n">
        <v>10.387504</v>
      </c>
    </row>
    <row r="2367">
      <c r="A2367" s="24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5" t="n">
        <v>8.446844</v>
      </c>
    </row>
    <row r="2368">
      <c r="A2368" s="24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5" t="n">
        <v>17.808272</v>
      </c>
    </row>
    <row r="2369">
      <c r="A2369" s="24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5" t="n">
        <v>24.307672</v>
      </c>
    </row>
    <row r="2370">
      <c r="A2370" s="24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5" t="n">
        <v>17.643943</v>
      </c>
    </row>
    <row r="2371">
      <c r="A2371" s="24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5" t="n">
        <v>12.155777</v>
      </c>
    </row>
    <row r="2372">
      <c r="A2372" s="24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5" t="n">
        <v>10.755556</v>
      </c>
    </row>
    <row r="2373">
      <c r="A2373" s="24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5" t="n">
        <v>21.056623</v>
      </c>
    </row>
    <row r="2374">
      <c r="A2374" s="24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5" t="n">
        <v>43.034348</v>
      </c>
    </row>
    <row r="2375">
      <c r="A2375" s="24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5" t="n">
        <v>53.176176</v>
      </c>
    </row>
    <row r="2376">
      <c r="A2376" s="24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5" t="n">
        <v>57.437923</v>
      </c>
    </row>
    <row r="2377">
      <c r="A2377" s="24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5" t="n">
        <v>56.743068</v>
      </c>
    </row>
    <row r="2378">
      <c r="A2378" s="24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5" t="n">
        <v>43.251539</v>
      </c>
    </row>
    <row r="2379">
      <c r="A2379" s="24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5" t="n">
        <v>36.800091</v>
      </c>
    </row>
    <row r="2380">
      <c r="A2380" s="24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5" t="n">
        <v>46.432684</v>
      </c>
    </row>
    <row r="2381">
      <c r="A2381" s="24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5" t="n">
        <v>50.411662</v>
      </c>
    </row>
    <row r="2382">
      <c r="A2382" s="24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5" t="n">
        <v>36.057831</v>
      </c>
    </row>
    <row r="2383">
      <c r="A2383" s="24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5" t="n">
        <v>26.726996</v>
      </c>
    </row>
    <row r="2384">
      <c r="A2384" s="24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5" t="n">
        <v>21.621275</v>
      </c>
    </row>
    <row r="2385">
      <c r="A2385" s="24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5" t="n">
        <v>16.309938</v>
      </c>
    </row>
    <row r="2386">
      <c r="A2386" s="24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5" t="n">
        <v>14.24652</v>
      </c>
    </row>
    <row r="2387">
      <c r="A2387" s="24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5" t="n">
        <v>10.83285</v>
      </c>
    </row>
    <row r="2388">
      <c r="A2388" s="24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5" t="n">
        <v>9.940939999999999</v>
      </c>
    </row>
    <row r="2389">
      <c r="A2389" s="24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5" t="n">
        <v>7.673763</v>
      </c>
    </row>
    <row r="2390">
      <c r="A2390" s="24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5" t="n">
        <v>7.214737</v>
      </c>
    </row>
    <row r="2391">
      <c r="A2391" s="24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5" t="n">
        <v>5.710719</v>
      </c>
    </row>
    <row r="2392">
      <c r="A2392" s="24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5" t="n">
        <v>5.38109</v>
      </c>
    </row>
    <row r="2393">
      <c r="A2393" s="24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5" t="n">
        <v>4.40557</v>
      </c>
    </row>
    <row r="2394">
      <c r="A2394" s="24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5" t="n">
        <v>4.091402</v>
      </c>
    </row>
    <row r="2395">
      <c r="A2395" s="24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5" t="n">
        <v>3.484475</v>
      </c>
    </row>
    <row r="2396">
      <c r="A2396" s="24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5" t="n">
        <v>3.153073</v>
      </c>
    </row>
    <row r="2397">
      <c r="A2397" s="24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5" t="n">
        <v>2.80182</v>
      </c>
    </row>
    <row r="2398">
      <c r="A2398" s="24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5" t="n">
        <v>2.45309</v>
      </c>
    </row>
    <row r="2399">
      <c r="A2399" s="24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5" t="n">
        <v>2.2768</v>
      </c>
    </row>
    <row r="2400">
      <c r="A2400" s="24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5" t="n">
        <v>1.921458</v>
      </c>
    </row>
    <row r="2401">
      <c r="A2401" s="24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5" t="n">
        <v>1.862189</v>
      </c>
    </row>
    <row r="2402">
      <c r="A2402" s="24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5" t="n">
        <v>1.512682</v>
      </c>
    </row>
    <row r="2403">
      <c r="A2403" s="24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5" t="n">
        <v>1.528658</v>
      </c>
    </row>
    <row r="2404">
      <c r="A2404" s="24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5" t="n">
        <v>1.195905</v>
      </c>
    </row>
    <row r="2405">
      <c r="A2405" s="24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5" t="n">
        <v>1.256805</v>
      </c>
    </row>
    <row r="2406">
      <c r="A2406" s="24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5" t="n">
        <v>0.949397</v>
      </c>
    </row>
    <row r="2407">
      <c r="A2407" s="24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5" t="n">
        <v>1.033061</v>
      </c>
    </row>
    <row r="2408">
      <c r="A2408" s="24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5" t="n">
        <v>0.757333</v>
      </c>
    </row>
    <row r="2409">
      <c r="A2409" s="24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5" t="n">
        <v>0.847527</v>
      </c>
    </row>
    <row r="2410">
      <c r="A2410" s="24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5" t="n">
        <v>6.31897</v>
      </c>
    </row>
    <row r="2411">
      <c r="A2411" s="24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5" t="n">
        <v>10.14402</v>
      </c>
    </row>
    <row r="2412">
      <c r="A2412" s="24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5" t="n">
        <v>6.506832</v>
      </c>
    </row>
    <row r="2413">
      <c r="A2413" s="24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5" t="n">
        <v>4.416443</v>
      </c>
    </row>
    <row r="2414">
      <c r="A2414" s="24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5" t="n">
        <v>3.920243</v>
      </c>
    </row>
    <row r="2415">
      <c r="A2415" s="24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5" t="n">
        <v>2.345773</v>
      </c>
    </row>
    <row r="2416">
      <c r="A2416" s="24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5" t="n">
        <v>2.478487</v>
      </c>
    </row>
    <row r="2417">
      <c r="A2417" s="24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5" t="n">
        <v>1.557456</v>
      </c>
    </row>
    <row r="2418">
      <c r="A2418" s="24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5" t="n">
        <v>1.538098</v>
      </c>
    </row>
    <row r="2419">
      <c r="A2419" s="24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5" t="n">
        <v>3.932717</v>
      </c>
    </row>
    <row r="2420">
      <c r="A2420" s="24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5" t="n">
        <v>4.819957</v>
      </c>
    </row>
    <row r="2421">
      <c r="A2421" s="24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5" t="n">
        <v>2.993927</v>
      </c>
    </row>
    <row r="2422">
      <c r="A2422" s="24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5" t="n">
        <v>1.972403</v>
      </c>
    </row>
    <row r="2423">
      <c r="A2423" s="24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5" t="n">
        <v>2.190461</v>
      </c>
    </row>
    <row r="2424">
      <c r="A2424" s="24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5" t="n">
        <v>0.9993840000000001</v>
      </c>
    </row>
    <row r="2425">
      <c r="A2425" s="24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5" t="n">
        <v>1.535756</v>
      </c>
    </row>
    <row r="2426">
      <c r="A2426" s="24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5" t="n">
        <v>0.699368</v>
      </c>
    </row>
    <row r="2427">
      <c r="A2427" s="24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5" t="n">
        <v>0.989271</v>
      </c>
    </row>
    <row r="2428">
      <c r="A2428" s="24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5" t="n">
        <v>0.636875</v>
      </c>
    </row>
    <row r="2429">
      <c r="A2429" s="24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5" t="n">
        <v>0.5775979999999999</v>
      </c>
    </row>
    <row r="2430">
      <c r="A2430" s="24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5" t="n">
        <v>0.626549</v>
      </c>
    </row>
    <row r="2431">
      <c r="A2431" s="24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5" t="n">
        <v>0.302279</v>
      </c>
    </row>
    <row r="2432">
      <c r="A2432" s="24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5" t="n">
        <v>0.597491</v>
      </c>
    </row>
    <row r="2433">
      <c r="A2433" s="24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5" t="n">
        <v>0.161698</v>
      </c>
    </row>
    <row r="2434">
      <c r="A2434" s="24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5" t="n">
        <v>0.516011</v>
      </c>
    </row>
    <row r="2435">
      <c r="A2435" s="24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5" t="n">
        <v>0.139004</v>
      </c>
    </row>
    <row r="2436">
      <c r="A2436" s="24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5" t="n">
        <v>0.381335</v>
      </c>
    </row>
    <row r="2437">
      <c r="A2437" s="24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5" t="n">
        <v>0.149044</v>
      </c>
    </row>
    <row r="2438">
      <c r="A2438" s="24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5" t="n">
        <v>0.25937</v>
      </c>
    </row>
    <row r="2439">
      <c r="A2439" s="24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5" t="n">
        <v>0.170597</v>
      </c>
    </row>
    <row r="2440">
      <c r="A2440" s="24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5" t="n">
        <v>0.157612</v>
      </c>
    </row>
    <row r="2441">
      <c r="A2441" s="24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5" t="n">
        <v>0.183568</v>
      </c>
    </row>
    <row r="2442">
      <c r="A2442" s="24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5" t="n">
        <v>0.084498</v>
      </c>
    </row>
    <row r="2443">
      <c r="A2443" s="24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5" t="n">
        <v>0.188136</v>
      </c>
    </row>
    <row r="2444">
      <c r="A2444" s="24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5" t="n">
        <v>0.052844</v>
      </c>
    </row>
    <row r="2445">
      <c r="A2445" s="24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5" t="n">
        <v>0.163433</v>
      </c>
    </row>
    <row r="2446">
      <c r="A2446" s="24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5" t="n">
        <v>0.047445</v>
      </c>
    </row>
    <row r="2447">
      <c r="A2447" s="24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5" t="n">
        <v>0.125408</v>
      </c>
    </row>
    <row r="2448">
      <c r="A2448" s="24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5" t="n">
        <v>0.047201</v>
      </c>
    </row>
    <row r="2449">
      <c r="A2449" s="24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5" t="n">
        <v>0.09686</v>
      </c>
    </row>
    <row r="2450">
      <c r="A2450" s="24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5" t="n">
        <v>0.052262</v>
      </c>
    </row>
    <row r="2451">
      <c r="A2451" s="24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5" t="n">
        <v>0.0664</v>
      </c>
    </row>
    <row r="2452">
      <c r="A2452" s="24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5" t="n">
        <v>0.056906</v>
      </c>
    </row>
    <row r="2453">
      <c r="A2453" s="24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5" t="n">
        <v>11.753075</v>
      </c>
    </row>
    <row r="2454">
      <c r="A2454" s="24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5" t="n">
        <v>16.792612</v>
      </c>
    </row>
    <row r="2455">
      <c r="A2455" s="24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5" t="n">
        <v>8.579706</v>
      </c>
    </row>
    <row r="2456">
      <c r="A2456" s="24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5" t="n">
        <v>18.397512</v>
      </c>
    </row>
    <row r="2457">
      <c r="A2457" s="24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5" t="n">
        <v>28.859123</v>
      </c>
    </row>
    <row r="2458">
      <c r="A2458" s="24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5" t="n">
        <v>30.732981</v>
      </c>
    </row>
    <row r="2459">
      <c r="A2459" s="24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5" t="n">
        <v>46.507869</v>
      </c>
    </row>
    <row r="2460">
      <c r="A2460" s="24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5" t="n">
        <v>56.061363</v>
      </c>
    </row>
    <row r="2461">
      <c r="A2461" s="24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5" t="n">
        <v>47.353223</v>
      </c>
    </row>
    <row r="2462">
      <c r="A2462" s="24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5" t="n">
        <v>37.76065</v>
      </c>
    </row>
    <row r="2463">
      <c r="A2463" s="24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5" t="n">
        <v>29.616917</v>
      </c>
    </row>
    <row r="2464">
      <c r="A2464" s="24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5" t="n">
        <v>23.074849</v>
      </c>
    </row>
    <row r="2465">
      <c r="A2465" s="24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5" t="n">
        <v>15.99943</v>
      </c>
    </row>
    <row r="2466">
      <c r="A2466" s="24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5" t="n">
        <v>14.744077</v>
      </c>
    </row>
    <row r="2467">
      <c r="A2467" s="24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5" t="n">
        <v>10.072851</v>
      </c>
    </row>
    <row r="2468">
      <c r="A2468" s="24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5" t="n">
        <v>9.591329</v>
      </c>
    </row>
    <row r="2469">
      <c r="A2469" s="24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5" t="n">
        <v>7.224058</v>
      </c>
    </row>
    <row r="2470">
      <c r="A2470" s="24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5" t="n">
        <v>6.278282</v>
      </c>
    </row>
    <row r="2471">
      <c r="A2471" s="24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5" t="n">
        <v>5.628571</v>
      </c>
    </row>
    <row r="2472">
      <c r="A2472" s="24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5" t="n">
        <v>4.182619</v>
      </c>
    </row>
    <row r="2473">
      <c r="A2473" s="24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5" t="n">
        <v>4.525868</v>
      </c>
    </row>
    <row r="2474">
      <c r="A2474" s="24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5" t="n">
        <v>2.908638</v>
      </c>
    </row>
    <row r="2475">
      <c r="A2475" s="24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5" t="n">
        <v>5.386062</v>
      </c>
    </row>
    <row r="2476">
      <c r="A2476" s="24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5" t="n">
        <v>4.691867</v>
      </c>
    </row>
    <row r="2477">
      <c r="A2477" s="24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5" t="n">
        <v>4.115183</v>
      </c>
    </row>
    <row r="2478">
      <c r="A2478" s="24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5" t="n">
        <v>2.660073</v>
      </c>
    </row>
    <row r="2479">
      <c r="A2479" s="24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5" t="n">
        <v>3.016214</v>
      </c>
    </row>
    <row r="2480">
      <c r="A2480" s="24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5" t="n">
        <v>1.914512</v>
      </c>
    </row>
    <row r="2481">
      <c r="A2481" s="24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5" t="n">
        <v>2.126631</v>
      </c>
    </row>
    <row r="2482">
      <c r="A2482" s="24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5" t="n">
        <v>2.397018</v>
      </c>
    </row>
    <row r="2483">
      <c r="A2483" s="24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5" t="n">
        <v>17.513942</v>
      </c>
    </row>
    <row r="2484">
      <c r="A2484" s="24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5" t="n">
        <v>25.913357</v>
      </c>
    </row>
    <row r="2485">
      <c r="A2485" s="24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5" t="n">
        <v>18.674236</v>
      </c>
    </row>
    <row r="2486">
      <c r="A2486" s="24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5" t="n">
        <v>15.323968</v>
      </c>
    </row>
    <row r="2487">
      <c r="A2487" s="24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5" t="n">
        <v>11.702231</v>
      </c>
    </row>
    <row r="2488">
      <c r="A2488" s="24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5" t="n">
        <v>13.067687</v>
      </c>
    </row>
    <row r="2489">
      <c r="A2489" s="24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5" t="n">
        <v>15.439133</v>
      </c>
    </row>
    <row r="2490">
      <c r="A2490" s="24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5" t="n">
        <v>9.338462</v>
      </c>
    </row>
    <row r="2491">
      <c r="A2491" s="24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5" t="n">
        <v>8.296047</v>
      </c>
    </row>
    <row r="2492">
      <c r="A2492" s="24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5" t="n">
        <v>6.775606</v>
      </c>
    </row>
    <row r="2493">
      <c r="A2493" s="24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5" t="n">
        <v>17.19198</v>
      </c>
    </row>
    <row r="2494">
      <c r="A2494" s="24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5" t="n">
        <v>38.54449</v>
      </c>
    </row>
    <row r="2495">
      <c r="A2495" s="24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5" t="n">
        <v>40.910813</v>
      </c>
    </row>
    <row r="2496">
      <c r="A2496" s="24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5" t="n">
        <v>47.108887</v>
      </c>
    </row>
    <row r="2497">
      <c r="A2497" s="24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5" t="n">
        <v>49.413678</v>
      </c>
    </row>
    <row r="2498">
      <c r="A2498" s="24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5" t="n">
        <v>36.637241</v>
      </c>
    </row>
    <row r="2499">
      <c r="A2499" s="24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5" t="n">
        <v>24.978762</v>
      </c>
    </row>
    <row r="2500">
      <c r="A2500" s="24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5" t="n">
        <v>25.793067</v>
      </c>
    </row>
    <row r="2501">
      <c r="A2501" s="24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5" t="n">
        <v>28.322912</v>
      </c>
    </row>
    <row r="2502">
      <c r="A2502" s="24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5" t="n">
        <v>29.395403</v>
      </c>
    </row>
    <row r="2503">
      <c r="A2503" s="24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5" t="n">
        <v>23.322504</v>
      </c>
    </row>
    <row r="2504">
      <c r="A2504" s="24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5" t="n">
        <v>16.871133</v>
      </c>
    </row>
    <row r="2505">
      <c r="A2505" s="24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5" t="n">
        <v>24.003231</v>
      </c>
    </row>
    <row r="2506">
      <c r="A2506" s="24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5" t="n">
        <v>28.888105</v>
      </c>
    </row>
    <row r="2507">
      <c r="A2507" s="24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5" t="n">
        <v>22.069068</v>
      </c>
    </row>
    <row r="2508">
      <c r="A2508" s="24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5" t="n">
        <v>14.881853</v>
      </c>
    </row>
    <row r="2509">
      <c r="A2509" s="24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5" t="n">
        <v>13.751328</v>
      </c>
    </row>
    <row r="2510">
      <c r="A2510" s="24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5" t="n">
        <v>8.907381000000001</v>
      </c>
    </row>
    <row r="2511">
      <c r="A2511" s="24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5" t="n">
        <v>14.400161</v>
      </c>
    </row>
    <row r="2512">
      <c r="A2512" s="24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5" t="n">
        <v>18.755246</v>
      </c>
    </row>
    <row r="2513">
      <c r="A2513" s="24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5" t="n">
        <v>27.912355</v>
      </c>
    </row>
    <row r="2514">
      <c r="A2514" s="24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5" t="n">
        <v>27.389496</v>
      </c>
    </row>
    <row r="2515">
      <c r="A2515" s="24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5" t="n">
        <v>19.17219</v>
      </c>
    </row>
    <row r="2516">
      <c r="A2516" s="24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5" t="n">
        <v>13.89587</v>
      </c>
    </row>
    <row r="2517">
      <c r="A2517" s="24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5" t="n">
        <v>11.722617</v>
      </c>
    </row>
    <row r="2518">
      <c r="A2518" s="24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5" t="n">
        <v>8.586252</v>
      </c>
    </row>
    <row r="2519">
      <c r="A2519" s="24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5" t="n">
        <v>7.468439</v>
      </c>
    </row>
    <row r="2520">
      <c r="A2520" s="24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5" t="n">
        <v>6.172279</v>
      </c>
    </row>
    <row r="2521">
      <c r="A2521" s="24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5" t="n">
        <v>4.788172</v>
      </c>
    </row>
    <row r="2522">
      <c r="A2522" s="24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5" t="n">
        <v>4.844506</v>
      </c>
    </row>
    <row r="2523">
      <c r="A2523" s="24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5" t="n">
        <v>3.124248</v>
      </c>
    </row>
    <row r="2524">
      <c r="A2524" s="24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5" t="n">
        <v>3.910992</v>
      </c>
    </row>
    <row r="2525">
      <c r="A2525" s="24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5" t="n">
        <v>2.146877</v>
      </c>
    </row>
    <row r="2526">
      <c r="A2526" s="24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5" t="n">
        <v>3.122005</v>
      </c>
    </row>
    <row r="2527">
      <c r="A2527" s="24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5" t="n">
        <v>1.616971</v>
      </c>
    </row>
    <row r="2528">
      <c r="A2528" s="24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5" t="n">
        <v>2.411789</v>
      </c>
    </row>
    <row r="2529">
      <c r="A2529" s="24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5" t="n">
        <v>1.354997</v>
      </c>
    </row>
    <row r="2530">
      <c r="A2530" s="24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5" t="n">
        <v>1.782486</v>
      </c>
    </row>
    <row r="2531">
      <c r="A2531" s="24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5" t="n">
        <v>1.232328</v>
      </c>
    </row>
    <row r="2532">
      <c r="A2532" s="24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5" t="n">
        <v>1.251951</v>
      </c>
    </row>
    <row r="2533">
      <c r="A2533" s="24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5" t="n">
        <v>1.16388</v>
      </c>
    </row>
    <row r="2534">
      <c r="A2534" s="24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5" t="n">
        <v>10.211015</v>
      </c>
    </row>
    <row r="2535">
      <c r="A2535" s="24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5" t="n">
        <v>26.716719</v>
      </c>
    </row>
    <row r="2536">
      <c r="A2536" s="24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5" t="n">
        <v>26.119492</v>
      </c>
    </row>
    <row r="2537">
      <c r="A2537" s="24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5" t="n">
        <v>30.481384</v>
      </c>
    </row>
    <row r="2538">
      <c r="A2538" s="24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5" t="n">
        <v>32.07402</v>
      </c>
    </row>
    <row r="2539">
      <c r="A2539" s="24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5" t="n">
        <v>19.889738</v>
      </c>
    </row>
    <row r="2540">
      <c r="A2540" s="24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5" t="n">
        <v>15.123067</v>
      </c>
    </row>
    <row r="2541">
      <c r="A2541" s="24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5" t="n">
        <v>15.371287</v>
      </c>
    </row>
    <row r="2542">
      <c r="A2542" s="24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5" t="n">
        <v>8.096444999999999</v>
      </c>
    </row>
    <row r="2543">
      <c r="A2543" s="24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5" t="n">
        <v>12.564026</v>
      </c>
    </row>
    <row r="2544">
      <c r="A2544" s="24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5" t="n">
        <v>9.673131</v>
      </c>
    </row>
    <row r="2545">
      <c r="A2545" s="24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5" t="n">
        <v>8.074168999999999</v>
      </c>
    </row>
    <row r="2546">
      <c r="A2546" s="24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5" t="n">
        <v>5.756155</v>
      </c>
    </row>
    <row r="2547">
      <c r="A2547" s="24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5" t="n">
        <v>5.046954</v>
      </c>
    </row>
    <row r="2548">
      <c r="A2548" s="24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5" t="n">
        <v>4.221706</v>
      </c>
    </row>
    <row r="2549">
      <c r="A2549" s="24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5" t="n">
        <v>3.124798</v>
      </c>
    </row>
    <row r="2550">
      <c r="A2550" s="24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5" t="n">
        <v>3.408913</v>
      </c>
    </row>
    <row r="2551">
      <c r="A2551" s="24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5" t="n">
        <v>12.843106</v>
      </c>
    </row>
    <row r="2552">
      <c r="A2552" s="24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5" t="n">
        <v>18.343125</v>
      </c>
    </row>
    <row r="2553">
      <c r="A2553" s="24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5" t="n">
        <v>12.999446</v>
      </c>
    </row>
    <row r="2554">
      <c r="A2554" s="24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5" t="n">
        <v>13.090226</v>
      </c>
    </row>
    <row r="2555">
      <c r="A2555" s="24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5" t="n">
        <v>20.114443</v>
      </c>
    </row>
    <row r="2556">
      <c r="A2556" s="24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5" t="n">
        <v>21.52717</v>
      </c>
    </row>
    <row r="2557">
      <c r="A2557" s="24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5" t="n">
        <v>23.022299</v>
      </c>
    </row>
    <row r="2558">
      <c r="A2558" s="24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5" t="n">
        <v>35.035381</v>
      </c>
    </row>
    <row r="2559">
      <c r="A2559" s="24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5" t="n">
        <v>35.395579</v>
      </c>
    </row>
    <row r="2560">
      <c r="A2560" s="24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5" t="n">
        <v>19.30111</v>
      </c>
    </row>
    <row r="2561">
      <c r="A2561" s="24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5" t="n">
        <v>29.898689</v>
      </c>
    </row>
    <row r="2562">
      <c r="A2562" s="24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5" t="n">
        <v>38.353226</v>
      </c>
    </row>
    <row r="2563">
      <c r="A2563" s="24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5" t="n">
        <v>30.253599</v>
      </c>
    </row>
    <row r="2564">
      <c r="A2564" s="24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5" t="n">
        <v>21.001275</v>
      </c>
    </row>
    <row r="2565">
      <c r="A2565" s="24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5" t="n">
        <v>16.039667</v>
      </c>
    </row>
    <row r="2566">
      <c r="A2566" s="24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5" t="n">
        <v>13.236037</v>
      </c>
    </row>
    <row r="2567">
      <c r="A2567" s="24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5" t="n">
        <v>10.527011</v>
      </c>
    </row>
    <row r="2568">
      <c r="A2568" s="24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5" t="n">
        <v>14.841152</v>
      </c>
    </row>
    <row r="2569">
      <c r="A2569" s="24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5" t="n">
        <v>18.02357</v>
      </c>
    </row>
    <row r="2570">
      <c r="A2570" s="24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5" t="n">
        <v>18.99035</v>
      </c>
    </row>
    <row r="2571">
      <c r="A2571" s="24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5" t="n">
        <v>14.032092</v>
      </c>
    </row>
    <row r="2572">
      <c r="A2572" s="24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5" t="n">
        <v>16.832523</v>
      </c>
    </row>
    <row r="2573">
      <c r="A2573" s="24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5" t="n">
        <v>16.842124</v>
      </c>
    </row>
    <row r="2574">
      <c r="A2574" s="24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5" t="n">
        <v>11.171975</v>
      </c>
    </row>
    <row r="2575">
      <c r="A2575" s="24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5" t="n">
        <v>8.808956999999999</v>
      </c>
    </row>
    <row r="2576">
      <c r="A2576" s="24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5" t="n">
        <v>7.482595</v>
      </c>
    </row>
    <row r="2577">
      <c r="A2577" s="24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5" t="n">
        <v>5.627632</v>
      </c>
    </row>
    <row r="2578">
      <c r="A2578" s="24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5" t="n">
        <v>5.023674</v>
      </c>
    </row>
    <row r="2579">
      <c r="A2579" s="24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5" t="n">
        <v>7.324665</v>
      </c>
    </row>
    <row r="2580">
      <c r="A2580" s="24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5" t="n">
        <v>7.833634</v>
      </c>
    </row>
    <row r="2581">
      <c r="A2581" s="24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5" t="n">
        <v>5.655134</v>
      </c>
    </row>
    <row r="2582">
      <c r="A2582" s="24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5" t="n">
        <v>3.858671</v>
      </c>
    </row>
    <row r="2583">
      <c r="A2583" s="24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5" t="n">
        <v>4.30987</v>
      </c>
    </row>
    <row r="2584">
      <c r="A2584" s="24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5" t="n">
        <v>2.308387</v>
      </c>
    </row>
    <row r="2585">
      <c r="A2585" s="24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5" t="n">
        <v>3.190262</v>
      </c>
    </row>
    <row r="2586">
      <c r="A2586" s="24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5" t="n">
        <v>1.722481</v>
      </c>
    </row>
    <row r="2587">
      <c r="A2587" s="24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5" t="n">
        <v>2.221525</v>
      </c>
    </row>
    <row r="2588">
      <c r="A2588" s="24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5" t="n">
        <v>1.529719</v>
      </c>
    </row>
    <row r="2589">
      <c r="A2589" s="24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5" t="n">
        <v>1.440702</v>
      </c>
    </row>
    <row r="2590">
      <c r="A2590" s="24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5" t="n">
        <v>11.475771</v>
      </c>
    </row>
    <row r="2591">
      <c r="A2591" s="24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5" t="n">
        <v>15.17446</v>
      </c>
    </row>
    <row r="2592">
      <c r="A2592" s="24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5" t="n">
        <v>8.700982</v>
      </c>
    </row>
    <row r="2593">
      <c r="A2593" s="24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5" t="n">
        <v>19.570959</v>
      </c>
    </row>
    <row r="2594">
      <c r="A2594" s="24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5" t="n">
        <v>37.755629</v>
      </c>
    </row>
    <row r="2595">
      <c r="A2595" s="24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5" t="n">
        <v>28.467276</v>
      </c>
    </row>
    <row r="2596">
      <c r="A2596" s="24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5" t="n">
        <v>21.166304</v>
      </c>
    </row>
    <row r="2597">
      <c r="A2597" s="24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5" t="n">
        <v>16.977713</v>
      </c>
    </row>
    <row r="2598">
      <c r="A2598" s="24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5" t="n">
        <v>20.706232</v>
      </c>
    </row>
    <row r="2599">
      <c r="A2599" s="24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5" t="n">
        <v>20.272926</v>
      </c>
    </row>
    <row r="2600">
      <c r="A2600" s="24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5" t="n">
        <v>13.955326</v>
      </c>
    </row>
    <row r="2601">
      <c r="A2601" s="24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5" t="n">
        <v>9.794226999999999</v>
      </c>
    </row>
    <row r="2602">
      <c r="A2602" s="24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5" t="n">
        <v>9.269572</v>
      </c>
    </row>
    <row r="2603">
      <c r="A2603" s="24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5" t="n">
        <v>5.919495</v>
      </c>
    </row>
    <row r="2604">
      <c r="A2604" s="24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5" t="n">
        <v>16.353747</v>
      </c>
    </row>
    <row r="2605">
      <c r="A2605" s="24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5" t="n">
        <v>19.109742</v>
      </c>
    </row>
    <row r="2606">
      <c r="A2606" s="24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5" t="n">
        <v>11.31689</v>
      </c>
    </row>
    <row r="2607">
      <c r="A2607" s="24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5" t="n">
        <v>18.61706</v>
      </c>
    </row>
    <row r="2608">
      <c r="A2608" s="24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5" t="n">
        <v>21.399633</v>
      </c>
    </row>
    <row r="2609">
      <c r="A2609" s="24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5" t="n">
        <v>26.124215</v>
      </c>
    </row>
    <row r="2610">
      <c r="A2610" s="24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5" t="n">
        <v>37.401649</v>
      </c>
    </row>
    <row r="2611">
      <c r="A2611" s="24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5" t="n">
        <v>29.909739</v>
      </c>
    </row>
    <row r="2612">
      <c r="A2612" s="24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5" t="n">
        <v>26.263564</v>
      </c>
    </row>
    <row r="2613">
      <c r="A2613" s="24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5" t="n">
        <v>32.096297</v>
      </c>
    </row>
    <row r="2614">
      <c r="A2614" s="24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5" t="n">
        <v>19.828776</v>
      </c>
    </row>
    <row r="2615">
      <c r="A2615" s="24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5" t="n">
        <v>16.8049</v>
      </c>
    </row>
    <row r="2616">
      <c r="A2616" s="24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5" t="n">
        <v>12.470188</v>
      </c>
    </row>
    <row r="2617">
      <c r="A2617" s="24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5" t="n">
        <v>9.753719</v>
      </c>
    </row>
    <row r="2618">
      <c r="A2618" s="24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5" t="n">
        <v>8.643195</v>
      </c>
    </row>
    <row r="2619">
      <c r="A2619" s="24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5" t="n">
        <v>6.180887</v>
      </c>
    </row>
    <row r="2620">
      <c r="A2620" s="24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5" t="n">
        <v>6.252677</v>
      </c>
    </row>
    <row r="2621">
      <c r="A2621" s="24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5" t="n">
        <v>4.242029</v>
      </c>
    </row>
    <row r="2622">
      <c r="A2622" s="24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5" t="n">
        <v>4.621931</v>
      </c>
    </row>
    <row r="2623">
      <c r="A2623" s="24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5" t="n">
        <v>3.124306</v>
      </c>
    </row>
    <row r="2624">
      <c r="A2624" s="24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5" t="n">
        <v>7.810574</v>
      </c>
    </row>
    <row r="2625">
      <c r="A2625" s="24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5" t="n">
        <v>8.653249000000001</v>
      </c>
    </row>
    <row r="2626">
      <c r="A2626" s="24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5" t="n">
        <v>12.444507</v>
      </c>
    </row>
    <row r="2627">
      <c r="A2627" s="24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5" t="n">
        <v>13.703294</v>
      </c>
    </row>
    <row r="2628">
      <c r="A2628" s="24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5" t="n">
        <v>9.014036000000001</v>
      </c>
    </row>
    <row r="2629">
      <c r="A2629" s="24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5" t="n">
        <v>5.963734</v>
      </c>
    </row>
    <row r="2630">
      <c r="A2630" s="24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5" t="n">
        <v>6.256453</v>
      </c>
    </row>
    <row r="2631">
      <c r="A2631" s="24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5" t="n">
        <v>3.38876</v>
      </c>
    </row>
    <row r="2632">
      <c r="A2632" s="24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5" t="n">
        <v>4.150869</v>
      </c>
    </row>
    <row r="2633">
      <c r="A2633" s="24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5" t="n">
        <v>2.545727</v>
      </c>
    </row>
    <row r="2634">
      <c r="A2634" s="24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5" t="n">
        <v>2.573336</v>
      </c>
    </row>
    <row r="2635">
      <c r="A2635" s="24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5" t="n">
        <v>4.71559</v>
      </c>
    </row>
    <row r="2636">
      <c r="A2636" s="24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5" t="n">
        <v>5.063122</v>
      </c>
    </row>
    <row r="2637">
      <c r="A2637" s="24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5" t="n">
        <v>3.810528</v>
      </c>
    </row>
    <row r="2638">
      <c r="A2638" s="24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5" t="n">
        <v>2.171092</v>
      </c>
    </row>
    <row r="2639">
      <c r="A2639" s="24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5" t="n">
        <v>2.94712</v>
      </c>
    </row>
    <row r="2640">
      <c r="A2640" s="24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5" t="n">
        <v>1.16</v>
      </c>
    </row>
    <row r="2641">
      <c r="A2641" s="24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5" t="n">
        <v>14.52431</v>
      </c>
    </row>
    <row r="2642">
      <c r="A2642" s="24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5" t="n">
        <v>30.372293</v>
      </c>
    </row>
    <row r="2643">
      <c r="A2643" s="24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5" t="n">
        <v>31.593827</v>
      </c>
    </row>
    <row r="2644">
      <c r="A2644" s="24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5" t="n">
        <v>21.844307</v>
      </c>
    </row>
    <row r="2645">
      <c r="A2645" s="24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5" t="n">
        <v>16.407587</v>
      </c>
    </row>
    <row r="2646">
      <c r="A2646" s="24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5" t="n">
        <v>23.571138</v>
      </c>
    </row>
    <row r="2647">
      <c r="A2647" s="24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5" t="n">
        <v>25.937856</v>
      </c>
    </row>
    <row r="2648">
      <c r="A2648" s="24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5" t="n">
        <v>28.265571</v>
      </c>
    </row>
    <row r="2649">
      <c r="A2649" s="24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5" t="n">
        <v>35.580396</v>
      </c>
    </row>
    <row r="2650">
      <c r="A2650" s="24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5" t="n">
        <v>38.230269</v>
      </c>
    </row>
    <row r="2651">
      <c r="A2651" s="24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5" t="n">
        <v>33.007341</v>
      </c>
    </row>
    <row r="2652">
      <c r="A2652" s="24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5" t="n">
        <v>28.079725</v>
      </c>
    </row>
    <row r="2653">
      <c r="A2653" s="24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5" t="n">
        <v>16.684567</v>
      </c>
    </row>
    <row r="2654">
      <c r="A2654" s="24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5" t="n">
        <v>21.520521</v>
      </c>
    </row>
    <row r="2655">
      <c r="A2655" s="24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5" t="n">
        <v>17.36231</v>
      </c>
    </row>
    <row r="2656">
      <c r="A2656" s="24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5" t="n">
        <v>13.699398</v>
      </c>
    </row>
    <row r="2657">
      <c r="A2657" s="24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5" t="n">
        <v>10.112962</v>
      </c>
    </row>
    <row r="2658">
      <c r="A2658" s="24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5" t="n">
        <v>8.615159</v>
      </c>
    </row>
    <row r="2659">
      <c r="A2659" s="24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5" t="n">
        <v>7.165988</v>
      </c>
    </row>
    <row r="2660">
      <c r="A2660" s="24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5" t="n">
        <v>5.412876</v>
      </c>
    </row>
    <row r="2661">
      <c r="A2661" s="24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5" t="n">
        <v>18.822539</v>
      </c>
    </row>
    <row r="2662">
      <c r="A2662" s="24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5" t="n">
        <v>24.707274</v>
      </c>
    </row>
    <row r="2663">
      <c r="A2663" s="24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5" t="n">
        <v>17.502196</v>
      </c>
    </row>
    <row r="2664">
      <c r="A2664" s="24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5" t="n">
        <v>10.693902</v>
      </c>
    </row>
    <row r="2665">
      <c r="A2665" s="24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5" t="n">
        <v>14.314835</v>
      </c>
    </row>
    <row r="2666">
      <c r="A2666" s="24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5" t="n">
        <v>24.568072</v>
      </c>
    </row>
    <row r="2667">
      <c r="A2667" s="24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5" t="n">
        <v>33.341893</v>
      </c>
    </row>
    <row r="2668">
      <c r="A2668" s="24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5" t="n">
        <v>27.365569</v>
      </c>
    </row>
    <row r="2669">
      <c r="A2669" s="24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5" t="n">
        <v>36.212244</v>
      </c>
    </row>
    <row r="2670">
      <c r="A2670" s="24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5" t="n">
        <v>32.996342</v>
      </c>
    </row>
    <row r="2671">
      <c r="A2671" s="24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5" t="n">
        <v>19.649222</v>
      </c>
    </row>
    <row r="2672">
      <c r="A2672" s="24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5" t="n">
        <v>17.782548</v>
      </c>
    </row>
    <row r="2673">
      <c r="A2673" s="24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5" t="n">
        <v>11.904048</v>
      </c>
    </row>
    <row r="2674">
      <c r="A2674" s="24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5" t="n">
        <v>10.877166</v>
      </c>
    </row>
    <row r="2675">
      <c r="A2675" s="24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5" t="n">
        <v>14.106818</v>
      </c>
    </row>
    <row r="2676">
      <c r="A2676" s="24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5" t="n">
        <v>23.023802</v>
      </c>
    </row>
    <row r="2677">
      <c r="A2677" s="24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5" t="n">
        <v>20.141711</v>
      </c>
    </row>
    <row r="2678">
      <c r="A2678" s="24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5" t="n">
        <v>20.620194</v>
      </c>
    </row>
    <row r="2679">
      <c r="A2679" s="24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5" t="n">
        <v>25.327317</v>
      </c>
    </row>
    <row r="2680">
      <c r="A2680" s="24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5" t="n">
        <v>35.324543</v>
      </c>
    </row>
    <row r="2681">
      <c r="A2681" s="24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5" t="n">
        <v>48.029881</v>
      </c>
    </row>
    <row r="2682">
      <c r="A2682" s="24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5" t="n">
        <v>39.880984</v>
      </c>
    </row>
    <row r="2683">
      <c r="A2683" s="24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5" t="n">
        <v>36.710088</v>
      </c>
    </row>
    <row r="2684">
      <c r="A2684" s="24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5" t="n">
        <v>45.431678</v>
      </c>
    </row>
    <row r="2685">
      <c r="A2685" s="24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5" t="n">
        <v>46.770407</v>
      </c>
    </row>
    <row r="2686">
      <c r="A2686" s="24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5" t="n">
        <v>58.689447</v>
      </c>
    </row>
    <row r="2687">
      <c r="A2687" s="24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5" t="n">
        <v>67.815349</v>
      </c>
    </row>
    <row r="2688">
      <c r="A2688" s="24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5" t="n">
        <v>65.353587</v>
      </c>
    </row>
    <row r="2689">
      <c r="A2689" s="24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5" t="n">
        <v>55.725582</v>
      </c>
    </row>
    <row r="2690">
      <c r="A2690" s="24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5" t="n">
        <v>36.399545</v>
      </c>
    </row>
    <row r="2691">
      <c r="A2691" s="24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5" t="n">
        <v>30.810578</v>
      </c>
    </row>
    <row r="2692">
      <c r="A2692" s="24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5" t="n">
        <v>23.160255</v>
      </c>
    </row>
    <row r="2693">
      <c r="A2693" s="24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5" t="n">
        <v>20.036992</v>
      </c>
    </row>
    <row r="2694">
      <c r="A2694" s="24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5" t="n">
        <v>32.54044</v>
      </c>
    </row>
    <row r="2695">
      <c r="A2695" s="24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5" t="n">
        <v>49.821957</v>
      </c>
    </row>
    <row r="2696">
      <c r="A2696" s="24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5" t="n">
        <v>54.559659</v>
      </c>
    </row>
    <row r="2697">
      <c r="A2697" s="24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5" t="n">
        <v>41.500205</v>
      </c>
    </row>
    <row r="2698">
      <c r="A2698" s="24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5" t="n">
        <v>35.491524</v>
      </c>
    </row>
    <row r="2699">
      <c r="A2699" s="24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5" t="n">
        <v>47.279639</v>
      </c>
    </row>
    <row r="2700">
      <c r="A2700" s="24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5" t="n">
        <v>62.397514</v>
      </c>
    </row>
    <row r="2701">
      <c r="A2701" s="24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5" t="n">
        <v>62.934625</v>
      </c>
    </row>
    <row r="2702">
      <c r="A2702" s="24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5" t="n">
        <v>58.089536</v>
      </c>
    </row>
    <row r="2703">
      <c r="A2703" s="24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5" t="n">
        <v>49.285279</v>
      </c>
    </row>
    <row r="2704">
      <c r="A2704" s="24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5" t="n">
        <v>49.452974</v>
      </c>
    </row>
    <row r="2705">
      <c r="A2705" s="24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5" t="n">
        <v>43.834138</v>
      </c>
    </row>
    <row r="2706">
      <c r="A2706" s="24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5" t="n">
        <v>29.787391</v>
      </c>
    </row>
    <row r="2707">
      <c r="A2707" s="24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5" t="n">
        <v>24.796812</v>
      </c>
    </row>
    <row r="2708">
      <c r="A2708" s="24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5" t="n">
        <v>19.516746</v>
      </c>
    </row>
    <row r="2709">
      <c r="A2709" s="24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5" t="n">
        <v>15.757582</v>
      </c>
    </row>
    <row r="2710">
      <c r="A2710" s="24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5" t="n">
        <v>13.617345</v>
      </c>
    </row>
    <row r="2711">
      <c r="A2711" s="24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5" t="n">
        <v>10.859959</v>
      </c>
    </row>
    <row r="2712">
      <c r="A2712" s="24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5" t="n">
        <v>9.853516000000001</v>
      </c>
    </row>
    <row r="2713">
      <c r="A2713" s="24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5" t="n">
        <v>7.94946</v>
      </c>
    </row>
    <row r="2714">
      <c r="A2714" s="24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5" t="n">
        <v>7.329483</v>
      </c>
    </row>
    <row r="2715">
      <c r="A2715" s="24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5" t="n">
        <v>6.054975</v>
      </c>
    </row>
    <row r="2716">
      <c r="A2716" s="24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5" t="n">
        <v>5.58411</v>
      </c>
    </row>
    <row r="2717">
      <c r="A2717" s="24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5" t="n">
        <v>9.811956</v>
      </c>
    </row>
    <row r="2718">
      <c r="A2718" s="24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5" t="n">
        <v>12.877088</v>
      </c>
    </row>
    <row r="2719">
      <c r="A2719" s="24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5" t="n">
        <v>9.225744000000001</v>
      </c>
    </row>
    <row r="2720">
      <c r="A2720" s="24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5" t="n">
        <v>6.954667</v>
      </c>
    </row>
    <row r="2721">
      <c r="A2721" s="24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5" t="n">
        <v>6.135106</v>
      </c>
    </row>
    <row r="2722">
      <c r="A2722" s="24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5" t="n">
        <v>4.501822</v>
      </c>
    </row>
    <row r="2723">
      <c r="A2723" s="24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5" t="n">
        <v>18.922505</v>
      </c>
    </row>
    <row r="2724">
      <c r="A2724" s="24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5" t="n">
        <v>40.295074</v>
      </c>
    </row>
    <row r="2725">
      <c r="A2725" s="24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5" t="n">
        <v>50.505051</v>
      </c>
    </row>
    <row r="2726">
      <c r="A2726" s="24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5" t="n">
        <v>55.429081</v>
      </c>
    </row>
    <row r="2727">
      <c r="A2727" s="24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5" t="n">
        <v>61.220137</v>
      </c>
    </row>
    <row r="2728">
      <c r="A2728" s="24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5" t="n">
        <v>49.977551</v>
      </c>
    </row>
    <row r="2729">
      <c r="A2729" s="24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5" t="n">
        <v>34.05269</v>
      </c>
    </row>
    <row r="2730">
      <c r="A2730" s="24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5" t="n">
        <v>26.454307</v>
      </c>
    </row>
    <row r="2731">
      <c r="A2731" s="24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5" t="n">
        <v>21.1319</v>
      </c>
    </row>
    <row r="2732">
      <c r="A2732" s="24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5" t="n">
        <v>15.813359</v>
      </c>
    </row>
    <row r="2733">
      <c r="A2733" s="24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5" t="n">
        <v>13.758458</v>
      </c>
    </row>
    <row r="2734">
      <c r="A2734" s="24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5" t="n">
        <v>10.548632</v>
      </c>
    </row>
    <row r="2735">
      <c r="A2735" s="24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5" t="n">
        <v>9.236511</v>
      </c>
    </row>
    <row r="2736">
      <c r="A2736" s="24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5" t="n">
        <v>7.637667</v>
      </c>
    </row>
    <row r="2737">
      <c r="A2737" s="24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5" t="n">
        <v>6.412767</v>
      </c>
    </row>
    <row r="2738">
      <c r="A2738" s="24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5" t="n">
        <v>5.783352</v>
      </c>
    </row>
    <row r="2739">
      <c r="A2739" s="24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5" t="n">
        <v>4.656684</v>
      </c>
    </row>
    <row r="2740">
      <c r="A2740" s="24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5" t="n">
        <v>4.436682</v>
      </c>
    </row>
    <row r="2741">
      <c r="A2741" s="24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5" t="n">
        <v>3.56867</v>
      </c>
    </row>
    <row r="2742">
      <c r="A2742" s="24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5" t="n">
        <v>4.804841</v>
      </c>
    </row>
    <row r="2743">
      <c r="A2743" s="24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5" t="n">
        <v>4.917228</v>
      </c>
    </row>
    <row r="2744">
      <c r="A2744" s="24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5" t="n">
        <v>11.700436</v>
      </c>
    </row>
    <row r="2745">
      <c r="A2745" s="24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5" t="n">
        <v>27.275339</v>
      </c>
    </row>
    <row r="2746">
      <c r="A2746" s="24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5" t="n">
        <v>41.724793</v>
      </c>
    </row>
    <row r="2747">
      <c r="A2747" s="24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5" t="n">
        <v>47.964797</v>
      </c>
    </row>
    <row r="2748">
      <c r="A2748" s="24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5" t="n">
        <v>37.987614</v>
      </c>
    </row>
    <row r="2749">
      <c r="A2749" s="24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5" t="n">
        <v>31.704895</v>
      </c>
    </row>
    <row r="2750">
      <c r="A2750" s="24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5" t="n">
        <v>44.195391</v>
      </c>
    </row>
    <row r="2751">
      <c r="A2751" s="24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5" t="n">
        <v>45.19736</v>
      </c>
    </row>
    <row r="2752">
      <c r="A2752" s="24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5" t="n">
        <v>30.47215</v>
      </c>
    </row>
    <row r="2753">
      <c r="A2753" s="24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5" t="n">
        <v>23.583148</v>
      </c>
    </row>
    <row r="2754">
      <c r="A2754" s="24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5" t="n">
        <v>17.966268</v>
      </c>
    </row>
    <row r="2755">
      <c r="A2755" s="24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5" t="n">
        <v>14.25085</v>
      </c>
    </row>
    <row r="2756">
      <c r="A2756" s="24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5" t="n">
        <v>13.564313</v>
      </c>
    </row>
    <row r="2757">
      <c r="A2757" s="24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5" t="n">
        <v>12.187409</v>
      </c>
    </row>
    <row r="2758">
      <c r="A2758" s="24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5" t="n">
        <v>9.400497</v>
      </c>
    </row>
    <row r="2759">
      <c r="A2759" s="24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5" t="n">
        <v>7.594747</v>
      </c>
    </row>
    <row r="2760">
      <c r="A2760" s="24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5" t="n">
        <v>6.737245</v>
      </c>
    </row>
    <row r="2761">
      <c r="A2761" s="24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5" t="n">
        <v>8.758359</v>
      </c>
    </row>
    <row r="2762">
      <c r="A2762" s="24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5" t="n">
        <v>10.009032</v>
      </c>
    </row>
    <row r="2763">
      <c r="A2763" s="24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5" t="n">
        <v>6.419649</v>
      </c>
    </row>
    <row r="2764">
      <c r="A2764" s="24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5" t="n">
        <v>5.571706</v>
      </c>
    </row>
    <row r="2765">
      <c r="A2765" s="24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5" t="n">
        <v>4.692585</v>
      </c>
    </row>
    <row r="2766">
      <c r="A2766" s="24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5" t="n">
        <v>3.704093</v>
      </c>
    </row>
    <row r="2767">
      <c r="A2767" s="24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5" t="n">
        <v>15.813247</v>
      </c>
    </row>
    <row r="2768">
      <c r="A2768" s="24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5" t="n">
        <v>36.063231</v>
      </c>
    </row>
    <row r="2769">
      <c r="A2769" s="24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5" t="n">
        <v>45.592383</v>
      </c>
    </row>
    <row r="2770">
      <c r="A2770" s="24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5" t="n">
        <v>36.870135</v>
      </c>
    </row>
    <row r="2771">
      <c r="A2771" s="24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5" t="n">
        <v>40.336207</v>
      </c>
    </row>
    <row r="2772">
      <c r="A2772" s="24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5" t="n">
        <v>55.959865</v>
      </c>
    </row>
    <row r="2773">
      <c r="A2773" s="24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5" t="n">
        <v>53.435769</v>
      </c>
    </row>
    <row r="2774">
      <c r="A2774" s="24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5" t="n">
        <v>52.666547</v>
      </c>
    </row>
    <row r="2775">
      <c r="A2775" s="24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5" t="n">
        <v>64.664203</v>
      </c>
    </row>
    <row r="2776">
      <c r="A2776" s="24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5" t="n">
        <v>64.102063</v>
      </c>
    </row>
    <row r="2777">
      <c r="A2777" s="24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5" t="n">
        <v>50.713481</v>
      </c>
    </row>
    <row r="2778">
      <c r="A2778" s="24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5" t="n">
        <v>52.263425</v>
      </c>
    </row>
    <row r="2779">
      <c r="A2779" s="24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5" t="n">
        <v>91.70576800000001</v>
      </c>
    </row>
    <row r="2780">
      <c r="A2780" s="24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5" t="n">
        <v>119.360185</v>
      </c>
    </row>
    <row r="2781">
      <c r="A2781" s="24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5" t="n">
        <v>91.488472</v>
      </c>
    </row>
    <row r="2782">
      <c r="A2782" s="24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5" t="n">
        <v>64.046745</v>
      </c>
    </row>
    <row r="2783">
      <c r="A2783" s="24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5" t="n">
        <v>48.609244</v>
      </c>
    </row>
    <row r="2784">
      <c r="A2784" s="24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5" t="n">
        <v>35.986595</v>
      </c>
    </row>
    <row r="2785">
      <c r="A2785" s="24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5" t="n">
        <v>27.739399</v>
      </c>
    </row>
    <row r="2786">
      <c r="A2786" s="24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5" t="n">
        <v>22.946286</v>
      </c>
    </row>
    <row r="2787">
      <c r="A2787" s="24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5" t="n">
        <v>18.011755</v>
      </c>
    </row>
    <row r="2788">
      <c r="A2788" s="24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5" t="n">
        <v>30.483341</v>
      </c>
    </row>
    <row r="2789">
      <c r="A2789" s="24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5" t="n">
        <v>49.98879</v>
      </c>
    </row>
    <row r="2790">
      <c r="A2790" s="24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5" t="n">
        <v>58.015502</v>
      </c>
    </row>
    <row r="2791">
      <c r="A2791" s="24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5" t="n">
        <v>60.117339</v>
      </c>
    </row>
    <row r="2792">
      <c r="A2792" s="24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5" t="n">
        <v>48.77435</v>
      </c>
    </row>
    <row r="2793">
      <c r="A2793" s="24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5" t="n">
        <v>37.465267</v>
      </c>
    </row>
    <row r="2794">
      <c r="A2794" s="24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5" t="n">
        <v>31.811105</v>
      </c>
    </row>
    <row r="2795">
      <c r="A2795" s="24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5" t="n">
        <v>24.595886</v>
      </c>
    </row>
    <row r="2796">
      <c r="A2796" s="24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5" t="n">
        <v>32.310465</v>
      </c>
    </row>
    <row r="2797">
      <c r="A2797" s="24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5" t="n">
        <v>91.229011</v>
      </c>
    </row>
    <row r="2798">
      <c r="A2798" s="24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5" t="n">
        <v>132.236593</v>
      </c>
    </row>
    <row r="2799">
      <c r="A2799" s="24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5" t="n">
        <v>98.58125800000001</v>
      </c>
    </row>
    <row r="2800">
      <c r="A2800" s="24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5" t="n">
        <v>67.412954</v>
      </c>
    </row>
    <row r="2801">
      <c r="A2801" s="24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5" t="n">
        <v>66.03807</v>
      </c>
    </row>
    <row r="2802">
      <c r="A2802" s="24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5" t="n">
        <v>46.336221</v>
      </c>
    </row>
    <row r="2803">
      <c r="A2803" s="24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5" t="n">
        <v>52.319984</v>
      </c>
    </row>
    <row r="2804">
      <c r="A2804" s="24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5" t="n">
        <v>67.96734600000001</v>
      </c>
    </row>
    <row r="2805">
      <c r="A2805" s="24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5" t="n">
        <v>66.351246</v>
      </c>
    </row>
    <row r="2806">
      <c r="A2806" s="24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5" t="n">
        <v>60.759792</v>
      </c>
    </row>
    <row r="2807">
      <c r="A2807" s="24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5" t="n">
        <v>51.29227</v>
      </c>
    </row>
    <row r="2808">
      <c r="A2808" s="24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5" t="n">
        <v>56.629976</v>
      </c>
    </row>
    <row r="2809">
      <c r="A2809" s="24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5" t="n">
        <v>46.481591</v>
      </c>
    </row>
    <row r="2810">
      <c r="A2810" s="24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5" t="n">
        <v>48.582101</v>
      </c>
    </row>
    <row r="2811">
      <c r="A2811" s="24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5" t="n">
        <v>60.225242</v>
      </c>
    </row>
    <row r="2812">
      <c r="A2812" s="24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5" t="n">
        <v>50.705806</v>
      </c>
    </row>
    <row r="2813">
      <c r="A2813" s="24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5" t="n">
        <v>44.577328</v>
      </c>
    </row>
    <row r="2814">
      <c r="A2814" s="24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5" t="n">
        <v>40.178806</v>
      </c>
    </row>
    <row r="2815">
      <c r="A2815" s="24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5" t="n">
        <v>36.596579</v>
      </c>
    </row>
    <row r="2816">
      <c r="A2816" s="24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5" t="n">
        <v>35.409249</v>
      </c>
    </row>
    <row r="2817">
      <c r="A2817" s="24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5" t="n">
        <v>25.244861</v>
      </c>
    </row>
    <row r="2818">
      <c r="A2818" s="24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5" t="n">
        <v>31.624885</v>
      </c>
    </row>
    <row r="2819">
      <c r="A2819" s="24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5" t="n">
        <v>50.218221</v>
      </c>
    </row>
    <row r="2820">
      <c r="A2820" s="24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5" t="n">
        <v>44.172832</v>
      </c>
    </row>
    <row r="2821">
      <c r="A2821" s="24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5" t="n">
        <v>45.581003</v>
      </c>
    </row>
    <row r="2822">
      <c r="A2822" s="24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5" t="n">
        <v>58.567879</v>
      </c>
    </row>
    <row r="2823">
      <c r="A2823" s="24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5" t="n">
        <v>62.35763</v>
      </c>
    </row>
    <row r="2824">
      <c r="A2824" s="24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5" t="n">
        <v>50.128959</v>
      </c>
    </row>
    <row r="2825">
      <c r="A2825" s="24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5" t="n">
        <v>37.861106</v>
      </c>
    </row>
    <row r="2826">
      <c r="A2826" s="24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5" t="n">
        <v>28.299218</v>
      </c>
    </row>
    <row r="2827">
      <c r="A2827" s="24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5" t="n">
        <v>23.334445</v>
      </c>
    </row>
    <row r="2828">
      <c r="A2828" s="24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5" t="n">
        <v>21.434473</v>
      </c>
    </row>
    <row r="2829">
      <c r="A2829" s="24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5" t="n">
        <v>20.00215</v>
      </c>
    </row>
    <row r="2830">
      <c r="A2830" s="24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5" t="n">
        <v>18.451189</v>
      </c>
    </row>
    <row r="2831">
      <c r="A2831" s="24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5" t="n">
        <v>22.657515</v>
      </c>
    </row>
    <row r="2832">
      <c r="A2832" s="24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5" t="n">
        <v>21.819078</v>
      </c>
    </row>
    <row r="2833">
      <c r="A2833" s="24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5" t="n">
        <v>14.157393</v>
      </c>
    </row>
    <row r="2834">
      <c r="A2834" s="24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5" t="n">
        <v>12.892765</v>
      </c>
    </row>
    <row r="2835">
      <c r="A2835" s="24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5" t="n">
        <v>11.689296</v>
      </c>
    </row>
    <row r="2836">
      <c r="A2836" s="24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5" t="n">
        <v>11.226961</v>
      </c>
    </row>
    <row r="2837">
      <c r="A2837" s="24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5" t="n">
        <v>8.661448</v>
      </c>
    </row>
    <row r="2838">
      <c r="A2838" s="24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5" t="n">
        <v>19.680507</v>
      </c>
    </row>
    <row r="2839">
      <c r="A2839" s="24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5" t="n">
        <v>39.850412</v>
      </c>
    </row>
    <row r="2840">
      <c r="A2840" s="24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5" t="n">
        <v>40.758432</v>
      </c>
    </row>
    <row r="2841">
      <c r="A2841" s="24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5" t="n">
        <v>29.877568</v>
      </c>
    </row>
    <row r="2842">
      <c r="A2842" s="24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5" t="n">
        <v>21.224127</v>
      </c>
    </row>
    <row r="2843">
      <c r="A2843" s="24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5" t="n">
        <v>24.691166</v>
      </c>
    </row>
    <row r="2844">
      <c r="A2844" s="24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5" t="n">
        <v>37.167622</v>
      </c>
    </row>
    <row r="2845">
      <c r="A2845" s="24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5" t="n">
        <v>36.495117</v>
      </c>
    </row>
    <row r="2846">
      <c r="A2846" s="24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5" t="n">
        <v>23.734011</v>
      </c>
    </row>
    <row r="2847">
      <c r="A2847" s="24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5" t="n">
        <v>18.845286</v>
      </c>
    </row>
    <row r="2848">
      <c r="A2848" s="24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5" t="n">
        <v>14.825753</v>
      </c>
    </row>
    <row r="2849">
      <c r="A2849" s="24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5" t="n">
        <v>11.299401</v>
      </c>
    </row>
    <row r="2850">
      <c r="A2850" s="24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5" t="n">
        <v>9.976176000000001</v>
      </c>
    </row>
    <row r="2851">
      <c r="A2851" s="24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5" t="n">
        <v>7.567292</v>
      </c>
    </row>
    <row r="2852">
      <c r="A2852" s="24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5" t="n">
        <v>20.391333</v>
      </c>
    </row>
    <row r="2853">
      <c r="A2853" s="24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5" t="n">
        <v>36.506788</v>
      </c>
    </row>
    <row r="2854">
      <c r="A2854" s="24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5" t="n">
        <v>31.272341</v>
      </c>
    </row>
    <row r="2855">
      <c r="A2855" s="24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5" t="n">
        <v>21.010956</v>
      </c>
    </row>
    <row r="2856">
      <c r="A2856" s="24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5" t="n">
        <v>18.912748</v>
      </c>
    </row>
    <row r="2857">
      <c r="A2857" s="24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5" t="n">
        <v>13.37014</v>
      </c>
    </row>
    <row r="2858">
      <c r="A2858" s="24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5" t="n">
        <v>16.848513</v>
      </c>
    </row>
    <row r="2859">
      <c r="A2859" s="24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5" t="n">
        <v>18.023586</v>
      </c>
    </row>
    <row r="2860">
      <c r="A2860" s="24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5" t="n">
        <v>11.296395</v>
      </c>
    </row>
    <row r="2861">
      <c r="A2861" s="24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5" t="n">
        <v>9.556699</v>
      </c>
    </row>
    <row r="2862">
      <c r="A2862" s="24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5" t="n">
        <v>11.510934</v>
      </c>
    </row>
    <row r="2863">
      <c r="A2863" s="24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5" t="n">
        <v>17.920876</v>
      </c>
    </row>
    <row r="2864">
      <c r="A2864" s="24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5" t="n">
        <v>18.329503</v>
      </c>
    </row>
    <row r="2865">
      <c r="A2865" s="24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5" t="n">
        <v>10.901611</v>
      </c>
    </row>
    <row r="2866">
      <c r="A2866" s="24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5" t="n">
        <v>9.569521999999999</v>
      </c>
    </row>
    <row r="2867">
      <c r="A2867" s="24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5" t="n">
        <v>7.256615</v>
      </c>
    </row>
    <row r="2868">
      <c r="A2868" s="24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5" t="n">
        <v>5.798201</v>
      </c>
    </row>
    <row r="2869">
      <c r="A2869" s="24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5" t="n">
        <v>5.130191</v>
      </c>
    </row>
    <row r="2870">
      <c r="A2870" s="24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5" t="n">
        <v>3.929149</v>
      </c>
    </row>
    <row r="2871">
      <c r="A2871" s="24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5" t="n">
        <v>3.690827</v>
      </c>
    </row>
    <row r="2872">
      <c r="A2872" s="24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5" t="n">
        <v>4.367942</v>
      </c>
    </row>
    <row r="2873">
      <c r="A2873" s="24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5" t="n">
        <v>4.771858</v>
      </c>
    </row>
    <row r="2874">
      <c r="A2874" s="24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5" t="n">
        <v>3.337423</v>
      </c>
    </row>
    <row r="2875">
      <c r="A2875" s="24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5" t="n">
        <v>2.737306</v>
      </c>
    </row>
    <row r="2876">
      <c r="A2876" s="24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5" t="n">
        <v>2.540705</v>
      </c>
    </row>
    <row r="2877">
      <c r="A2877" s="24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5" t="n">
        <v>2.236041</v>
      </c>
    </row>
    <row r="2878">
      <c r="A2878" s="24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5" t="n">
        <v>2.467704</v>
      </c>
    </row>
    <row r="2879">
      <c r="A2879" s="24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5" t="n">
        <v>1.703638</v>
      </c>
    </row>
    <row r="2880">
      <c r="A2880" s="24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5" t="n">
        <v>1.586851</v>
      </c>
    </row>
    <row r="2881">
      <c r="A2881" s="24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5" t="n">
        <v>1.390488</v>
      </c>
    </row>
    <row r="2882">
      <c r="A2882" s="24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5" t="n">
        <v>1.059821</v>
      </c>
    </row>
    <row r="2883">
      <c r="A2883" s="24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5" t="n">
        <v>1.179376</v>
      </c>
    </row>
    <row r="2884">
      <c r="A2884" s="24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5" t="n">
        <v>0.719296</v>
      </c>
    </row>
    <row r="2885">
      <c r="A2885" s="24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5" t="n">
        <v>1.006708</v>
      </c>
    </row>
    <row r="2886">
      <c r="A2886" s="24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5" t="n">
        <v>0.498243</v>
      </c>
    </row>
    <row r="2887">
      <c r="A2887" s="24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5" t="n">
        <v>0.851397</v>
      </c>
    </row>
    <row r="2888">
      <c r="A2888" s="24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5" t="n">
        <v>0.358549</v>
      </c>
    </row>
    <row r="2889">
      <c r="A2889" s="24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5" t="n">
        <v>0.706278</v>
      </c>
    </row>
    <row r="2890">
      <c r="A2890" s="24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5" t="n">
        <v>0.275224</v>
      </c>
    </row>
    <row r="2891">
      <c r="A2891" s="24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5" t="n">
        <v>0.569951</v>
      </c>
    </row>
    <row r="2892">
      <c r="A2892" s="24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5" t="n">
        <v>0.240948</v>
      </c>
    </row>
    <row r="2893">
      <c r="A2893" s="24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5" t="n">
        <v>0.44552</v>
      </c>
    </row>
    <row r="2894">
      <c r="A2894" s="24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5" t="n">
        <v>0.257052</v>
      </c>
    </row>
    <row r="2895">
      <c r="A2895" s="24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5" t="n">
        <v>0.313123</v>
      </c>
    </row>
    <row r="2896">
      <c r="A2896" s="24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5" t="n">
        <v>7.453947</v>
      </c>
    </row>
    <row r="2897">
      <c r="A2897" s="24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5" t="n">
        <v>21.626726</v>
      </c>
    </row>
    <row r="2898">
      <c r="A2898" s="24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5" t="n">
        <v>22.903547</v>
      </c>
    </row>
    <row r="2899">
      <c r="A2899" s="24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5" t="n">
        <v>14.0886</v>
      </c>
    </row>
    <row r="2900">
      <c r="A2900" s="24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5" t="n">
        <v>10.628639</v>
      </c>
    </row>
    <row r="2901">
      <c r="A2901" s="24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5" t="n">
        <v>7.967668</v>
      </c>
    </row>
    <row r="2902">
      <c r="A2902" s="24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5" t="n">
        <v>5.774663</v>
      </c>
    </row>
    <row r="2903">
      <c r="A2903" s="24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5" t="n">
        <v>4.944197</v>
      </c>
    </row>
    <row r="2904">
      <c r="A2904" s="24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5" t="n">
        <v>3.593581</v>
      </c>
    </row>
    <row r="2905">
      <c r="A2905" s="24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5" t="n">
        <v>3.159789</v>
      </c>
    </row>
    <row r="2906">
      <c r="A2906" s="24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5" t="n">
        <v>2.519097</v>
      </c>
    </row>
    <row r="2907">
      <c r="A2907" s="24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5" t="n">
        <v>3.622569</v>
      </c>
    </row>
    <row r="2908">
      <c r="A2908" s="24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5" t="n">
        <v>16.639623</v>
      </c>
    </row>
    <row r="2909">
      <c r="A2909" s="24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5" t="n">
        <v>33.136167</v>
      </c>
    </row>
    <row r="2910">
      <c r="A2910" s="24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5" t="n">
        <v>32.824447</v>
      </c>
    </row>
    <row r="2911">
      <c r="A2911" s="24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5" t="n">
        <v>21.835734</v>
      </c>
    </row>
    <row r="2912">
      <c r="A2912" s="24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5" t="n">
        <v>16.585377</v>
      </c>
    </row>
    <row r="2913">
      <c r="A2913" s="24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5" t="n">
        <v>11.901422</v>
      </c>
    </row>
    <row r="2914">
      <c r="A2914" s="24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5" t="n">
        <v>9.575203999999999</v>
      </c>
    </row>
    <row r="2915">
      <c r="A2915" s="24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5" t="n">
        <v>7.382032</v>
      </c>
    </row>
    <row r="2916">
      <c r="A2916" s="24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5" t="n">
        <v>6.025591</v>
      </c>
    </row>
    <row r="2917">
      <c r="A2917" s="24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5" t="n">
        <v>4.959161</v>
      </c>
    </row>
    <row r="2918">
      <c r="A2918" s="24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5" t="n">
        <v>4.036873</v>
      </c>
    </row>
    <row r="2919">
      <c r="A2919" s="24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5" t="n">
        <v>3.530124</v>
      </c>
    </row>
    <row r="2920">
      <c r="A2920" s="24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5" t="n">
        <v>4.979803</v>
      </c>
    </row>
    <row r="2921">
      <c r="A2921" s="24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5" t="n">
        <v>5.671621</v>
      </c>
    </row>
    <row r="2922">
      <c r="A2922" s="24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5" t="n">
        <v>8.771296</v>
      </c>
    </row>
    <row r="2923">
      <c r="A2923" s="24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5" t="n">
        <v>16.892062</v>
      </c>
    </row>
    <row r="2924">
      <c r="A2924" s="24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5" t="n">
        <v>27.981015</v>
      </c>
    </row>
    <row r="2925">
      <c r="A2925" s="24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5" t="n">
        <v>30.54745</v>
      </c>
    </row>
    <row r="2926">
      <c r="A2926" s="24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5" t="n">
        <v>23.030009</v>
      </c>
    </row>
    <row r="2927">
      <c r="A2927" s="24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5" t="n">
        <v>23.083935</v>
      </c>
    </row>
    <row r="2928">
      <c r="A2928" s="24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5" t="n">
        <v>27.536961</v>
      </c>
    </row>
    <row r="2929">
      <c r="A2929" s="24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5" t="n">
        <v>34.479271</v>
      </c>
    </row>
    <row r="2930">
      <c r="A2930" s="24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5" t="n">
        <v>34.688771</v>
      </c>
    </row>
    <row r="2931">
      <c r="A2931" s="24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5" t="n">
        <v>21.749513</v>
      </c>
    </row>
    <row r="2932">
      <c r="A2932" s="24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5" t="n">
        <v>15.992296</v>
      </c>
    </row>
    <row r="2933">
      <c r="A2933" s="24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5" t="n">
        <v>14.484362</v>
      </c>
    </row>
    <row r="2934">
      <c r="A2934" s="24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5" t="n">
        <v>8.755604999999999</v>
      </c>
    </row>
    <row r="2935">
      <c r="A2935" s="24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5" t="n">
        <v>10.800079</v>
      </c>
    </row>
    <row r="2936">
      <c r="A2936" s="24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5" t="n">
        <v>7.166404</v>
      </c>
    </row>
    <row r="2937">
      <c r="A2937" s="24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5" t="n">
        <v>7.234776</v>
      </c>
    </row>
    <row r="2938">
      <c r="A2938" s="24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5" t="n">
        <v>4.969461</v>
      </c>
    </row>
    <row r="2939">
      <c r="A2939" s="24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5" t="n">
        <v>4.723432</v>
      </c>
    </row>
    <row r="2940">
      <c r="A2940" s="24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5" t="n">
        <v>3.977926</v>
      </c>
    </row>
    <row r="2941">
      <c r="A2941" s="24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5" t="n">
        <v>18.055253</v>
      </c>
    </row>
    <row r="2942">
      <c r="A2942" s="24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5" t="n">
        <v>35.008732</v>
      </c>
    </row>
    <row r="2943">
      <c r="A2943" s="24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5" t="n">
        <v>27.215686</v>
      </c>
    </row>
    <row r="2944">
      <c r="A2944" s="24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5" t="n">
        <v>27.282138</v>
      </c>
    </row>
    <row r="2945">
      <c r="A2945" s="24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5" t="n">
        <v>28.075044</v>
      </c>
    </row>
    <row r="2946">
      <c r="A2946" s="24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5" t="n">
        <v>17.764947</v>
      </c>
    </row>
    <row r="2947">
      <c r="A2947" s="24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5" t="n">
        <v>13.15622</v>
      </c>
    </row>
    <row r="2948">
      <c r="A2948" s="24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5" t="n">
        <v>12.025898</v>
      </c>
    </row>
    <row r="2949">
      <c r="A2949" s="24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5" t="n">
        <v>7.303376</v>
      </c>
    </row>
    <row r="2950">
      <c r="A2950" s="24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5" t="n">
        <v>8.192512000000001</v>
      </c>
    </row>
    <row r="2951">
      <c r="A2951" s="24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5" t="n">
        <v>4.917497</v>
      </c>
    </row>
    <row r="2952">
      <c r="A2952" s="24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5" t="n">
        <v>5.411153</v>
      </c>
    </row>
    <row r="2953">
      <c r="A2953" s="24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5" t="n">
        <v>3.903481</v>
      </c>
    </row>
    <row r="2954">
      <c r="A2954" s="24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5" t="n">
        <v>11.973887</v>
      </c>
    </row>
    <row r="2955">
      <c r="A2955" s="24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5" t="n">
        <v>16.354386</v>
      </c>
    </row>
    <row r="2956">
      <c r="A2956" s="24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5" t="n">
        <v>9.578923</v>
      </c>
    </row>
    <row r="2957">
      <c r="A2957" s="24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5" t="n">
        <v>7.853506</v>
      </c>
    </row>
    <row r="2958">
      <c r="A2958" s="24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5" t="n">
        <v>18.437425</v>
      </c>
    </row>
    <row r="2959">
      <c r="A2959" s="24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5" t="n">
        <v>37.172453</v>
      </c>
    </row>
    <row r="2960">
      <c r="A2960" s="24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5" t="n">
        <v>38.963373</v>
      </c>
    </row>
    <row r="2961">
      <c r="A2961" s="24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5" t="n">
        <v>27.278119</v>
      </c>
    </row>
    <row r="2962">
      <c r="A2962" s="24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5" t="n">
        <v>27.424521</v>
      </c>
    </row>
    <row r="2963">
      <c r="A2963" s="24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5" t="n">
        <v>41.138035</v>
      </c>
    </row>
    <row r="2964">
      <c r="A2964" s="24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5" t="n">
        <v>40.870626</v>
      </c>
    </row>
    <row r="2965">
      <c r="A2965" s="24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5" t="n">
        <v>27.905102</v>
      </c>
    </row>
    <row r="2966">
      <c r="A2966" s="24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5" t="n">
        <v>20.346269</v>
      </c>
    </row>
    <row r="2967">
      <c r="A2967" s="24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5" t="n">
        <v>16.944575</v>
      </c>
    </row>
    <row r="2968">
      <c r="A2968" s="24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5" t="n">
        <v>11.949062</v>
      </c>
    </row>
    <row r="2969">
      <c r="A2969" s="24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5" t="n">
        <v>10.985726</v>
      </c>
    </row>
    <row r="2970">
      <c r="A2970" s="24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5" t="n">
        <v>7.992875</v>
      </c>
    </row>
    <row r="2971">
      <c r="A2971" s="24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5" t="n">
        <v>10.525069</v>
      </c>
    </row>
    <row r="2972">
      <c r="A2972" s="24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5" t="n">
        <v>10.605721</v>
      </c>
    </row>
    <row r="2973">
      <c r="A2973" s="24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5" t="n">
        <v>7.223083</v>
      </c>
    </row>
    <row r="2974">
      <c r="A2974" s="24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5" t="n">
        <v>9.794299000000001</v>
      </c>
    </row>
    <row r="2975">
      <c r="A2975" s="24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5" t="n">
        <v>11.119015</v>
      </c>
    </row>
    <row r="2976">
      <c r="A2976" s="24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5" t="n">
        <v>9.028886999999999</v>
      </c>
    </row>
    <row r="2977">
      <c r="A2977" s="24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5" t="n">
        <v>6.067303</v>
      </c>
    </row>
    <row r="2978">
      <c r="A2978" s="24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5" t="n">
        <v>6.010257</v>
      </c>
    </row>
    <row r="2979">
      <c r="A2979" s="24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5" t="n">
        <v>5.828118</v>
      </c>
    </row>
    <row r="2980">
      <c r="A2980" s="24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5" t="n">
        <v>7.345005</v>
      </c>
    </row>
    <row r="2981">
      <c r="A2981" s="24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5" t="n">
        <v>17.643815</v>
      </c>
    </row>
    <row r="2982">
      <c r="A2982" s="24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5" t="n">
        <v>31.145157</v>
      </c>
    </row>
    <row r="2983">
      <c r="A2983" s="24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5" t="n">
        <v>36.42993</v>
      </c>
    </row>
    <row r="2984">
      <c r="A2984" s="24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5" t="n">
        <v>46.771625</v>
      </c>
    </row>
    <row r="2985">
      <c r="A2985" s="24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5" t="n">
        <v>41.150831</v>
      </c>
    </row>
    <row r="2986">
      <c r="A2986" s="24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5" t="n">
        <v>24.716385</v>
      </c>
    </row>
    <row r="2987">
      <c r="A2987" s="24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5" t="n">
        <v>23.606734</v>
      </c>
    </row>
    <row r="2988">
      <c r="A2988" s="24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5" t="n">
        <v>23.375712</v>
      </c>
    </row>
    <row r="2989">
      <c r="A2989" s="24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5" t="n">
        <v>26.113807</v>
      </c>
    </row>
    <row r="2990">
      <c r="A2990" s="24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5" t="n">
        <v>22.699553</v>
      </c>
    </row>
    <row r="2991">
      <c r="A2991" s="24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5" t="n">
        <v>24.57813</v>
      </c>
    </row>
    <row r="2992">
      <c r="A2992" s="24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5" t="n">
        <v>25.943384</v>
      </c>
    </row>
    <row r="2993">
      <c r="A2993" s="24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5" t="n">
        <v>28.864767</v>
      </c>
    </row>
    <row r="2994">
      <c r="A2994" s="24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5" t="n">
        <v>32.769988</v>
      </c>
    </row>
    <row r="2995">
      <c r="A2995" s="24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5" t="n">
        <v>27.053686</v>
      </c>
    </row>
    <row r="2996">
      <c r="A2996" s="24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5" t="n">
        <v>29.636873</v>
      </c>
    </row>
    <row r="2997">
      <c r="A2997" s="24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5" t="n">
        <v>33.246593</v>
      </c>
    </row>
    <row r="2998">
      <c r="A2998" s="24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5" t="n">
        <v>34.052584</v>
      </c>
    </row>
    <row r="2999">
      <c r="A2999" s="24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5" t="n">
        <v>38.290743</v>
      </c>
    </row>
    <row r="3000">
      <c r="A3000" s="24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5" t="n">
        <v>23.341195</v>
      </c>
    </row>
    <row r="3001">
      <c r="A3001" s="24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5" t="n">
        <v>17.64262</v>
      </c>
    </row>
    <row r="3002">
      <c r="A3002" s="24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5" t="n">
        <v>16.428916</v>
      </c>
    </row>
    <row r="3003">
      <c r="A3003" s="24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5" t="n">
        <v>9.657422</v>
      </c>
    </row>
    <row r="3004">
      <c r="A3004" s="24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5" t="n">
        <v>11.524083</v>
      </c>
    </row>
    <row r="3005">
      <c r="A3005" s="24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5" t="n">
        <v>6.474709</v>
      </c>
    </row>
    <row r="3006">
      <c r="A3006" s="24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5" t="n">
        <v>7.790709</v>
      </c>
    </row>
    <row r="3007">
      <c r="A3007" s="24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5" t="n">
        <v>5.171961</v>
      </c>
    </row>
    <row r="3008">
      <c r="A3008" s="24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5" t="n">
        <v>5.09102</v>
      </c>
    </row>
    <row r="3009">
      <c r="A3009" s="24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5" t="n">
        <v>4.48585</v>
      </c>
    </row>
    <row r="3010">
      <c r="A3010" s="24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5" t="n">
        <v>3.288254</v>
      </c>
    </row>
    <row r="3011">
      <c r="A3011" s="24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5" t="n">
        <v>3.90699</v>
      </c>
    </row>
    <row r="3012">
      <c r="A3012" s="24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5" t="n">
        <v>3.126974</v>
      </c>
    </row>
    <row r="3013">
      <c r="A3013" s="24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5" t="n">
        <v>4.610748</v>
      </c>
    </row>
    <row r="3014">
      <c r="A3014" s="24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5" t="n">
        <v>2.292775</v>
      </c>
    </row>
    <row r="3015">
      <c r="A3015" s="24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5" t="n">
        <v>3.085118</v>
      </c>
    </row>
    <row r="3016">
      <c r="A3016" s="24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5" t="n">
        <v>1.819375</v>
      </c>
    </row>
    <row r="3017">
      <c r="A3017" s="24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5" t="n">
        <v>2.151708</v>
      </c>
    </row>
    <row r="3018">
      <c r="A3018" s="24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5" t="n">
        <v>1.570866</v>
      </c>
    </row>
    <row r="3019">
      <c r="A3019" s="24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5" t="n">
        <v>1.478435</v>
      </c>
    </row>
    <row r="3020">
      <c r="A3020" s="24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5" t="n">
        <v>1.424114</v>
      </c>
    </row>
    <row r="3021">
      <c r="A3021" s="24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5" t="n">
        <v>0.973662</v>
      </c>
    </row>
    <row r="3022">
      <c r="A3022" s="24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5" t="n">
        <v>1.315915</v>
      </c>
    </row>
    <row r="3023">
      <c r="A3023" s="24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5" t="n">
        <v>0.604447</v>
      </c>
    </row>
    <row r="3024">
      <c r="A3024" s="24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5" t="n">
        <v>1.22257</v>
      </c>
    </row>
    <row r="3025">
      <c r="A3025" s="24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5" t="n">
        <v>0.360386</v>
      </c>
    </row>
    <row r="3026">
      <c r="A3026" s="24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5" t="n">
        <v>1.12731</v>
      </c>
    </row>
    <row r="3027">
      <c r="A3027" s="24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5" t="n">
        <v>0.307008</v>
      </c>
    </row>
    <row r="3028">
      <c r="A3028" s="24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5" t="n">
        <v>0.8729170000000001</v>
      </c>
    </row>
    <row r="3029">
      <c r="A3029" s="24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5" t="n">
        <v>5.597274</v>
      </c>
    </row>
    <row r="3030">
      <c r="A3030" s="24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5" t="n">
        <v>8.306602</v>
      </c>
    </row>
    <row r="3031">
      <c r="A3031" s="24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5" t="n">
        <v>17.384243</v>
      </c>
    </row>
    <row r="3032">
      <c r="A3032" s="24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5" t="n">
        <v>35.274044</v>
      </c>
    </row>
    <row r="3033">
      <c r="A3033" s="24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5" t="n">
        <v>31.306309</v>
      </c>
    </row>
    <row r="3034">
      <c r="A3034" s="24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5" t="n">
        <v>17.639725</v>
      </c>
    </row>
    <row r="3035">
      <c r="A3035" s="24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5" t="n">
        <v>27.12292</v>
      </c>
    </row>
    <row r="3036">
      <c r="A3036" s="24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5" t="n">
        <v>42.32517</v>
      </c>
    </row>
    <row r="3037">
      <c r="A3037" s="24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5" t="n">
        <v>47.082165</v>
      </c>
    </row>
    <row r="3038">
      <c r="A3038" s="24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5" t="n">
        <v>38.585477</v>
      </c>
    </row>
    <row r="3039">
      <c r="A3039" s="24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5" t="n">
        <v>28.938294</v>
      </c>
    </row>
    <row r="3040">
      <c r="A3040" s="24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5" t="n">
        <v>21.312645</v>
      </c>
    </row>
    <row r="3041">
      <c r="A3041" s="24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5" t="n">
        <v>16.289335</v>
      </c>
    </row>
    <row r="3042">
      <c r="A3042" s="24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5" t="n">
        <v>13.113539</v>
      </c>
    </row>
    <row r="3043">
      <c r="A3043" s="24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5" t="n">
        <v>10.222168</v>
      </c>
    </row>
    <row r="3044">
      <c r="A3044" s="24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5" t="n">
        <v>8.648375</v>
      </c>
    </row>
    <row r="3045">
      <c r="A3045" s="24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5" t="n">
        <v>6.970747</v>
      </c>
    </row>
    <row r="3046">
      <c r="A3046" s="24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5" t="n">
        <v>5.949916</v>
      </c>
    </row>
    <row r="3047">
      <c r="A3047" s="24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5" t="n">
        <v>5.089938</v>
      </c>
    </row>
    <row r="3048">
      <c r="A3048" s="24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5" t="n">
        <v>4.211278</v>
      </c>
    </row>
    <row r="3049">
      <c r="A3049" s="24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5" t="n">
        <v>3.90773</v>
      </c>
    </row>
    <row r="3050">
      <c r="A3050" s="24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5" t="n">
        <v>3.051177</v>
      </c>
    </row>
    <row r="3051">
      <c r="A3051" s="24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5" t="n">
        <v>3.090775</v>
      </c>
    </row>
    <row r="3052">
      <c r="A3052" s="24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5" t="n">
        <v>2.26691</v>
      </c>
    </row>
    <row r="3053">
      <c r="A3053" s="24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5" t="n">
        <v>2.471546</v>
      </c>
    </row>
    <row r="3054">
      <c r="A3054" s="24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5" t="n">
        <v>1.737972</v>
      </c>
    </row>
    <row r="3055">
      <c r="A3055" s="24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5" t="n">
        <v>1.967912</v>
      </c>
    </row>
    <row r="3056">
      <c r="A3056" s="24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5" t="n">
        <v>1.385035</v>
      </c>
    </row>
    <row r="3057">
      <c r="A3057" s="24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5" t="n">
        <v>1.541917</v>
      </c>
    </row>
    <row r="3058">
      <c r="A3058" s="24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5" t="n">
        <v>1.151773</v>
      </c>
    </row>
    <row r="3059">
      <c r="A3059" s="24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5" t="n">
        <v>1.177686</v>
      </c>
    </row>
    <row r="3060">
      <c r="A3060" s="24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5" t="n">
        <v>14.174303</v>
      </c>
    </row>
    <row r="3061">
      <c r="A3061" s="24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5" t="n">
        <v>25.82655</v>
      </c>
    </row>
    <row r="3062">
      <c r="A3062" s="24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5" t="n">
        <v>18.951079</v>
      </c>
    </row>
    <row r="3063">
      <c r="A3063" s="24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5" t="n">
        <v>21.740218</v>
      </c>
    </row>
    <row r="3064">
      <c r="A3064" s="24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5" t="n">
        <v>29.779093</v>
      </c>
    </row>
    <row r="3065">
      <c r="A3065" s="24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5" t="n">
        <v>20.470937</v>
      </c>
    </row>
    <row r="3066">
      <c r="A3066" s="24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5" t="n">
        <v>14.909585</v>
      </c>
    </row>
    <row r="3067">
      <c r="A3067" s="24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5" t="n">
        <v>26.22929</v>
      </c>
    </row>
    <row r="3068">
      <c r="A3068" s="24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5" t="n">
        <v>43.629974</v>
      </c>
    </row>
    <row r="3069">
      <c r="A3069" s="24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5" t="n">
        <v>40.140678</v>
      </c>
    </row>
    <row r="3070">
      <c r="A3070" s="24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5" t="n">
        <v>26.189176</v>
      </c>
    </row>
    <row r="3071">
      <c r="A3071" s="24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5" t="n">
        <v>21.073685</v>
      </c>
    </row>
    <row r="3072">
      <c r="A3072" s="24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5" t="n">
        <v>15.565797</v>
      </c>
    </row>
    <row r="3073">
      <c r="A3073" s="24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5" t="n">
        <v>12.236978</v>
      </c>
    </row>
    <row r="3074">
      <c r="A3074" s="24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5" t="n">
        <v>10.261344</v>
      </c>
    </row>
    <row r="3075">
      <c r="A3075" s="24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5" t="n">
        <v>7.654983</v>
      </c>
    </row>
    <row r="3076">
      <c r="A3076" s="24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5" t="n">
        <v>8.495569</v>
      </c>
    </row>
    <row r="3077">
      <c r="A3077" s="24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5" t="n">
        <v>6.997264</v>
      </c>
    </row>
    <row r="3078">
      <c r="A3078" s="24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5" t="n">
        <v>20.034042</v>
      </c>
    </row>
    <row r="3079">
      <c r="A3079" s="24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5" t="n">
        <v>40.469123</v>
      </c>
    </row>
    <row r="3080">
      <c r="A3080" s="24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5" t="n">
        <v>53.112401</v>
      </c>
    </row>
    <row r="3081">
      <c r="A3081" s="24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5" t="n">
        <v>57.084573</v>
      </c>
    </row>
    <row r="3082">
      <c r="A3082" s="24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5" t="n">
        <v>61.838037</v>
      </c>
    </row>
    <row r="3083">
      <c r="A3083" s="24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5" t="n">
        <v>49.99108</v>
      </c>
    </row>
    <row r="3084">
      <c r="A3084" s="24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5" t="n">
        <v>34.946769</v>
      </c>
    </row>
    <row r="3085">
      <c r="A3085" s="24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5" t="n">
        <v>26.749712</v>
      </c>
    </row>
    <row r="3086">
      <c r="A3086" s="24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5" t="n">
        <v>21.607264</v>
      </c>
    </row>
    <row r="3087">
      <c r="A3087" s="24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5" t="n">
        <v>16.247934</v>
      </c>
    </row>
    <row r="3088">
      <c r="A3088" s="24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5" t="n">
        <v>26.335598</v>
      </c>
    </row>
    <row r="3089">
      <c r="A3089" s="24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5" t="n">
        <v>35.831284</v>
      </c>
    </row>
    <row r="3090">
      <c r="A3090" s="24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5" t="n">
        <v>28.088587</v>
      </c>
    </row>
    <row r="3091">
      <c r="A3091" s="24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5" t="n">
        <v>19.527633</v>
      </c>
    </row>
    <row r="3092">
      <c r="A3092" s="24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5" t="n">
        <v>15.965116</v>
      </c>
    </row>
    <row r="3093">
      <c r="A3093" s="24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5" t="n">
        <v>12.580792</v>
      </c>
    </row>
    <row r="3094">
      <c r="A3094" s="24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5" t="n">
        <v>9.926107</v>
      </c>
    </row>
    <row r="3095">
      <c r="A3095" s="24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5" t="n">
        <v>8.9716</v>
      </c>
    </row>
    <row r="3096">
      <c r="A3096" s="24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5" t="n">
        <v>20.088095</v>
      </c>
    </row>
    <row r="3097">
      <c r="A3097" s="24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5" t="n">
        <v>34.27487</v>
      </c>
    </row>
    <row r="3098">
      <c r="A3098" s="24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5" t="n">
        <v>25.888391</v>
      </c>
    </row>
    <row r="3099">
      <c r="A3099" s="24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5" t="n">
        <v>17.531731</v>
      </c>
    </row>
    <row r="3100">
      <c r="A3100" s="24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5" t="n">
        <v>14.463021</v>
      </c>
    </row>
    <row r="3101">
      <c r="A3101" s="24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5" t="n">
        <v>10.84835</v>
      </c>
    </row>
    <row r="3102">
      <c r="A3102" s="24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5" t="n">
        <v>9.000852999999999</v>
      </c>
    </row>
    <row r="3103">
      <c r="A3103" s="24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5" t="n">
        <v>7.347371</v>
      </c>
    </row>
    <row r="3104">
      <c r="A3104" s="24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5" t="n">
        <v>6.071835</v>
      </c>
    </row>
    <row r="3105">
      <c r="A3105" s="24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5" t="n">
        <v>8.391717999999999</v>
      </c>
    </row>
    <row r="3106">
      <c r="A3106" s="24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5" t="n">
        <v>24.159832</v>
      </c>
    </row>
    <row r="3107">
      <c r="A3107" s="24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5" t="n">
        <v>33.732354</v>
      </c>
    </row>
    <row r="3108">
      <c r="A3108" s="24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5" t="n">
        <v>24.234042</v>
      </c>
    </row>
    <row r="3109">
      <c r="A3109" s="24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5" t="n">
        <v>28.467164</v>
      </c>
    </row>
    <row r="3110">
      <c r="A3110" s="24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5" t="n">
        <v>46.568526</v>
      </c>
    </row>
    <row r="3111">
      <c r="A3111" s="24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5" t="n">
        <v>42.752202</v>
      </c>
    </row>
    <row r="3112">
      <c r="A3112" s="24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5" t="n">
        <v>30.265123</v>
      </c>
    </row>
    <row r="3113">
      <c r="A3113" s="24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5" t="n">
        <v>22.092126</v>
      </c>
    </row>
    <row r="3114">
      <c r="A3114" s="24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5" t="n">
        <v>17.580653</v>
      </c>
    </row>
    <row r="3115">
      <c r="A3115" s="24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5" t="n">
        <v>13.3052</v>
      </c>
    </row>
    <row r="3116">
      <c r="A3116" s="24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5" t="n">
        <v>11.186782</v>
      </c>
    </row>
    <row r="3117">
      <c r="A3117" s="24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5" t="n">
        <v>8.816615000000001</v>
      </c>
    </row>
    <row r="3118">
      <c r="A3118" s="24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5" t="n">
        <v>20.395011</v>
      </c>
    </row>
    <row r="3119">
      <c r="A3119" s="24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5" t="n">
        <v>39.383705</v>
      </c>
    </row>
    <row r="3120">
      <c r="A3120" s="24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5" t="n">
        <v>38.779183</v>
      </c>
    </row>
    <row r="3121">
      <c r="A3121" s="24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5" t="n">
        <v>26.337778</v>
      </c>
    </row>
    <row r="3122">
      <c r="A3122" s="24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5" t="n">
        <v>20.059693</v>
      </c>
    </row>
    <row r="3123">
      <c r="A3123" s="24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5" t="n">
        <v>15.443525</v>
      </c>
    </row>
    <row r="3124">
      <c r="A3124" s="24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5" t="n">
        <v>11.888404</v>
      </c>
    </row>
    <row r="3125">
      <c r="A3125" s="24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5" t="n">
        <v>19.072565</v>
      </c>
    </row>
    <row r="3126">
      <c r="A3126" s="24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5" t="n">
        <v>20.528085</v>
      </c>
    </row>
    <row r="3127">
      <c r="A3127" s="24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5" t="n">
        <v>13.566869</v>
      </c>
    </row>
    <row r="3128">
      <c r="A3128" s="24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5" t="n">
        <v>9.946304</v>
      </c>
    </row>
    <row r="3129">
      <c r="A3129" s="24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5" t="n">
        <v>19.42343</v>
      </c>
    </row>
    <row r="3130">
      <c r="A3130" s="24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5" t="n">
        <v>20.030078</v>
      </c>
    </row>
    <row r="3131">
      <c r="A3131" s="24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5" t="n">
        <v>13.872438</v>
      </c>
    </row>
    <row r="3132">
      <c r="A3132" s="24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5" t="n">
        <v>9.313795000000001</v>
      </c>
    </row>
    <row r="3133">
      <c r="A3133" s="24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5" t="n">
        <v>9.453322999999999</v>
      </c>
    </row>
    <row r="3134">
      <c r="A3134" s="24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5" t="n">
        <v>5.670112</v>
      </c>
    </row>
    <row r="3135">
      <c r="A3135" s="24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5" t="n">
        <v>6.217867</v>
      </c>
    </row>
    <row r="3136">
      <c r="A3136" s="24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5" t="n">
        <v>4.35702</v>
      </c>
    </row>
    <row r="3137">
      <c r="A3137" s="24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5" t="n">
        <v>3.886282</v>
      </c>
    </row>
    <row r="3138">
      <c r="A3138" s="24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5" t="n">
        <v>3.750165</v>
      </c>
    </row>
    <row r="3139">
      <c r="A3139" s="24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5" t="n">
        <v>2.373472</v>
      </c>
    </row>
    <row r="3140">
      <c r="A3140" s="24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5" t="n">
        <v>3.251303</v>
      </c>
    </row>
    <row r="3141">
      <c r="A3141" s="24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5" t="n">
        <v>1.515428</v>
      </c>
    </row>
    <row r="3142">
      <c r="A3142" s="24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5" t="n">
        <v>2.695697</v>
      </c>
    </row>
    <row r="3143">
      <c r="A3143" s="24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5" t="n">
        <v>1.113736</v>
      </c>
    </row>
    <row r="3144">
      <c r="A3144" s="24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5" t="n">
        <v>2.093735</v>
      </c>
    </row>
    <row r="3145">
      <c r="A3145" s="24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5" t="n">
        <v>0.982914</v>
      </c>
    </row>
    <row r="3146">
      <c r="A3146" s="24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5" t="n">
        <v>1.507822</v>
      </c>
    </row>
    <row r="3147">
      <c r="A3147" s="24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5" t="n">
        <v>0.977324</v>
      </c>
    </row>
    <row r="3148">
      <c r="A3148" s="24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5" t="n">
        <v>0.997403</v>
      </c>
    </row>
    <row r="3149">
      <c r="A3149" s="24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5" t="n">
        <v>0.998462</v>
      </c>
    </row>
    <row r="3150">
      <c r="A3150" s="24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5" t="n">
        <v>0.622961</v>
      </c>
    </row>
    <row r="3151">
      <c r="A3151" s="24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5" t="n">
        <v>0.998122</v>
      </c>
    </row>
    <row r="3152">
      <c r="A3152" s="24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5" t="n">
        <v>0.353199</v>
      </c>
    </row>
    <row r="3153">
      <c r="A3153" s="24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5" t="n">
        <v>1.022351</v>
      </c>
    </row>
    <row r="3154">
      <c r="A3154" s="24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5" t="n">
        <v>0.256636</v>
      </c>
    </row>
    <row r="3155">
      <c r="A3155" s="24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5" t="n">
        <v>0.83464</v>
      </c>
    </row>
    <row r="3156">
      <c r="A3156" s="24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5" t="n">
        <v>0.26572</v>
      </c>
    </row>
    <row r="3157">
      <c r="A3157" s="24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5" t="n">
        <v>0.568663</v>
      </c>
    </row>
    <row r="3158">
      <c r="A3158" s="24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5" t="n">
        <v>0.338484</v>
      </c>
    </row>
    <row r="3159">
      <c r="A3159" s="24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5" t="n">
        <v>0.34693</v>
      </c>
    </row>
    <row r="3160">
      <c r="A3160" s="24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5" t="n">
        <v>0.393404</v>
      </c>
    </row>
    <row r="3161">
      <c r="A3161" s="24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5" t="n">
        <v>0.178684</v>
      </c>
    </row>
    <row r="3162">
      <c r="A3162" s="24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5" t="n">
        <v>0.408419</v>
      </c>
    </row>
    <row r="3163">
      <c r="A3163" s="24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5" t="n">
        <v>0.108243</v>
      </c>
    </row>
    <row r="3164">
      <c r="A3164" s="24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5" t="n">
        <v>0.360561</v>
      </c>
    </row>
    <row r="3165">
      <c r="A3165" s="24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5" t="n">
        <v>0.100266</v>
      </c>
    </row>
    <row r="3166">
      <c r="A3166" s="24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5" t="n">
        <v>0.272075</v>
      </c>
    </row>
    <row r="3167">
      <c r="A3167" s="24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5" t="n">
        <v>0.117315</v>
      </c>
    </row>
    <row r="3168">
      <c r="A3168" s="24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5" t="n">
        <v>0.181397</v>
      </c>
    </row>
    <row r="3169">
      <c r="A3169" s="24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5" t="n">
        <v>0.135979</v>
      </c>
    </row>
    <row r="3170">
      <c r="A3170" s="24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5" t="n">
        <v>0.104842</v>
      </c>
    </row>
    <row r="3171">
      <c r="A3171" s="24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5" t="n">
        <v>0.148003</v>
      </c>
    </row>
    <row r="3172">
      <c r="A3172" s="24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5" t="n">
        <v>0.053627</v>
      </c>
    </row>
    <row r="3173">
      <c r="A3173" s="24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5" t="n">
        <v>0.15133</v>
      </c>
    </row>
    <row r="3174">
      <c r="A3174" s="24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5" t="n">
        <v>0.037895</v>
      </c>
    </row>
    <row r="3175">
      <c r="A3175" s="24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5" t="n">
        <v>0.120364</v>
      </c>
    </row>
    <row r="3176">
      <c r="A3176" s="24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5" t="n">
        <v>0.037965</v>
      </c>
    </row>
    <row r="3177">
      <c r="A3177" s="24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5" t="n">
        <v>0.092642</v>
      </c>
    </row>
    <row r="3178">
      <c r="A3178" s="24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5" t="n">
        <v>0.040592</v>
      </c>
    </row>
    <row r="3179">
      <c r="A3179" s="24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5" t="n">
        <v>0.06521100000000001</v>
      </c>
    </row>
    <row r="3180">
      <c r="A3180" s="24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5" t="n">
        <v>0.045681</v>
      </c>
    </row>
    <row r="3181">
      <c r="A3181" s="24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5" t="n">
        <v>0.038376</v>
      </c>
    </row>
    <row r="3182">
      <c r="A3182" s="24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5" t="n">
        <v>0.049632</v>
      </c>
    </row>
    <row r="3183">
      <c r="A3183" s="24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5" t="n">
        <v>0.018674</v>
      </c>
    </row>
    <row r="3184">
      <c r="A3184" s="24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5" t="n">
        <v>0.049633</v>
      </c>
    </row>
    <row r="3185">
      <c r="A3185" s="24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5" t="n">
        <v>0.013276</v>
      </c>
    </row>
    <row r="3186">
      <c r="A3186" s="24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5" t="n">
        <v>0.041842</v>
      </c>
    </row>
    <row r="3187">
      <c r="A3187" s="24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5" t="n">
        <v>0.012202</v>
      </c>
    </row>
    <row r="3188">
      <c r="A3188" s="24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5" t="n">
        <v>12.79248</v>
      </c>
    </row>
    <row r="3189">
      <c r="A3189" s="24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5" t="n">
        <v>33.349365</v>
      </c>
    </row>
    <row r="3190">
      <c r="A3190" s="24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5" t="n">
        <v>45.73951</v>
      </c>
    </row>
    <row r="3191">
      <c r="A3191" s="24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5" t="n">
        <v>46.193368</v>
      </c>
    </row>
    <row r="3192">
      <c r="A3192" s="24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5" t="n">
        <v>35.370482</v>
      </c>
    </row>
    <row r="3193">
      <c r="A3193" s="24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5" t="n">
        <v>23.212258</v>
      </c>
    </row>
    <row r="3194">
      <c r="A3194" s="24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5" t="n">
        <v>18.842287</v>
      </c>
    </row>
    <row r="3195">
      <c r="A3195" s="24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5" t="n">
        <v>13.76339</v>
      </c>
    </row>
    <row r="3196">
      <c r="A3196" s="24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5" t="n">
        <v>10.983035</v>
      </c>
    </row>
    <row r="3197">
      <c r="A3197" s="24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5" t="n">
        <v>8.973298</v>
      </c>
    </row>
    <row r="3198">
      <c r="A3198" s="24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5" t="n">
        <v>6.87392</v>
      </c>
    </row>
    <row r="3199">
      <c r="A3199" s="24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5" t="n">
        <v>6.21198</v>
      </c>
    </row>
    <row r="3200">
      <c r="A3200" s="24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5" t="n">
        <v>4.614716</v>
      </c>
    </row>
    <row r="3201">
      <c r="A3201" s="24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5" t="n">
        <v>4.454439</v>
      </c>
    </row>
    <row r="3202">
      <c r="A3202" s="24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5" t="n">
        <v>3.317939</v>
      </c>
    </row>
    <row r="3203">
      <c r="A3203" s="24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5" t="n">
        <v>3.254252</v>
      </c>
    </row>
    <row r="3204">
      <c r="A3204" s="24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5" t="n">
        <v>2.533205</v>
      </c>
    </row>
    <row r="3205">
      <c r="A3205" s="24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5" t="n">
        <v>2.399609</v>
      </c>
    </row>
    <row r="3206">
      <c r="A3206" s="24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5" t="n">
        <v>2.021608</v>
      </c>
    </row>
    <row r="3207">
      <c r="A3207" s="24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5" t="n">
        <v>1.780448</v>
      </c>
    </row>
    <row r="3208">
      <c r="A3208" s="24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5" t="n">
        <v>1.655736</v>
      </c>
    </row>
    <row r="3209">
      <c r="A3209" s="24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5" t="n">
        <v>1.33221</v>
      </c>
    </row>
    <row r="3210">
      <c r="A3210" s="24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5" t="n">
        <v>1.369009</v>
      </c>
    </row>
    <row r="3211">
      <c r="A3211" s="24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5" t="n">
        <v>1.011488</v>
      </c>
    </row>
    <row r="3212">
      <c r="A3212" s="24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5" t="n">
        <v>1.128354</v>
      </c>
    </row>
    <row r="3213">
      <c r="A3213" s="24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5" t="n">
        <v>0.785739</v>
      </c>
    </row>
    <row r="3214">
      <c r="A3214" s="24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5" t="n">
        <v>0.918836</v>
      </c>
    </row>
    <row r="3215">
      <c r="A3215" s="24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5" t="n">
        <v>0.629145</v>
      </c>
    </row>
    <row r="3216">
      <c r="A3216" s="24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5" t="n">
        <v>0.734827</v>
      </c>
    </row>
    <row r="3217">
      <c r="A3217" s="24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5" t="n">
        <v>0.521012</v>
      </c>
    </row>
    <row r="3218">
      <c r="A3218" s="24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5" t="n">
        <v>4.48784</v>
      </c>
    </row>
    <row r="3219">
      <c r="A3219" s="24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5" t="n">
        <v>6.035439</v>
      </c>
    </row>
    <row r="3220">
      <c r="A3220" s="24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5" t="n">
        <v>3.295851</v>
      </c>
    </row>
    <row r="3221">
      <c r="A3221" s="24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5" t="n">
        <v>2.382928</v>
      </c>
    </row>
    <row r="3222">
      <c r="A3222" s="24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5" t="n">
        <v>2.286961</v>
      </c>
    </row>
    <row r="3223">
      <c r="A3223" s="24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5" t="n">
        <v>1.196795</v>
      </c>
    </row>
    <row r="3224">
      <c r="A3224" s="24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5" t="n">
        <v>1.51632</v>
      </c>
    </row>
    <row r="3225">
      <c r="A3225" s="24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5" t="n">
        <v>0.833975</v>
      </c>
    </row>
    <row r="3226">
      <c r="A3226" s="24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5" t="n">
        <v>0.914891</v>
      </c>
    </row>
    <row r="3227">
      <c r="A3227" s="24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5" t="n">
        <v>0.736035</v>
      </c>
    </row>
    <row r="3228">
      <c r="A3228" s="24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5" t="n">
        <v>0.498945</v>
      </c>
    </row>
    <row r="3229">
      <c r="A3229" s="24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5" t="n">
        <v>0.684674</v>
      </c>
    </row>
    <row r="3230">
      <c r="A3230" s="24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5" t="n">
        <v>0.252165</v>
      </c>
    </row>
    <row r="3231">
      <c r="A3231" s="24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5" t="n">
        <v>0.60812</v>
      </c>
    </row>
    <row r="3232">
      <c r="A3232" s="24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5" t="n">
        <v>0.155599</v>
      </c>
    </row>
    <row r="3233">
      <c r="A3233" s="24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5" t="n">
        <v>0.480774</v>
      </c>
    </row>
    <row r="3234">
      <c r="A3234" s="24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5" t="n">
        <v>0.164238</v>
      </c>
    </row>
    <row r="3235">
      <c r="A3235" s="24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5" t="n">
        <v>3.103394</v>
      </c>
    </row>
    <row r="3236">
      <c r="A3236" s="24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5" t="n">
        <v>4.13145</v>
      </c>
    </row>
    <row r="3237">
      <c r="A3237" s="24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5" t="n">
        <v>2.245266</v>
      </c>
    </row>
    <row r="3238">
      <c r="A3238" s="24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5" t="n">
        <v>1.593545</v>
      </c>
    </row>
    <row r="3239">
      <c r="A3239" s="24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5" t="n">
        <v>1.512717</v>
      </c>
    </row>
    <row r="3240">
      <c r="A3240" s="24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5" t="n">
        <v>0.800588</v>
      </c>
    </row>
    <row r="3241">
      <c r="A3241" s="24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5" t="n">
        <v>3.671138</v>
      </c>
    </row>
    <row r="3242">
      <c r="A3242" s="24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5" t="n">
        <v>4.458975</v>
      </c>
    </row>
    <row r="3243">
      <c r="A3243" s="24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5" t="n">
        <v>2.510472</v>
      </c>
    </row>
    <row r="3244">
      <c r="A3244" s="24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5" t="n">
        <v>13.191954</v>
      </c>
    </row>
    <row r="3245">
      <c r="A3245" s="24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5" t="n">
        <v>23.084347</v>
      </c>
    </row>
    <row r="3246">
      <c r="A3246" s="24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5" t="n">
        <v>26.689007</v>
      </c>
    </row>
    <row r="3247">
      <c r="A3247" s="24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5" t="n">
        <v>24.489981</v>
      </c>
    </row>
    <row r="3248">
      <c r="A3248" s="24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5" t="n">
        <v>16.269586</v>
      </c>
    </row>
    <row r="3249">
      <c r="A3249" s="24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5" t="n">
        <v>10.627721</v>
      </c>
    </row>
    <row r="3250">
      <c r="A3250" s="24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5" t="n">
        <v>10.385093</v>
      </c>
    </row>
    <row r="3251">
      <c r="A3251" s="24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5" t="n">
        <v>5.680065</v>
      </c>
    </row>
    <row r="3252">
      <c r="A3252" s="24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5" t="n">
        <v>6.598455</v>
      </c>
    </row>
    <row r="3253">
      <c r="A3253" s="24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5" t="n">
        <v>3.857434</v>
      </c>
    </row>
    <row r="3254">
      <c r="A3254" s="24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5" t="n">
        <v>4.002653</v>
      </c>
    </row>
    <row r="3255">
      <c r="A3255" s="24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5" t="n">
        <v>3.137674</v>
      </c>
    </row>
    <row r="3256">
      <c r="A3256" s="24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5" t="n">
        <v>2.315402</v>
      </c>
    </row>
    <row r="3257">
      <c r="A3257" s="24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5" t="n">
        <v>2.715773</v>
      </c>
    </row>
    <row r="3258">
      <c r="A3258" s="24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5" t="n">
        <v>1.321431</v>
      </c>
    </row>
    <row r="3259">
      <c r="A3259" s="24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5" t="n">
        <v>2.308681</v>
      </c>
    </row>
    <row r="3260">
      <c r="A3260" s="24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5" t="n">
        <v>0.817526</v>
      </c>
    </row>
    <row r="3261">
      <c r="A3261" s="24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5" t="n">
        <v>15.388262</v>
      </c>
    </row>
    <row r="3262">
      <c r="A3262" s="24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5" t="n">
        <v>34.772309</v>
      </c>
    </row>
    <row r="3263">
      <c r="A3263" s="24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5" t="n">
        <v>39.234501</v>
      </c>
    </row>
    <row r="3264">
      <c r="A3264" s="24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5" t="n">
        <v>27.890562</v>
      </c>
    </row>
    <row r="3265">
      <c r="A3265" s="24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5" t="n">
        <v>20.198161</v>
      </c>
    </row>
    <row r="3266">
      <c r="A3266" s="24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5" t="n">
        <v>14.63717</v>
      </c>
    </row>
    <row r="3267">
      <c r="A3267" s="24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5" t="n">
        <v>11.755632</v>
      </c>
    </row>
    <row r="3268">
      <c r="A3268" s="24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5" t="n">
        <v>8.898579</v>
      </c>
    </row>
    <row r="3269">
      <c r="A3269" s="24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5" t="n">
        <v>7.217649</v>
      </c>
    </row>
    <row r="3270">
      <c r="A3270" s="24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5" t="n">
        <v>6.062869</v>
      </c>
    </row>
    <row r="3271">
      <c r="A3271" s="24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5" t="n">
        <v>4.58112</v>
      </c>
    </row>
    <row r="3272">
      <c r="A3272" s="24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5" t="n">
        <v>4.46529</v>
      </c>
    </row>
    <row r="3273">
      <c r="A3273" s="24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5" t="n">
        <v>3.021177</v>
      </c>
    </row>
    <row r="3274">
      <c r="A3274" s="24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5" t="n">
        <v>3.414691</v>
      </c>
    </row>
    <row r="3275">
      <c r="A3275" s="24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5" t="n">
        <v>2.111335</v>
      </c>
    </row>
    <row r="3276">
      <c r="A3276" s="24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5" t="n">
        <v>2.624969</v>
      </c>
    </row>
    <row r="3277">
      <c r="A3277" s="24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5" t="n">
        <v>1.595791</v>
      </c>
    </row>
    <row r="3278">
      <c r="A3278" s="24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5" t="n">
        <v>1.984927</v>
      </c>
    </row>
    <row r="3279">
      <c r="A3279" s="24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5" t="n">
        <v>1.310046</v>
      </c>
    </row>
    <row r="3280">
      <c r="A3280" s="24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5" t="n">
        <v>1.457112</v>
      </c>
    </row>
    <row r="3281">
      <c r="A3281" s="24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5" t="n">
        <v>8.363982</v>
      </c>
    </row>
    <row r="3282">
      <c r="A3282" s="24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5" t="n">
        <v>26.147559</v>
      </c>
    </row>
    <row r="3283">
      <c r="A3283" s="24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5" t="n">
        <v>42.298977</v>
      </c>
    </row>
    <row r="3284">
      <c r="A3284" s="24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5" t="n">
        <v>36.861749</v>
      </c>
    </row>
    <row r="3285">
      <c r="A3285" s="24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5" t="n">
        <v>23.592336</v>
      </c>
    </row>
    <row r="3286">
      <c r="A3286" s="24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5" t="n">
        <v>17.33173</v>
      </c>
    </row>
    <row r="3287">
      <c r="A3287" s="24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5" t="n">
        <v>14.101918</v>
      </c>
    </row>
    <row r="3288">
      <c r="A3288" s="24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5" t="n">
        <v>15.331511</v>
      </c>
    </row>
    <row r="3289">
      <c r="A3289" s="24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5" t="n">
        <v>17.271383</v>
      </c>
    </row>
    <row r="3290">
      <c r="A3290" s="24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5" t="n">
        <v>10.245396</v>
      </c>
    </row>
    <row r="3291">
      <c r="A3291" s="24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5" t="n">
        <v>8.897062</v>
      </c>
    </row>
    <row r="3292">
      <c r="A3292" s="24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5" t="n">
        <v>12.102792</v>
      </c>
    </row>
    <row r="3293">
      <c r="A3293" s="24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5" t="n">
        <v>12.297945</v>
      </c>
    </row>
    <row r="3294">
      <c r="A3294" s="24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5" t="n">
        <v>8.771102000000001</v>
      </c>
    </row>
    <row r="3295">
      <c r="A3295" s="24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5" t="n">
        <v>6.023511</v>
      </c>
    </row>
    <row r="3296">
      <c r="A3296" s="24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5" t="n">
        <v>6.185596</v>
      </c>
    </row>
    <row r="3297">
      <c r="A3297" s="24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5" t="n">
        <v>14.92071</v>
      </c>
    </row>
    <row r="3298">
      <c r="A3298" s="24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5" t="n">
        <v>21.085062</v>
      </c>
    </row>
    <row r="3299">
      <c r="A3299" s="24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5" t="n">
        <v>20.663282</v>
      </c>
    </row>
    <row r="3300">
      <c r="A3300" s="24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5" t="n">
        <v>29.575756</v>
      </c>
    </row>
    <row r="3301">
      <c r="A3301" s="24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5" t="n">
        <v>26.291753</v>
      </c>
    </row>
    <row r="3302">
      <c r="A3302" s="24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5" t="n">
        <v>24.617329</v>
      </c>
    </row>
    <row r="3303">
      <c r="A3303" s="24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5" t="n">
        <v>27.946217</v>
      </c>
    </row>
    <row r="3304">
      <c r="A3304" s="24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5" t="n">
        <v>15.998226</v>
      </c>
    </row>
    <row r="3305">
      <c r="A3305" s="24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5" t="n">
        <v>13.35035</v>
      </c>
    </row>
    <row r="3306">
      <c r="A3306" s="24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5" t="n">
        <v>11.064421</v>
      </c>
    </row>
    <row r="3307">
      <c r="A3307" s="24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5" t="n">
        <v>18.413461</v>
      </c>
    </row>
    <row r="3308">
      <c r="A3308" s="24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5" t="n">
        <v>26.22408</v>
      </c>
    </row>
    <row r="3309">
      <c r="A3309" s="24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5" t="n">
        <v>17.290665</v>
      </c>
    </row>
    <row r="3310">
      <c r="A3310" s="24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5" t="n">
        <v>21.842157</v>
      </c>
    </row>
    <row r="3311">
      <c r="A3311" s="24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5" t="n">
        <v>24.321673</v>
      </c>
    </row>
    <row r="3312">
      <c r="A3312" s="24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5" t="n">
        <v>19.252379</v>
      </c>
    </row>
    <row r="3313">
      <c r="A3313" s="24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5" t="n">
        <v>15.770091</v>
      </c>
    </row>
    <row r="3314">
      <c r="A3314" s="24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5" t="n">
        <v>11.628898</v>
      </c>
    </row>
    <row r="3315">
      <c r="A3315" s="24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5" t="n">
        <v>9.023014999999999</v>
      </c>
    </row>
    <row r="3316">
      <c r="A3316" s="24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5" t="n">
        <v>7.721868</v>
      </c>
    </row>
    <row r="3317">
      <c r="A3317" s="24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5" t="n">
        <v>5.816219</v>
      </c>
    </row>
    <row r="3318">
      <c r="A3318" s="24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5" t="n">
        <v>11.167784</v>
      </c>
    </row>
    <row r="3319">
      <c r="A3319" s="24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5" t="n">
        <v>13.256869</v>
      </c>
    </row>
    <row r="3320">
      <c r="A3320" s="24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5" t="n">
        <v>9.312001</v>
      </c>
    </row>
    <row r="3321">
      <c r="A3321" s="24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5" t="n">
        <v>6.7015</v>
      </c>
    </row>
    <row r="3322">
      <c r="A3322" s="24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5" t="n">
        <v>6.126141</v>
      </c>
    </row>
    <row r="3323">
      <c r="A3323" s="24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5" t="n">
        <v>15.695202</v>
      </c>
    </row>
    <row r="3324">
      <c r="A3324" s="24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5" t="n">
        <v>20.607658</v>
      </c>
    </row>
    <row r="3325">
      <c r="A3325" s="24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5" t="n">
        <v>11.480244</v>
      </c>
    </row>
    <row r="3326">
      <c r="A3326" s="24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5" t="n">
        <v>8.63564</v>
      </c>
    </row>
    <row r="3327">
      <c r="A3327" s="24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5" t="n">
        <v>8.25667</v>
      </c>
    </row>
    <row r="3328">
      <c r="A3328" s="24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5" t="n">
        <v>4.357992</v>
      </c>
    </row>
    <row r="3329">
      <c r="A3329" s="24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5" t="n">
        <v>5.838047</v>
      </c>
    </row>
    <row r="3330">
      <c r="A3330" s="24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5" t="n">
        <v>2.832414</v>
      </c>
    </row>
    <row r="3331">
      <c r="A3331" s="24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5" t="n">
        <v>3.901825</v>
      </c>
    </row>
    <row r="3332">
      <c r="A3332" s="24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5" t="n">
        <v>2.320718</v>
      </c>
    </row>
    <row r="3333">
      <c r="A3333" s="24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5" t="n">
        <v>2.475387</v>
      </c>
    </row>
    <row r="3334">
      <c r="A3334" s="24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5" t="n">
        <v>2.097427</v>
      </c>
    </row>
    <row r="3335">
      <c r="A3335" s="24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5" t="n">
        <v>5.867189</v>
      </c>
    </row>
    <row r="3336">
      <c r="A3336" s="24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5" t="n">
        <v>14.002708</v>
      </c>
    </row>
    <row r="3337">
      <c r="A3337" s="24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5" t="n">
        <v>12.588574</v>
      </c>
    </row>
    <row r="3338">
      <c r="A3338" s="24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5" t="n">
        <v>8.143141</v>
      </c>
    </row>
    <row r="3339">
      <c r="A3339" s="24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5" t="n">
        <v>5.872574</v>
      </c>
    </row>
    <row r="3340">
      <c r="A3340" s="24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5" t="n">
        <v>5.200783</v>
      </c>
    </row>
    <row r="3341">
      <c r="A3341" s="24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5" t="n">
        <v>3.279823</v>
      </c>
    </row>
    <row r="3342">
      <c r="A3342" s="24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5" t="n">
        <v>3.483596</v>
      </c>
    </row>
    <row r="3343">
      <c r="A3343" s="24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5" t="n">
        <v>14.610321</v>
      </c>
    </row>
    <row r="3344">
      <c r="A3344" s="24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5" t="n">
        <v>30.690114</v>
      </c>
    </row>
    <row r="3345">
      <c r="A3345" s="24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5" t="n">
        <v>25.795834</v>
      </c>
    </row>
    <row r="3346">
      <c r="A3346" s="24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5" t="n">
        <v>15.45081</v>
      </c>
    </row>
    <row r="3347">
      <c r="A3347" s="24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5" t="n">
        <v>13.040349</v>
      </c>
    </row>
    <row r="3348">
      <c r="A3348" s="24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5" t="n">
        <v>8.975822000000001</v>
      </c>
    </row>
    <row r="3349">
      <c r="A3349" s="24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5" t="n">
        <v>7.572989</v>
      </c>
    </row>
    <row r="3350">
      <c r="A3350" s="24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5" t="n">
        <v>5.776099</v>
      </c>
    </row>
    <row r="3351">
      <c r="A3351" s="24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5" t="n">
        <v>4.82049</v>
      </c>
    </row>
    <row r="3352">
      <c r="A3352" s="24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5" t="n">
        <v>3.935638</v>
      </c>
    </row>
    <row r="3353">
      <c r="A3353" s="24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5" t="n">
        <v>3.31032</v>
      </c>
    </row>
    <row r="3354">
      <c r="A3354" s="24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5" t="n">
        <v>2.791259</v>
      </c>
    </row>
    <row r="3355">
      <c r="A3355" s="24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5" t="n">
        <v>2.407859</v>
      </c>
    </row>
    <row r="3356">
      <c r="A3356" s="24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5" t="n">
        <v>2.047932</v>
      </c>
    </row>
    <row r="3357">
      <c r="A3357" s="24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5" t="n">
        <v>1.816378</v>
      </c>
    </row>
    <row r="3358">
      <c r="A3358" s="24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5" t="n">
        <v>1.553793</v>
      </c>
    </row>
    <row r="3359">
      <c r="A3359" s="24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5" t="n">
        <v>1.3932</v>
      </c>
    </row>
    <row r="3360">
      <c r="A3360" s="24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5" t="n">
        <v>1.219699</v>
      </c>
    </row>
    <row r="3361">
      <c r="A3361" s="24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5" t="n">
        <v>11.29459</v>
      </c>
    </row>
    <row r="3362">
      <c r="A3362" s="24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5" t="n">
        <v>16.231583</v>
      </c>
    </row>
    <row r="3363">
      <c r="A3363" s="24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5" t="n">
        <v>9.188063</v>
      </c>
    </row>
    <row r="3364">
      <c r="A3364" s="24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5" t="n">
        <v>6.496989</v>
      </c>
    </row>
    <row r="3365">
      <c r="A3365" s="24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5" t="n">
        <v>6.058516</v>
      </c>
    </row>
    <row r="3366">
      <c r="A3366" s="24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5" t="n">
        <v>3.243503</v>
      </c>
    </row>
    <row r="3367">
      <c r="A3367" s="24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5" t="n">
        <v>3.934381</v>
      </c>
    </row>
    <row r="3368">
      <c r="A3368" s="24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5" t="n">
        <v>2.963363</v>
      </c>
    </row>
    <row r="3369">
      <c r="A3369" s="24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5" t="n">
        <v>4.697633</v>
      </c>
    </row>
    <row r="3370">
      <c r="A3370" s="24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5" t="n">
        <v>7.244473</v>
      </c>
    </row>
    <row r="3371">
      <c r="A3371" s="24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5" t="n">
        <v>12.225734</v>
      </c>
    </row>
    <row r="3372">
      <c r="A3372" s="24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5" t="n">
        <v>12.393745</v>
      </c>
    </row>
    <row r="3373">
      <c r="A3373" s="24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5" t="n">
        <v>6.855176</v>
      </c>
    </row>
    <row r="3374">
      <c r="A3374" s="24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5" t="n">
        <v>6.182193</v>
      </c>
    </row>
    <row r="3375">
      <c r="A3375" s="24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5" t="n">
        <v>4.187767</v>
      </c>
    </row>
    <row r="3376">
      <c r="A3376" s="24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5" t="n">
        <v>3.635618</v>
      </c>
    </row>
    <row r="3377">
      <c r="A3377" s="24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5" t="n">
        <v>11.277972</v>
      </c>
    </row>
    <row r="3378">
      <c r="A3378" s="24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5" t="n">
        <v>14.546892</v>
      </c>
    </row>
    <row r="3379">
      <c r="A3379" s="24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5" t="n">
        <v>8.130115999999999</v>
      </c>
    </row>
    <row r="3380">
      <c r="A3380" s="24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5" t="n">
        <v>9.63555</v>
      </c>
    </row>
    <row r="3381">
      <c r="A3381" s="24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5" t="n">
        <v>15.329105</v>
      </c>
    </row>
    <row r="3382">
      <c r="A3382" s="24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5" t="n">
        <v>22.210659</v>
      </c>
    </row>
    <row r="3383">
      <c r="A3383" s="24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5" t="n">
        <v>39.22425</v>
      </c>
    </row>
    <row r="3384">
      <c r="A3384" s="24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5" t="n">
        <v>49.551089</v>
      </c>
    </row>
    <row r="3385">
      <c r="A3385" s="24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5" t="n">
        <v>40.914968</v>
      </c>
    </row>
    <row r="3386">
      <c r="A3386" s="24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5" t="n">
        <v>26.046339</v>
      </c>
    </row>
    <row r="3387">
      <c r="A3387" s="24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5" t="n">
        <v>20.472468</v>
      </c>
    </row>
    <row r="3388">
      <c r="A3388" s="24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5" t="n">
        <v>16.196328</v>
      </c>
    </row>
    <row r="3389">
      <c r="A3389" s="24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5" t="n">
        <v>11.625777</v>
      </c>
    </row>
    <row r="3390">
      <c r="A3390" s="24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5" t="n">
        <v>11.712642</v>
      </c>
    </row>
    <row r="3391">
      <c r="A3391" s="24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5" t="n">
        <v>9.063421999999999</v>
      </c>
    </row>
    <row r="3392">
      <c r="A3392" s="24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5" t="n">
        <v>7.866318</v>
      </c>
    </row>
    <row r="3393">
      <c r="A3393" s="24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5" t="n">
        <v>5.98381</v>
      </c>
    </row>
    <row r="3394">
      <c r="A3394" s="24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5" t="n">
        <v>5.28512</v>
      </c>
    </row>
    <row r="3395">
      <c r="A3395" s="24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5" t="n">
        <v>4.476589</v>
      </c>
    </row>
    <row r="3396">
      <c r="A3396" s="24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5" t="n">
        <v>3.583065</v>
      </c>
    </row>
    <row r="3397">
      <c r="A3397" s="24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5" t="n">
        <v>3.986709</v>
      </c>
    </row>
    <row r="3398">
      <c r="A3398" s="24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5" t="n">
        <v>3.089217</v>
      </c>
    </row>
    <row r="3399">
      <c r="A3399" s="24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5" t="n">
        <v>3.187612</v>
      </c>
    </row>
    <row r="3400">
      <c r="A3400" s="24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5" t="n">
        <v>15.757819</v>
      </c>
    </row>
    <row r="3401">
      <c r="A3401" s="24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5" t="n">
        <v>36.804135</v>
      </c>
    </row>
    <row r="3402">
      <c r="A3402" s="24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5" t="n">
        <v>37.91862</v>
      </c>
    </row>
    <row r="3403">
      <c r="A3403" s="24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5" t="n">
        <v>27.268743</v>
      </c>
    </row>
    <row r="3404">
      <c r="A3404" s="24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5" t="n">
        <v>19.607337</v>
      </c>
    </row>
    <row r="3405">
      <c r="A3405" s="24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5" t="n">
        <v>14.684209</v>
      </c>
    </row>
    <row r="3406">
      <c r="A3406" s="24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5" t="n">
        <v>11.6511</v>
      </c>
    </row>
    <row r="3407">
      <c r="A3407" s="24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5" t="n">
        <v>8.892424999999999</v>
      </c>
    </row>
    <row r="3408">
      <c r="A3408" s="24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5" t="n">
        <v>7.512509</v>
      </c>
    </row>
    <row r="3409">
      <c r="A3409" s="24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5" t="n">
        <v>5.844455</v>
      </c>
    </row>
    <row r="3410">
      <c r="A3410" s="24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5" t="n">
        <v>5.147912</v>
      </c>
    </row>
    <row r="3411">
      <c r="A3411" s="24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5" t="n">
        <v>4.076325</v>
      </c>
    </row>
    <row r="3412">
      <c r="A3412" s="24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5" t="n">
        <v>3.71122</v>
      </c>
    </row>
    <row r="3413">
      <c r="A3413" s="24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5" t="n">
        <v>2.959531</v>
      </c>
    </row>
    <row r="3414">
      <c r="A3414" s="24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5" t="n">
        <v>2.791184</v>
      </c>
    </row>
    <row r="3415">
      <c r="A3415" s="24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5" t="n">
        <v>4.057011</v>
      </c>
    </row>
    <row r="3416">
      <c r="A3416" s="24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5" t="n">
        <v>12.06224</v>
      </c>
    </row>
    <row r="3417">
      <c r="A3417" s="24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5" t="n">
        <v>13.387545</v>
      </c>
    </row>
    <row r="3418">
      <c r="A3418" s="24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5" t="n">
        <v>20.624716</v>
      </c>
    </row>
    <row r="3419">
      <c r="A3419" s="24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5" t="n">
        <v>29.310321</v>
      </c>
    </row>
    <row r="3420">
      <c r="A3420" s="24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5" t="n">
        <v>37.003356</v>
      </c>
    </row>
    <row r="3421">
      <c r="A3421" s="24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5" t="n">
        <v>35.442263</v>
      </c>
    </row>
    <row r="3422">
      <c r="A3422" s="24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5" t="n">
        <v>28.537582</v>
      </c>
    </row>
    <row r="3423">
      <c r="A3423" s="24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5" t="n">
        <v>36.247496</v>
      </c>
    </row>
    <row r="3424">
      <c r="A3424" s="24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5" t="n">
        <v>45.365839</v>
      </c>
    </row>
    <row r="3425">
      <c r="A3425" s="24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5" t="n">
        <v>29.545822</v>
      </c>
    </row>
    <row r="3426">
      <c r="A3426" s="24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5" t="n">
        <v>23.194677</v>
      </c>
    </row>
    <row r="3427">
      <c r="A3427" s="24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5" t="n">
        <v>17.480454</v>
      </c>
    </row>
    <row r="3428">
      <c r="A3428" s="24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5" t="n">
        <v>13.065574</v>
      </c>
    </row>
    <row r="3429">
      <c r="A3429" s="24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5" t="n">
        <v>11.838118</v>
      </c>
    </row>
    <row r="3430">
      <c r="A3430" s="24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5" t="n">
        <v>8.980429000000001</v>
      </c>
    </row>
    <row r="3431">
      <c r="A3431" s="24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5" t="n">
        <v>25.421692</v>
      </c>
    </row>
    <row r="3432">
      <c r="A3432" s="24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5" t="n">
        <v>35.31573</v>
      </c>
    </row>
    <row r="3433">
      <c r="A3433" s="24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5" t="n">
        <v>33.696126</v>
      </c>
    </row>
    <row r="3434">
      <c r="A3434" s="24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5" t="n">
        <v>26.167242</v>
      </c>
    </row>
    <row r="3435">
      <c r="A3435" s="24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5" t="n">
        <v>37.574119</v>
      </c>
    </row>
    <row r="3436">
      <c r="A3436" s="24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5" t="n">
        <v>46.940764</v>
      </c>
    </row>
    <row r="3437">
      <c r="A3437" s="24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5" t="n">
        <v>39.265212</v>
      </c>
    </row>
    <row r="3438">
      <c r="A3438" s="24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5" t="n">
        <v>24.278072</v>
      </c>
    </row>
    <row r="3439">
      <c r="A3439" s="24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5" t="n">
        <v>21.393836</v>
      </c>
    </row>
    <row r="3440">
      <c r="A3440" s="24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5" t="n">
        <v>15.524183</v>
      </c>
    </row>
    <row r="3441">
      <c r="A3441" s="24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5" t="n">
        <v>12.449158</v>
      </c>
    </row>
    <row r="3442">
      <c r="A3442" s="24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5" t="n">
        <v>11.097907</v>
      </c>
    </row>
    <row r="3443">
      <c r="A3443" s="24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5" t="n">
        <v>17.409039</v>
      </c>
    </row>
    <row r="3444">
      <c r="A3444" s="24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5" t="n">
        <v>22.343359</v>
      </c>
    </row>
    <row r="3445">
      <c r="A3445" s="24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5" t="n">
        <v>27.819651</v>
      </c>
    </row>
    <row r="3446">
      <c r="A3446" s="24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5" t="n">
        <v>48.270833</v>
      </c>
    </row>
    <row r="3447">
      <c r="A3447" s="24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5" t="n">
        <v>73.932052</v>
      </c>
    </row>
    <row r="3448">
      <c r="A3448" s="24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5" t="n">
        <v>138.154468</v>
      </c>
    </row>
    <row r="3449">
      <c r="A3449" s="24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5" t="n">
        <v>162.920817</v>
      </c>
    </row>
    <row r="3450">
      <c r="A3450" s="24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5" t="n">
        <v>104.549474</v>
      </c>
    </row>
    <row r="3451">
      <c r="A3451" s="24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5" t="n">
        <v>66.23387700000001</v>
      </c>
    </row>
    <row r="3452">
      <c r="A3452" s="24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5" t="n">
        <v>53.493103</v>
      </c>
    </row>
    <row r="3453">
      <c r="A3453" s="24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5" t="n">
        <v>35.034578</v>
      </c>
    </row>
    <row r="3454">
      <c r="A3454" s="24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5" t="n">
        <v>34.309524</v>
      </c>
    </row>
    <row r="3455">
      <c r="A3455" s="24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5" t="n">
        <v>33.015452</v>
      </c>
    </row>
    <row r="3456">
      <c r="A3456" s="24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5" t="n">
        <v>25.174206</v>
      </c>
    </row>
    <row r="3457">
      <c r="A3457" s="24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5" t="n">
        <v>20.135151</v>
      </c>
    </row>
    <row r="3458">
      <c r="A3458" s="24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5" t="n">
        <v>29.214138</v>
      </c>
    </row>
    <row r="3459">
      <c r="A3459" s="24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5" t="n">
        <v>46.496072</v>
      </c>
    </row>
    <row r="3460">
      <c r="A3460" s="24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5" t="n">
        <v>39.726082</v>
      </c>
    </row>
    <row r="3461">
      <c r="A3461" s="24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5" t="n">
        <v>26.146794</v>
      </c>
    </row>
    <row r="3462">
      <c r="A3462" s="24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5" t="n">
        <v>21.3239</v>
      </c>
    </row>
    <row r="3463">
      <c r="A3463" s="24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5" t="n">
        <v>17.045361</v>
      </c>
    </row>
    <row r="3464">
      <c r="A3464" s="24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5" t="n">
        <v>12.958095</v>
      </c>
    </row>
    <row r="3465">
      <c r="A3465" s="24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5" t="n">
        <v>11.919956</v>
      </c>
    </row>
    <row r="3466">
      <c r="A3466" s="24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5" t="n">
        <v>8.675964</v>
      </c>
    </row>
    <row r="3467">
      <c r="A3467" s="24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5" t="n">
        <v>8.580328</v>
      </c>
    </row>
    <row r="3468">
      <c r="A3468" s="24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5" t="n">
        <v>18.097289</v>
      </c>
    </row>
    <row r="3469">
      <c r="A3469" s="24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5" t="n">
        <v>38.000611</v>
      </c>
    </row>
    <row r="3470">
      <c r="A3470" s="24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5" t="n">
        <v>49.913625</v>
      </c>
    </row>
    <row r="3471">
      <c r="A3471" s="24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5" t="n">
        <v>49.909694</v>
      </c>
    </row>
    <row r="3472">
      <c r="A3472" s="24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5" t="n">
        <v>38.112846</v>
      </c>
    </row>
    <row r="3473">
      <c r="A3473" s="24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5" t="n">
        <v>25.908236</v>
      </c>
    </row>
    <row r="3474">
      <c r="A3474" s="24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5" t="n">
        <v>21.484565</v>
      </c>
    </row>
    <row r="3475">
      <c r="A3475" s="24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5" t="n">
        <v>15.727086</v>
      </c>
    </row>
    <row r="3476">
      <c r="A3476" s="24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5" t="n">
        <v>13.423489</v>
      </c>
    </row>
    <row r="3477">
      <c r="A3477" s="24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5" t="n">
        <v>10.460438</v>
      </c>
    </row>
    <row r="3478">
      <c r="A3478" s="24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5" t="n">
        <v>9.001234</v>
      </c>
    </row>
    <row r="3479">
      <c r="A3479" s="24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5" t="n">
        <v>7.375979</v>
      </c>
    </row>
    <row r="3480">
      <c r="A3480" s="24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5" t="n">
        <v>9.115261</v>
      </c>
    </row>
    <row r="3481">
      <c r="A3481" s="24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5" t="n">
        <v>9.278387</v>
      </c>
    </row>
    <row r="3482">
      <c r="A3482" s="24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5" t="n">
        <v>6.756139</v>
      </c>
    </row>
    <row r="3483">
      <c r="A3483" s="24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5" t="n">
        <v>20.531958</v>
      </c>
    </row>
    <row r="3484">
      <c r="A3484" s="24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5" t="n">
        <v>38.444429</v>
      </c>
    </row>
    <row r="3485">
      <c r="A3485" s="24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5" t="n">
        <v>30.96592</v>
      </c>
    </row>
    <row r="3486">
      <c r="A3486" s="24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5" t="n">
        <v>19.511984</v>
      </c>
    </row>
    <row r="3487">
      <c r="A3487" s="24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5" t="n">
        <v>29.038717</v>
      </c>
    </row>
    <row r="3488">
      <c r="A3488" s="24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5" t="n">
        <v>45.433585</v>
      </c>
    </row>
    <row r="3489">
      <c r="A3489" s="24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5" t="n">
        <v>47.091887</v>
      </c>
    </row>
    <row r="3490">
      <c r="A3490" s="24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5" t="n">
        <v>34.876023</v>
      </c>
    </row>
    <row r="3491">
      <c r="A3491" s="24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5" t="n">
        <v>24.876816</v>
      </c>
    </row>
    <row r="3492">
      <c r="A3492" s="24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5" t="n">
        <v>19.483862</v>
      </c>
    </row>
    <row r="3493">
      <c r="A3493" s="24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5" t="n">
        <v>30.472091</v>
      </c>
    </row>
    <row r="3494">
      <c r="A3494" s="24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5" t="n">
        <v>52.602861</v>
      </c>
    </row>
    <row r="3495">
      <c r="A3495" s="24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5" t="n">
        <v>62.400134</v>
      </c>
    </row>
    <row r="3496">
      <c r="A3496" s="24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5" t="n">
        <v>62.252411</v>
      </c>
    </row>
    <row r="3497">
      <c r="A3497" s="24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5" t="n">
        <v>55.694918</v>
      </c>
    </row>
    <row r="3498">
      <c r="A3498" s="24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5" t="n">
        <v>40.70495</v>
      </c>
    </row>
    <row r="3499">
      <c r="A3499" s="24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5" t="n">
        <v>30.891838</v>
      </c>
    </row>
    <row r="3500">
      <c r="A3500" s="24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5" t="n">
        <v>24.059851</v>
      </c>
    </row>
    <row r="3501">
      <c r="A3501" s="24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5" t="n">
        <v>31.923038</v>
      </c>
    </row>
    <row r="3502">
      <c r="A3502" s="24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5" t="n">
        <v>38.631501</v>
      </c>
    </row>
    <row r="3503">
      <c r="A3503" s="24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5" t="n">
        <v>35.036633</v>
      </c>
    </row>
    <row r="3504">
      <c r="A3504" s="24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5" t="n">
        <v>29.763385</v>
      </c>
    </row>
    <row r="3505">
      <c r="A3505" s="24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5" t="n">
        <v>33.485734</v>
      </c>
    </row>
    <row r="3506">
      <c r="A3506" s="24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5" t="n">
        <v>31.764314</v>
      </c>
    </row>
    <row r="3507">
      <c r="A3507" s="24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5" t="n">
        <v>36.820785</v>
      </c>
    </row>
    <row r="3508">
      <c r="A3508" s="24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5" t="n">
        <v>52.133802</v>
      </c>
    </row>
    <row r="3509">
      <c r="A3509" s="24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5" t="n">
        <v>64.125406</v>
      </c>
    </row>
    <row r="3510">
      <c r="A3510" s="24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5" t="n">
        <v>63.052101</v>
      </c>
    </row>
    <row r="3511">
      <c r="A3511" s="24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5" t="n">
        <v>161.931384</v>
      </c>
    </row>
    <row r="3512">
      <c r="A3512" s="24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5" t="n">
        <v>249.063526</v>
      </c>
    </row>
    <row r="3513">
      <c r="A3513" s="24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5" t="n">
        <v>159.42818</v>
      </c>
    </row>
    <row r="3514">
      <c r="A3514" s="24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5" t="n">
        <v>76.810863</v>
      </c>
    </row>
    <row r="3515">
      <c r="A3515" s="24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5" t="n">
        <v>90.350483</v>
      </c>
    </row>
    <row r="3516">
      <c r="A3516" s="24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5" t="n">
        <v>66.307841</v>
      </c>
    </row>
    <row r="3517">
      <c r="A3517" s="24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5" t="n">
        <v>46.910441</v>
      </c>
    </row>
    <row r="3518">
      <c r="A3518" s="24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5" t="n">
        <v>41.111371</v>
      </c>
    </row>
    <row r="3519">
      <c r="A3519" s="24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5" t="n">
        <v>27.718079</v>
      </c>
    </row>
    <row r="3520">
      <c r="A3520" s="24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5" t="n">
        <v>44.738288</v>
      </c>
    </row>
    <row r="3521">
      <c r="A3521" s="24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5" t="n">
        <v>41.933205</v>
      </c>
    </row>
    <row r="3522">
      <c r="A3522" s="24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5" t="n">
        <v>34.293017</v>
      </c>
    </row>
    <row r="3523">
      <c r="A3523" s="24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5" t="n">
        <v>22.670842</v>
      </c>
    </row>
    <row r="3524">
      <c r="A3524" s="24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5" t="n">
        <v>21.869408</v>
      </c>
    </row>
    <row r="3525">
      <c r="A3525" s="24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5" t="n">
        <v>15.070852</v>
      </c>
    </row>
    <row r="3526">
      <c r="A3526" s="24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5" t="n">
        <v>14.215798</v>
      </c>
    </row>
    <row r="3527">
      <c r="A3527" s="24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5" t="n">
        <v>24.73446</v>
      </c>
    </row>
    <row r="3528">
      <c r="A3528" s="24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5" t="n">
        <v>40.269363</v>
      </c>
    </row>
    <row r="3529">
      <c r="A3529" s="24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5" t="n">
        <v>38.949172</v>
      </c>
    </row>
    <row r="3530">
      <c r="A3530" s="24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5" t="n">
        <v>24.958987</v>
      </c>
    </row>
    <row r="3531">
      <c r="A3531" s="24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5" t="n">
        <v>22.442982</v>
      </c>
    </row>
    <row r="3532">
      <c r="A3532" s="24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5" t="n">
        <v>18.729544</v>
      </c>
    </row>
    <row r="3533">
      <c r="A3533" s="24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5" t="n">
        <v>35.833589</v>
      </c>
    </row>
    <row r="3534">
      <c r="A3534" s="24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5" t="n">
        <v>38.228987</v>
      </c>
    </row>
    <row r="3535">
      <c r="A3535" s="24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5" t="n">
        <v>28.791134</v>
      </c>
    </row>
    <row r="3536">
      <c r="A3536" s="24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5" t="n">
        <v>19.829783</v>
      </c>
    </row>
    <row r="3537">
      <c r="A3537" s="24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5" t="n">
        <v>17.451651</v>
      </c>
    </row>
    <row r="3538">
      <c r="A3538" s="24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5" t="n">
        <v>15.216513</v>
      </c>
    </row>
    <row r="3539">
      <c r="A3539" s="24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5" t="n">
        <v>16.225553</v>
      </c>
    </row>
    <row r="3540">
      <c r="A3540" s="24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5" t="n">
        <v>16.000427</v>
      </c>
    </row>
    <row r="3541">
      <c r="A3541" s="24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5" t="n">
        <v>16.34068</v>
      </c>
    </row>
    <row r="3542">
      <c r="A3542" s="24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5" t="n">
        <v>29.339309</v>
      </c>
    </row>
    <row r="3543">
      <c r="A3543" s="24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5" t="n">
        <v>41.521118</v>
      </c>
    </row>
    <row r="3544">
      <c r="A3544" s="24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5" t="n">
        <v>36.495931</v>
      </c>
    </row>
    <row r="3545">
      <c r="A3545" s="24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5" t="n">
        <v>27.913033</v>
      </c>
    </row>
    <row r="3546">
      <c r="A3546" s="24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5" t="n">
        <v>44.543426</v>
      </c>
    </row>
    <row r="3547">
      <c r="A3547" s="24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5" t="n">
        <v>43.169044</v>
      </c>
    </row>
    <row r="3548">
      <c r="A3548" s="24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5" t="n">
        <v>47.424312</v>
      </c>
    </row>
    <row r="3549">
      <c r="A3549" s="24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5" t="n">
        <v>51.717318</v>
      </c>
    </row>
    <row r="3550">
      <c r="A3550" s="24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5" t="n">
        <v>41.642068</v>
      </c>
    </row>
    <row r="3551">
      <c r="A3551" s="24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5" t="n">
        <v>27.402887</v>
      </c>
    </row>
    <row r="3552">
      <c r="A3552" s="24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5" t="n">
        <v>23.666068</v>
      </c>
    </row>
    <row r="3553">
      <c r="A3553" s="24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5" t="n">
        <v>16.959813</v>
      </c>
    </row>
    <row r="3554">
      <c r="A3554" s="24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5" t="n">
        <v>18.14416</v>
      </c>
    </row>
    <row r="3555">
      <c r="A3555" s="24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5" t="n">
        <v>16.997717</v>
      </c>
    </row>
    <row r="3556">
      <c r="A3556" s="24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5" t="n">
        <v>11.933614</v>
      </c>
    </row>
    <row r="3557">
      <c r="A3557" s="24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5" t="n">
        <v>10.793325</v>
      </c>
    </row>
    <row r="3558">
      <c r="A3558" s="24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5" t="n">
        <v>7.985283</v>
      </c>
    </row>
    <row r="3559">
      <c r="A3559" s="24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5" t="n">
        <v>20.120707</v>
      </c>
    </row>
    <row r="3560">
      <c r="A3560" s="24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5" t="n">
        <v>29.235226</v>
      </c>
    </row>
    <row r="3561">
      <c r="A3561" s="24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5" t="n">
        <v>24.644926</v>
      </c>
    </row>
    <row r="3562">
      <c r="A3562" s="24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5" t="n">
        <v>15.929433</v>
      </c>
    </row>
    <row r="3563">
      <c r="A3563" s="24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5" t="n">
        <v>18.762493</v>
      </c>
    </row>
    <row r="3564">
      <c r="A3564" s="24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5" t="n">
        <v>14.850957</v>
      </c>
    </row>
    <row r="3565">
      <c r="A3565" s="24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5" t="n">
        <v>12.507078</v>
      </c>
    </row>
    <row r="3566">
      <c r="A3566" s="24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5" t="n">
        <v>8.184737999999999</v>
      </c>
    </row>
    <row r="3567">
      <c r="A3567" s="24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5" t="n">
        <v>8.395516000000001</v>
      </c>
    </row>
    <row r="3568">
      <c r="A3568" s="24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5" t="n">
        <v>8.66343</v>
      </c>
    </row>
    <row r="3569">
      <c r="A3569" s="24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5" t="n">
        <v>19.521949</v>
      </c>
    </row>
    <row r="3570">
      <c r="A3570" s="24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5" t="n">
        <v>20.027214</v>
      </c>
    </row>
    <row r="3571">
      <c r="A3571" s="24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5" t="n">
        <v>12.192012</v>
      </c>
    </row>
    <row r="3572">
      <c r="A3572" s="24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5" t="n">
        <v>11.160921</v>
      </c>
    </row>
    <row r="3573">
      <c r="A3573" s="24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5" t="n">
        <v>13.09015</v>
      </c>
    </row>
    <row r="3574">
      <c r="A3574" s="24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5" t="n">
        <v>27.191028</v>
      </c>
    </row>
    <row r="3575">
      <c r="A3575" s="24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5" t="n">
        <v>43.386483</v>
      </c>
    </row>
    <row r="3576">
      <c r="A3576" s="24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5" t="n">
        <v>36.418481</v>
      </c>
    </row>
    <row r="3577">
      <c r="A3577" s="24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5" t="n">
        <v>22.548046</v>
      </c>
    </row>
    <row r="3578">
      <c r="A3578" s="24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5" t="n">
        <v>18.881802</v>
      </c>
    </row>
    <row r="3579">
      <c r="A3579" s="24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5" t="n">
        <v>13.575161</v>
      </c>
    </row>
    <row r="3580">
      <c r="A3580" s="24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5" t="n">
        <v>11.209644</v>
      </c>
    </row>
    <row r="3581">
      <c r="A3581" s="24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5" t="n">
        <v>8.892955000000001</v>
      </c>
    </row>
    <row r="3582">
      <c r="A3582" s="24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5" t="n">
        <v>7.317092</v>
      </c>
    </row>
    <row r="3583">
      <c r="A3583" s="24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5" t="n">
        <v>6.125985</v>
      </c>
    </row>
    <row r="3584">
      <c r="A3584" s="24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5" t="n">
        <v>5.1346</v>
      </c>
    </row>
    <row r="3585">
      <c r="A3585" s="24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5" t="n">
        <v>4.392435</v>
      </c>
    </row>
    <row r="3586">
      <c r="A3586" s="24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5" t="n">
        <v>3.784032</v>
      </c>
    </row>
    <row r="3587">
      <c r="A3587" s="24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5" t="n">
        <v>3.264503</v>
      </c>
    </row>
    <row r="3588">
      <c r="A3588" s="24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5" t="n">
        <v>14.405291</v>
      </c>
    </row>
    <row r="3589">
      <c r="A3589" s="24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5" t="n">
        <v>19.633874</v>
      </c>
    </row>
    <row r="3590">
      <c r="A3590" s="24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5" t="n">
        <v>11.573087</v>
      </c>
    </row>
    <row r="3591">
      <c r="A3591" s="24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5" t="n">
        <v>8.318885999999999</v>
      </c>
    </row>
    <row r="3592">
      <c r="A3592" s="24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5" t="n">
        <v>17.098952</v>
      </c>
    </row>
    <row r="3593">
      <c r="A3593" s="24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5" t="n">
        <v>19.072733</v>
      </c>
    </row>
    <row r="3594">
      <c r="A3594" s="24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5" t="n">
        <v>20.764255</v>
      </c>
    </row>
    <row r="3595">
      <c r="A3595" s="24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5" t="n">
        <v>30.702539</v>
      </c>
    </row>
    <row r="3596">
      <c r="A3596" s="24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5" t="n">
        <v>41.79779</v>
      </c>
    </row>
    <row r="3597">
      <c r="A3597" s="24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5" t="n">
        <v>32.594651</v>
      </c>
    </row>
    <row r="3598">
      <c r="A3598" s="24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5" t="n">
        <v>22.725322</v>
      </c>
    </row>
    <row r="3599">
      <c r="A3599" s="24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5" t="n">
        <v>23.522288</v>
      </c>
    </row>
    <row r="3600">
      <c r="A3600" s="24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5" t="n">
        <v>24.92915</v>
      </c>
    </row>
    <row r="3601">
      <c r="A3601" s="24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5" t="n">
        <v>22.903114</v>
      </c>
    </row>
    <row r="3602">
      <c r="A3602" s="24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5" t="n">
        <v>19.959803</v>
      </c>
    </row>
    <row r="3603">
      <c r="A3603" s="24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5" t="n">
        <v>15.023963</v>
      </c>
    </row>
    <row r="3604">
      <c r="A3604" s="24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5" t="n">
        <v>10.310182</v>
      </c>
    </row>
    <row r="3605">
      <c r="A3605" s="24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5" t="n">
        <v>10.270016</v>
      </c>
    </row>
    <row r="3606">
      <c r="A3606" s="24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5" t="n">
        <v>6.365924</v>
      </c>
    </row>
    <row r="3607">
      <c r="A3607" s="24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5" t="n">
        <v>7.016581</v>
      </c>
    </row>
    <row r="3608">
      <c r="A3608" s="24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5" t="n">
        <v>13.104161</v>
      </c>
    </row>
    <row r="3609">
      <c r="A3609" s="24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5" t="n">
        <v>16.716103</v>
      </c>
    </row>
    <row r="3610">
      <c r="A3610" s="24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5" t="n">
        <v>10.023414</v>
      </c>
    </row>
    <row r="3611">
      <c r="A3611" s="24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5" t="n">
        <v>7.315163</v>
      </c>
    </row>
    <row r="3612">
      <c r="A3612" s="24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5" t="n">
        <v>7.579904</v>
      </c>
    </row>
    <row r="3613">
      <c r="A3613" s="24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5" t="n">
        <v>8.597035999999999</v>
      </c>
    </row>
    <row r="3614">
      <c r="A3614" s="24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5" t="n">
        <v>15.820881</v>
      </c>
    </row>
    <row r="3615">
      <c r="A3615" s="24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5" t="n">
        <v>10.656933</v>
      </c>
    </row>
    <row r="3616">
      <c r="A3616" s="24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5" t="n">
        <v>8.864084999999999</v>
      </c>
    </row>
    <row r="3617">
      <c r="A3617" s="24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5" t="n">
        <v>19.083534</v>
      </c>
    </row>
    <row r="3618">
      <c r="A3618" s="24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5" t="n">
        <v>32.020353</v>
      </c>
    </row>
    <row r="3619">
      <c r="A3619" s="24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5" t="n">
        <v>24.83741</v>
      </c>
    </row>
    <row r="3620">
      <c r="A3620" s="24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5" t="n">
        <v>15.687748</v>
      </c>
    </row>
    <row r="3621">
      <c r="A3621" s="24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5" t="n">
        <v>13.675576</v>
      </c>
    </row>
    <row r="3622">
      <c r="A3622" s="24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5" t="n">
        <v>9.13345</v>
      </c>
    </row>
    <row r="3623">
      <c r="A3623" s="24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5" t="n">
        <v>8.412017000000001</v>
      </c>
    </row>
    <row r="3624">
      <c r="A3624" s="24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5" t="n">
        <v>5.938085</v>
      </c>
    </row>
    <row r="3625">
      <c r="A3625" s="24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5" t="n">
        <v>5.546803</v>
      </c>
    </row>
    <row r="3626">
      <c r="A3626" s="24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5" t="n">
        <v>4.133965</v>
      </c>
    </row>
    <row r="3627">
      <c r="A3627" s="24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5" t="n">
        <v>3.885992</v>
      </c>
    </row>
    <row r="3628">
      <c r="A3628" s="24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5" t="n">
        <v>8.607666</v>
      </c>
    </row>
    <row r="3629">
      <c r="A3629" s="24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5" t="n">
        <v>19.87982</v>
      </c>
    </row>
    <row r="3630">
      <c r="A3630" s="24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5" t="n">
        <v>19.855534</v>
      </c>
    </row>
    <row r="3631">
      <c r="A3631" s="24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5" t="n">
        <v>19.709519</v>
      </c>
    </row>
    <row r="3632">
      <c r="A3632" s="24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5" t="n">
        <v>26.823225</v>
      </c>
    </row>
    <row r="3633">
      <c r="A3633" s="24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5" t="n">
        <v>36.610626</v>
      </c>
    </row>
    <row r="3634">
      <c r="A3634" s="24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5" t="n">
        <v>37.516902</v>
      </c>
    </row>
    <row r="3635">
      <c r="A3635" s="24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5" t="n">
        <v>28.450292</v>
      </c>
    </row>
    <row r="3636">
      <c r="A3636" s="24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5" t="n">
        <v>22.508993</v>
      </c>
    </row>
    <row r="3637">
      <c r="A3637" s="24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5" t="n">
        <v>25.845243</v>
      </c>
    </row>
    <row r="3638">
      <c r="A3638" s="24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5" t="n">
        <v>19.07917</v>
      </c>
    </row>
    <row r="3639">
      <c r="A3639" s="24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5" t="n">
        <v>14.932643</v>
      </c>
    </row>
    <row r="3640">
      <c r="A3640" s="24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5" t="n">
        <v>11.238471</v>
      </c>
    </row>
    <row r="3641">
      <c r="A3641" s="24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5" t="n">
        <v>9.216329</v>
      </c>
    </row>
    <row r="3642">
      <c r="A3642" s="24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5" t="n">
        <v>7.597594</v>
      </c>
    </row>
    <row r="3643">
      <c r="A3643" s="24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5" t="n">
        <v>5.99007</v>
      </c>
    </row>
    <row r="3644">
      <c r="A3644" s="24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5" t="n">
        <v>5.560895</v>
      </c>
    </row>
    <row r="3645">
      <c r="A3645" s="24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5" t="n">
        <v>4.066828</v>
      </c>
    </row>
    <row r="3646">
      <c r="A3646" s="24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5" t="n">
        <v>4.23964</v>
      </c>
    </row>
    <row r="3647">
      <c r="A3647" s="24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5" t="n">
        <v>2.902438</v>
      </c>
    </row>
    <row r="3648">
      <c r="A3648" s="24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5" t="n">
        <v>13.535782</v>
      </c>
    </row>
    <row r="3649">
      <c r="A3649" s="24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5" t="n">
        <v>31.342161</v>
      </c>
    </row>
    <row r="3650">
      <c r="A3650" s="24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5" t="n">
        <v>36.600043</v>
      </c>
    </row>
    <row r="3651">
      <c r="A3651" s="24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5" t="n">
        <v>25.914717</v>
      </c>
    </row>
    <row r="3652">
      <c r="A3652" s="24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5" t="n">
        <v>24.055121</v>
      </c>
    </row>
    <row r="3653">
      <c r="A3653" s="24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5" t="n">
        <v>24.145144</v>
      </c>
    </row>
    <row r="3654">
      <c r="A3654" s="24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5" t="n">
        <v>18.626025</v>
      </c>
    </row>
    <row r="3655">
      <c r="A3655" s="24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5" t="n">
        <v>13.230707</v>
      </c>
    </row>
    <row r="3656">
      <c r="A3656" s="24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5" t="n">
        <v>20.249968</v>
      </c>
    </row>
    <row r="3657">
      <c r="A3657" s="24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5" t="n">
        <v>26.868415</v>
      </c>
    </row>
    <row r="3658">
      <c r="A3658" s="24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5" t="n">
        <v>25.564666</v>
      </c>
    </row>
    <row r="3659">
      <c r="A3659" s="24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5" t="n">
        <v>20.110839</v>
      </c>
    </row>
    <row r="3660">
      <c r="A3660" s="24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5" t="n">
        <v>15.105556</v>
      </c>
    </row>
    <row r="3661">
      <c r="A3661" s="24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5" t="n">
        <v>10.928358</v>
      </c>
    </row>
    <row r="3662">
      <c r="A3662" s="24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5" t="n">
        <v>9.608025</v>
      </c>
    </row>
    <row r="3663">
      <c r="A3663" s="24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5" t="n">
        <v>7.019047</v>
      </c>
    </row>
    <row r="3664">
      <c r="A3664" s="24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5" t="n">
        <v>6.33697</v>
      </c>
    </row>
    <row r="3665">
      <c r="A3665" s="24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5" t="n">
        <v>5.054174</v>
      </c>
    </row>
    <row r="3666">
      <c r="A3666" s="24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5" t="n">
        <v>4.286171</v>
      </c>
    </row>
    <row r="3667">
      <c r="A3667" s="24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5" t="n">
        <v>3.874432</v>
      </c>
    </row>
    <row r="3668">
      <c r="A3668" s="24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5" t="n">
        <v>3.013267</v>
      </c>
    </row>
    <row r="3669">
      <c r="A3669" s="24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5" t="n">
        <v>3.024655</v>
      </c>
    </row>
    <row r="3670">
      <c r="A3670" s="24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5" t="n">
        <v>7.987116</v>
      </c>
    </row>
    <row r="3671">
      <c r="A3671" s="24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5" t="n">
        <v>10.547598</v>
      </c>
    </row>
    <row r="3672">
      <c r="A3672" s="24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5" t="n">
        <v>5.973245</v>
      </c>
    </row>
    <row r="3673">
      <c r="A3673" s="24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5" t="n">
        <v>9.933206999999999</v>
      </c>
    </row>
    <row r="3674">
      <c r="A3674" s="24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5" t="n">
        <v>27.320356</v>
      </c>
    </row>
    <row r="3675">
      <c r="A3675" s="24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5" t="n">
        <v>38.187713</v>
      </c>
    </row>
    <row r="3676">
      <c r="A3676" s="24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5" t="n">
        <v>30.466619</v>
      </c>
    </row>
    <row r="3677">
      <c r="A3677" s="24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5" t="n">
        <v>18.812315</v>
      </c>
    </row>
    <row r="3678">
      <c r="A3678" s="24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5" t="n">
        <v>16.017214</v>
      </c>
    </row>
    <row r="3679">
      <c r="A3679" s="24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5" t="n">
        <v>12.182881</v>
      </c>
    </row>
    <row r="3680">
      <c r="A3680" s="24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5" t="n">
        <v>17.707065</v>
      </c>
    </row>
    <row r="3681">
      <c r="A3681" s="24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5" t="n">
        <v>18.628564</v>
      </c>
    </row>
    <row r="3682">
      <c r="A3682" s="24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5" t="n">
        <v>11.554367</v>
      </c>
    </row>
    <row r="3683">
      <c r="A3683" s="24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5" t="n">
        <v>9.446604000000001</v>
      </c>
    </row>
    <row r="3684">
      <c r="A3684" s="24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5" t="n">
        <v>13.202389</v>
      </c>
    </row>
    <row r="3685">
      <c r="A3685" s="24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5" t="n">
        <v>17.1694</v>
      </c>
    </row>
    <row r="3686">
      <c r="A3686" s="24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5" t="n">
        <v>14.529194</v>
      </c>
    </row>
    <row r="3687">
      <c r="A3687" s="24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5" t="n">
        <v>23.32074</v>
      </c>
    </row>
    <row r="3688">
      <c r="A3688" s="24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5" t="n">
        <v>36.881962</v>
      </c>
    </row>
    <row r="3689">
      <c r="A3689" s="24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5" t="n">
        <v>28.549462</v>
      </c>
    </row>
    <row r="3690">
      <c r="A3690" s="24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5" t="n">
        <v>18.173071</v>
      </c>
    </row>
    <row r="3691">
      <c r="A3691" s="24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5" t="n">
        <v>21.583929</v>
      </c>
    </row>
    <row r="3692">
      <c r="A3692" s="24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5" t="n">
        <v>24.273332</v>
      </c>
    </row>
    <row r="3693">
      <c r="A3693" s="24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5" t="n">
        <v>21.758175</v>
      </c>
    </row>
    <row r="3694">
      <c r="A3694" s="24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5" t="n">
        <v>13.899178</v>
      </c>
    </row>
    <row r="3695">
      <c r="A3695" s="24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5" t="n">
        <v>24.454213</v>
      </c>
    </row>
    <row r="3696">
      <c r="A3696" s="24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5" t="n">
        <v>28.909749</v>
      </c>
    </row>
    <row r="3697">
      <c r="A3697" s="24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5" t="n">
        <v>19.650498</v>
      </c>
    </row>
    <row r="3698">
      <c r="A3698" s="24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5" t="n">
        <v>14.120304</v>
      </c>
    </row>
    <row r="3699">
      <c r="A3699" s="24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5" t="n">
        <v>12.33251</v>
      </c>
    </row>
    <row r="3700">
      <c r="A3700" s="24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5" t="n">
        <v>8.427612999999999</v>
      </c>
    </row>
    <row r="3701">
      <c r="A3701" s="24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5" t="n">
        <v>8.056516</v>
      </c>
    </row>
    <row r="3702">
      <c r="A3702" s="24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5" t="n">
        <v>18.428405</v>
      </c>
    </row>
    <row r="3703">
      <c r="A3703" s="24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5" t="n">
        <v>26.224809</v>
      </c>
    </row>
    <row r="3704">
      <c r="A3704" s="24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5" t="n">
        <v>19.287895</v>
      </c>
    </row>
    <row r="3705">
      <c r="A3705" s="24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5" t="n">
        <v>14.040746</v>
      </c>
    </row>
    <row r="3706">
      <c r="A3706" s="24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5" t="n">
        <v>12.515645</v>
      </c>
    </row>
    <row r="3707">
      <c r="A3707" s="24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5" t="n">
        <v>7.41728</v>
      </c>
    </row>
    <row r="3708">
      <c r="A3708" s="24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5" t="n">
        <v>8.391937</v>
      </c>
    </row>
    <row r="3709">
      <c r="A3709" s="24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5" t="n">
        <v>4.816241</v>
      </c>
    </row>
    <row r="3710">
      <c r="A3710" s="24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5" t="n">
        <v>18.270329</v>
      </c>
    </row>
    <row r="3711">
      <c r="A3711" s="24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5" t="n">
        <v>26.73594</v>
      </c>
    </row>
    <row r="3712">
      <c r="A3712" s="24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5" t="n">
        <v>19.612631</v>
      </c>
    </row>
    <row r="3713">
      <c r="A3713" s="24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5" t="n">
        <v>12.975663</v>
      </c>
    </row>
    <row r="3714">
      <c r="A3714" s="24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5" t="n">
        <v>17.521028</v>
      </c>
    </row>
    <row r="3715">
      <c r="A3715" s="24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5" t="n">
        <v>32.525885</v>
      </c>
    </row>
    <row r="3716">
      <c r="A3716" s="24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5" t="n">
        <v>43.151207</v>
      </c>
    </row>
    <row r="3717">
      <c r="A3717" s="24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5" t="n">
        <v>33.474345</v>
      </c>
    </row>
    <row r="3718">
      <c r="A3718" s="24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5" t="n">
        <v>34.989116</v>
      </c>
    </row>
    <row r="3719">
      <c r="A3719" s="24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5" t="n">
        <v>51.834014</v>
      </c>
    </row>
    <row r="3720">
      <c r="A3720" s="24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5" t="n">
        <v>46.241146</v>
      </c>
    </row>
    <row r="3721">
      <c r="A3721" s="24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5" t="n">
        <v>32.311683</v>
      </c>
    </row>
    <row r="3722">
      <c r="A3722" s="24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5" t="n">
        <v>24.498808</v>
      </c>
    </row>
    <row r="3723">
      <c r="A3723" s="24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5" t="n">
        <v>19.090444</v>
      </c>
    </row>
    <row r="3724">
      <c r="A3724" s="24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5" t="n">
        <v>14.79742</v>
      </c>
    </row>
    <row r="3725">
      <c r="A3725" s="24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5" t="n">
        <v>12.352312</v>
      </c>
    </row>
    <row r="3726">
      <c r="A3726" s="24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5" t="n">
        <v>9.784625</v>
      </c>
    </row>
    <row r="3727">
      <c r="A3727" s="24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5" t="n">
        <v>8.405187</v>
      </c>
    </row>
    <row r="3728">
      <c r="A3728" s="24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5" t="n">
        <v>6.988832</v>
      </c>
    </row>
    <row r="3729">
      <c r="A3729" s="24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5" t="n">
        <v>5.891795</v>
      </c>
    </row>
    <row r="3730">
      <c r="A3730" s="24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5" t="n">
        <v>5.307721</v>
      </c>
    </row>
    <row r="3731">
      <c r="A3731" s="24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5" t="n">
        <v>5.444941</v>
      </c>
    </row>
    <row r="3732">
      <c r="A3732" s="24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5" t="n">
        <v>8.899760000000001</v>
      </c>
    </row>
    <row r="3733">
      <c r="A3733" s="24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5" t="n">
        <v>12.373853</v>
      </c>
    </row>
    <row r="3734">
      <c r="A3734" s="24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5" t="n">
        <v>18.097407</v>
      </c>
    </row>
    <row r="3735">
      <c r="A3735" s="24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5" t="n">
        <v>19.989136</v>
      </c>
    </row>
    <row r="3736">
      <c r="A3736" s="24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5" t="n">
        <v>16.749519</v>
      </c>
    </row>
    <row r="3737">
      <c r="A3737" s="24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5" t="n">
        <v>16.951688</v>
      </c>
    </row>
    <row r="3738">
      <c r="A3738" s="24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5" t="n">
        <v>17.917641</v>
      </c>
    </row>
    <row r="3739">
      <c r="A3739" s="24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5" t="n">
        <v>13.751198</v>
      </c>
    </row>
    <row r="3740">
      <c r="A3740" s="24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5" t="n">
        <v>20.366635</v>
      </c>
    </row>
    <row r="3741">
      <c r="A3741" s="24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5" t="n">
        <v>35.221368</v>
      </c>
    </row>
    <row r="3742">
      <c r="A3742" s="24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5" t="n">
        <v>33.023874</v>
      </c>
    </row>
    <row r="3743">
      <c r="A3743" s="24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5" t="n">
        <v>33.980152</v>
      </c>
    </row>
    <row r="3744">
      <c r="A3744" s="24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5" t="n">
        <v>36.052378</v>
      </c>
    </row>
    <row r="3745">
      <c r="A3745" s="24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5" t="n">
        <v>31.75802</v>
      </c>
    </row>
    <row r="3746">
      <c r="A3746" s="24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5" t="n">
        <v>25.657974</v>
      </c>
    </row>
    <row r="3747">
      <c r="A3747" s="24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5" t="n">
        <v>24.715466</v>
      </c>
    </row>
    <row r="3748">
      <c r="A3748" s="24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5" t="n">
        <v>29.610329</v>
      </c>
    </row>
    <row r="3749">
      <c r="A3749" s="24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5" t="n">
        <v>33.090021</v>
      </c>
    </row>
    <row r="3750">
      <c r="A3750" s="24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5" t="n">
        <v>18.901435</v>
      </c>
    </row>
    <row r="3751">
      <c r="A3751" s="24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5" t="n">
        <v>26.856326</v>
      </c>
    </row>
    <row r="3752">
      <c r="A3752" s="24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5" t="n">
        <v>28.366158</v>
      </c>
    </row>
    <row r="3753">
      <c r="A3753" s="24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5" t="n">
        <v>16.722425</v>
      </c>
    </row>
    <row r="3754">
      <c r="A3754" s="24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5" t="n">
        <v>15.082488</v>
      </c>
    </row>
    <row r="3755">
      <c r="A3755" s="24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5" t="n">
        <v>10.973213</v>
      </c>
    </row>
    <row r="3756">
      <c r="A3756" s="24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5" t="n">
        <v>9.291871</v>
      </c>
    </row>
    <row r="3757">
      <c r="A3757" s="24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5" t="n">
        <v>7.645833</v>
      </c>
    </row>
    <row r="3758">
      <c r="A3758" s="24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5" t="n">
        <v>6.299905</v>
      </c>
    </row>
    <row r="3759">
      <c r="A3759" s="24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5" t="n">
        <v>5.528673</v>
      </c>
    </row>
    <row r="3760">
      <c r="A3760" s="24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5" t="n">
        <v>4.532913</v>
      </c>
    </row>
    <row r="3761">
      <c r="A3761" s="24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5" t="n">
        <v>4.156171</v>
      </c>
    </row>
    <row r="3762">
      <c r="A3762" s="24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5" t="n">
        <v>3.354233</v>
      </c>
    </row>
    <row r="3763">
      <c r="A3763" s="24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5" t="n">
        <v>3.250969</v>
      </c>
    </row>
    <row r="3764">
      <c r="A3764" s="24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5" t="n">
        <v>2.503098</v>
      </c>
    </row>
    <row r="3765">
      <c r="A3765" s="24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5" t="n">
        <v>3.287796</v>
      </c>
    </row>
    <row r="3766">
      <c r="A3766" s="24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5" t="n">
        <v>2.8192</v>
      </c>
    </row>
    <row r="3767">
      <c r="A3767" s="24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5" t="n">
        <v>2.640745</v>
      </c>
    </row>
    <row r="3768">
      <c r="A3768" s="24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5" t="n">
        <v>16.502312</v>
      </c>
    </row>
    <row r="3769">
      <c r="A3769" s="24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5" t="n">
        <v>37.404296</v>
      </c>
    </row>
    <row r="3770">
      <c r="A3770" s="24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5" t="n">
        <v>35.112122</v>
      </c>
    </row>
    <row r="3771">
      <c r="A3771" s="24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5" t="n">
        <v>23.661466</v>
      </c>
    </row>
    <row r="3772">
      <c r="A3772" s="24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5" t="n">
        <v>18.002902</v>
      </c>
    </row>
    <row r="3773">
      <c r="A3773" s="24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5" t="n">
        <v>19.883812</v>
      </c>
    </row>
    <row r="3774">
      <c r="A3774" s="24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5" t="n">
        <v>19.671175</v>
      </c>
    </row>
    <row r="3775">
      <c r="A3775" s="24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5" t="n">
        <v>13.114874</v>
      </c>
    </row>
    <row r="3776">
      <c r="A3776" s="24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5" t="n">
        <v>9.908866</v>
      </c>
    </row>
    <row r="3777">
      <c r="A3777" s="24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5" t="n">
        <v>8.803103999999999</v>
      </c>
    </row>
    <row r="3778">
      <c r="A3778" s="24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5" t="n">
        <v>5.975077</v>
      </c>
    </row>
    <row r="3779">
      <c r="A3779" s="24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5" t="n">
        <v>5.920686</v>
      </c>
    </row>
    <row r="3780">
      <c r="A3780" s="24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5" t="n">
        <v>4.853768</v>
      </c>
    </row>
    <row r="3781">
      <c r="A3781" s="24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5" t="n">
        <v>6.086882</v>
      </c>
    </row>
    <row r="3782">
      <c r="A3782" s="24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5" t="n">
        <v>5.852781</v>
      </c>
    </row>
    <row r="3783">
      <c r="A3783" s="24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5" t="n">
        <v>3.778997</v>
      </c>
    </row>
    <row r="3784">
      <c r="A3784" s="24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5" t="n">
        <v>18.077684</v>
      </c>
    </row>
    <row r="3785">
      <c r="A3785" s="24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5" t="n">
        <v>36.834822</v>
      </c>
    </row>
    <row r="3786">
      <c r="A3786" s="24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5" t="n">
        <v>33.238743</v>
      </c>
    </row>
    <row r="3787">
      <c r="A3787" s="24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5" t="n">
        <v>18.840568</v>
      </c>
    </row>
    <row r="3788">
      <c r="A3788" s="24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5" t="n">
        <v>16.762302</v>
      </c>
    </row>
    <row r="3789">
      <c r="A3789" s="24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5" t="n">
        <v>14.452764</v>
      </c>
    </row>
    <row r="3790">
      <c r="A3790" s="24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5" t="n">
        <v>30.212639</v>
      </c>
    </row>
    <row r="3791">
      <c r="A3791" s="24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5" t="n">
        <v>49.208686</v>
      </c>
    </row>
    <row r="3792">
      <c r="A3792" s="24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5" t="n">
        <v>55.7094</v>
      </c>
    </row>
    <row r="3793">
      <c r="A3793" s="24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5" t="n">
        <v>58.997699</v>
      </c>
    </row>
    <row r="3794">
      <c r="A3794" s="24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5" t="n">
        <v>62.085693</v>
      </c>
    </row>
    <row r="3795">
      <c r="A3795" s="24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5" t="n">
        <v>56.629677</v>
      </c>
    </row>
    <row r="3796">
      <c r="A3796" s="24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5" t="n">
        <v>48.143315</v>
      </c>
    </row>
    <row r="3797">
      <c r="A3797" s="24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5" t="n">
        <v>53.268062</v>
      </c>
    </row>
    <row r="3798">
      <c r="A3798" s="24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5" t="n">
        <v>64.622384</v>
      </c>
    </row>
    <row r="3799">
      <c r="A3799" s="24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5" t="n">
        <v>66.43087</v>
      </c>
    </row>
    <row r="3800">
      <c r="A3800" s="24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5" t="n">
        <v>53.438516</v>
      </c>
    </row>
    <row r="3801">
      <c r="A3801" s="24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5" t="n">
        <v>53.280422</v>
      </c>
    </row>
    <row r="3802">
      <c r="A3802" s="24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5" t="n">
        <v>65.259276</v>
      </c>
    </row>
    <row r="3803">
      <c r="A3803" s="24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5" t="n">
        <v>69.764909</v>
      </c>
    </row>
    <row r="3804">
      <c r="A3804" s="24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5" t="n">
        <v>72.027625</v>
      </c>
    </row>
    <row r="3805">
      <c r="A3805" s="24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5" t="n">
        <v>80.707419</v>
      </c>
    </row>
    <row r="3806">
      <c r="A3806" s="24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5" t="n">
        <v>77.273275</v>
      </c>
    </row>
    <row r="3807">
      <c r="A3807" s="24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5" t="n">
        <v>79.486063</v>
      </c>
    </row>
    <row r="3808">
      <c r="A3808" s="24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5" t="n">
        <v>80.54879099999999</v>
      </c>
    </row>
    <row r="3809">
      <c r="A3809" s="24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5" t="n">
        <v>112.886597</v>
      </c>
    </row>
    <row r="3810">
      <c r="A3810" s="24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5" t="n">
        <v>139.548958</v>
      </c>
    </row>
    <row r="3811">
      <c r="A3811" s="24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5" t="n">
        <v>108.451879</v>
      </c>
    </row>
    <row r="3812">
      <c r="A3812" s="24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5" t="n">
        <v>80.58886099999999</v>
      </c>
    </row>
    <row r="3813">
      <c r="A3813" s="24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5" t="n">
        <v>69.266565</v>
      </c>
    </row>
    <row r="3814">
      <c r="A3814" s="24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5" t="n">
        <v>47.700094</v>
      </c>
    </row>
    <row r="3815">
      <c r="A3815" s="24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5" t="n">
        <v>49.909468</v>
      </c>
    </row>
    <row r="3816">
      <c r="A3816" s="24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5" t="n">
        <v>64.032944</v>
      </c>
    </row>
    <row r="3817">
      <c r="A3817" s="24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5" t="n">
        <v>52.083228</v>
      </c>
    </row>
    <row r="3818">
      <c r="A3818" s="24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5" t="n">
        <v>38.995424</v>
      </c>
    </row>
    <row r="3819">
      <c r="A3819" s="24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5" t="n">
        <v>29.295781</v>
      </c>
    </row>
    <row r="3820">
      <c r="A3820" s="24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5" t="n">
        <v>25.628462</v>
      </c>
    </row>
    <row r="3821">
      <c r="A3821" s="24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5" t="n">
        <v>19.180539</v>
      </c>
    </row>
    <row r="3822">
      <c r="A3822" s="24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5" t="n">
        <v>17.527176</v>
      </c>
    </row>
    <row r="3823">
      <c r="A3823" s="24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5" t="n">
        <v>13.958124</v>
      </c>
    </row>
    <row r="3824">
      <c r="A3824" s="24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5" t="n">
        <v>12.214256</v>
      </c>
    </row>
    <row r="3825">
      <c r="A3825" s="24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5" t="n">
        <v>25.131511</v>
      </c>
    </row>
    <row r="3826">
      <c r="A3826" s="24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5" t="n">
        <v>44.398337</v>
      </c>
    </row>
    <row r="3827">
      <c r="A3827" s="24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5" t="n">
        <v>54.450983</v>
      </c>
    </row>
    <row r="3828">
      <c r="A3828" s="24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5" t="n">
        <v>45.699468</v>
      </c>
    </row>
    <row r="3829">
      <c r="A3829" s="24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5" t="n">
        <v>45.419875</v>
      </c>
    </row>
    <row r="3830">
      <c r="A3830" s="24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5" t="n">
        <v>46.285878</v>
      </c>
    </row>
    <row r="3831">
      <c r="A3831" s="24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5" t="n">
        <v>38.304564</v>
      </c>
    </row>
    <row r="3832">
      <c r="A3832" s="24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5" t="n">
        <v>25.998799</v>
      </c>
    </row>
    <row r="3833">
      <c r="A3833" s="24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5" t="n">
        <v>39.257766</v>
      </c>
    </row>
    <row r="3834">
      <c r="A3834" s="24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5" t="n">
        <v>44.060148</v>
      </c>
    </row>
    <row r="3835">
      <c r="A3835" s="24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5" t="n">
        <v>33.731674</v>
      </c>
    </row>
    <row r="3836">
      <c r="A3836" s="24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5" t="n">
        <v>23.651573</v>
      </c>
    </row>
    <row r="3837">
      <c r="A3837" s="24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5" t="n">
        <v>19.919278</v>
      </c>
    </row>
    <row r="3838">
      <c r="A3838" s="24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5" t="n">
        <v>15.493149</v>
      </c>
    </row>
    <row r="3839">
      <c r="A3839" s="24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5" t="n">
        <v>12.409391</v>
      </c>
    </row>
    <row r="3840">
      <c r="A3840" s="24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5" t="n">
        <v>11.349402</v>
      </c>
    </row>
    <row r="3841">
      <c r="A3841" s="24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5" t="n">
        <v>8.022781999999999</v>
      </c>
    </row>
    <row r="3842">
      <c r="A3842" s="24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5" t="n">
        <v>12.091811</v>
      </c>
    </row>
    <row r="3843">
      <c r="A3843" s="24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5" t="n">
        <v>25.623803</v>
      </c>
    </row>
    <row r="3844">
      <c r="A3844" s="24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5" t="n">
        <v>46.304246</v>
      </c>
    </row>
    <row r="3845">
      <c r="A3845" s="24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5" t="n">
        <v>47.663148</v>
      </c>
    </row>
    <row r="3846">
      <c r="A3846" s="24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5" t="n">
        <v>38.45245</v>
      </c>
    </row>
    <row r="3847">
      <c r="A3847" s="24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5" t="n">
        <v>25.811659</v>
      </c>
    </row>
    <row r="3848">
      <c r="A3848" s="24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5" t="n">
        <v>20.648981</v>
      </c>
    </row>
    <row r="3849">
      <c r="A3849" s="24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5" t="n">
        <v>16.30208</v>
      </c>
    </row>
    <row r="3850">
      <c r="A3850" s="24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5" t="n">
        <v>12.405233</v>
      </c>
    </row>
    <row r="3851">
      <c r="A3851" s="24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5" t="n">
        <v>11.069213</v>
      </c>
    </row>
    <row r="3852">
      <c r="A3852" s="24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5" t="n">
        <v>8.134848</v>
      </c>
    </row>
    <row r="3853">
      <c r="A3853" s="24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5" t="n">
        <v>7.872381</v>
      </c>
    </row>
    <row r="3854">
      <c r="A3854" s="24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5" t="n">
        <v>5.709469</v>
      </c>
    </row>
    <row r="3855">
      <c r="A3855" s="24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5" t="n">
        <v>5.80457</v>
      </c>
    </row>
    <row r="3856">
      <c r="A3856" s="24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5" t="n">
        <v>19.482908</v>
      </c>
    </row>
    <row r="3857">
      <c r="A3857" s="24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5" t="n">
        <v>66.941461</v>
      </c>
    </row>
    <row r="3858">
      <c r="A3858" s="24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5" t="n">
        <v>98.42770899999999</v>
      </c>
    </row>
    <row r="3859">
      <c r="A3859" s="24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5" t="n">
        <v>78.76370199999999</v>
      </c>
    </row>
    <row r="3860">
      <c r="A3860" s="24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5" t="n">
        <v>62.10027</v>
      </c>
    </row>
    <row r="3861">
      <c r="A3861" s="24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5" t="n">
        <v>59.560363</v>
      </c>
    </row>
    <row r="3862">
      <c r="A3862" s="24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5" t="n">
        <v>41.62039</v>
      </c>
    </row>
    <row r="3863">
      <c r="A3863" s="24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5" t="n">
        <v>30.658966</v>
      </c>
    </row>
    <row r="3864">
      <c r="A3864" s="24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5" t="n">
        <v>25.015225</v>
      </c>
    </row>
    <row r="3865">
      <c r="A3865" s="24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5" t="n">
        <v>18.108585</v>
      </c>
    </row>
    <row r="3866">
      <c r="A3866" s="24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5" t="n">
        <v>16.057562</v>
      </c>
    </row>
    <row r="3867">
      <c r="A3867" s="24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5" t="n">
        <v>12.005912</v>
      </c>
    </row>
    <row r="3868">
      <c r="A3868" s="24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5" t="n">
        <v>10.689692</v>
      </c>
    </row>
    <row r="3869">
      <c r="A3869" s="24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5" t="n">
        <v>8.666715</v>
      </c>
    </row>
    <row r="3870">
      <c r="A3870" s="24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5" t="n">
        <v>19.551849</v>
      </c>
    </row>
    <row r="3871">
      <c r="A3871" s="24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5" t="n">
        <v>25.585289</v>
      </c>
    </row>
    <row r="3872">
      <c r="A3872" s="24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5" t="n">
        <v>16.337738</v>
      </c>
    </row>
    <row r="3873">
      <c r="A3873" s="24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5" t="n">
        <v>12.379131</v>
      </c>
    </row>
    <row r="3874">
      <c r="A3874" s="24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5" t="n">
        <v>10.859497</v>
      </c>
    </row>
    <row r="3875">
      <c r="A3875" s="24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5" t="n">
        <v>7.38285</v>
      </c>
    </row>
    <row r="3876">
      <c r="A3876" s="24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5" t="n">
        <v>7.444371</v>
      </c>
    </row>
    <row r="3877">
      <c r="A3877" s="24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5" t="n">
        <v>17.049829</v>
      </c>
    </row>
    <row r="3878">
      <c r="A3878" s="24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5" t="n">
        <v>36.918998</v>
      </c>
    </row>
    <row r="3879">
      <c r="A3879" s="24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5" t="n">
        <v>34.58396</v>
      </c>
    </row>
    <row r="3880">
      <c r="A3880" s="24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5" t="n">
        <v>21.443015</v>
      </c>
    </row>
    <row r="3881">
      <c r="A3881" s="24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5" t="n">
        <v>17.21879</v>
      </c>
    </row>
    <row r="3882">
      <c r="A3882" s="24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5" t="n">
        <v>12.986984</v>
      </c>
    </row>
    <row r="3883">
      <c r="A3883" s="24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5" t="n">
        <v>10.033567</v>
      </c>
    </row>
    <row r="3884">
      <c r="A3884" s="24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5" t="n">
        <v>8.619363</v>
      </c>
    </row>
    <row r="3885">
      <c r="A3885" s="24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5" t="n">
        <v>6.48467</v>
      </c>
    </row>
    <row r="3886">
      <c r="A3886" s="24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5" t="n">
        <v>5.999459</v>
      </c>
    </row>
    <row r="3887">
      <c r="A3887" s="24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5" t="n">
        <v>4.539082</v>
      </c>
    </row>
    <row r="3888">
      <c r="A3888" s="24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5" t="n">
        <v>4.324712</v>
      </c>
    </row>
    <row r="3889">
      <c r="A3889" s="24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5" t="n">
        <v>3.358918</v>
      </c>
    </row>
    <row r="3890">
      <c r="A3890" s="24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5" t="n">
        <v>3.2121</v>
      </c>
    </row>
    <row r="3891">
      <c r="A3891" s="24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5" t="n">
        <v>2.573431</v>
      </c>
    </row>
    <row r="3892">
      <c r="A3892" s="24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5" t="n">
        <v>2.447741</v>
      </c>
    </row>
    <row r="3893">
      <c r="A3893" s="24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5" t="n">
        <v>2.01402</v>
      </c>
    </row>
    <row r="3894">
      <c r="A3894" s="24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5" t="n">
        <v>1.900887</v>
      </c>
    </row>
    <row r="3895">
      <c r="A3895" s="24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5" t="n">
        <v>1.601176</v>
      </c>
    </row>
    <row r="3896">
      <c r="A3896" s="24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5" t="n">
        <v>1.490704</v>
      </c>
    </row>
    <row r="3897">
      <c r="A3897" s="24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5" t="n">
        <v>1.293384</v>
      </c>
    </row>
    <row r="3898">
      <c r="A3898" s="24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5" t="n">
        <v>1.168599</v>
      </c>
    </row>
    <row r="3899">
      <c r="A3899" s="24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5" t="n">
        <v>1.064438</v>
      </c>
    </row>
    <row r="3900">
      <c r="A3900" s="24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5" t="n">
        <v>0.906975</v>
      </c>
    </row>
    <row r="3901">
      <c r="A3901" s="24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5" t="n">
        <v>0.89427</v>
      </c>
    </row>
    <row r="3902">
      <c r="A3902" s="24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5" t="n">
        <v>0.691351</v>
      </c>
    </row>
    <row r="3903">
      <c r="A3903" s="24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5" t="n">
        <v>0.7659589999999999</v>
      </c>
    </row>
    <row r="3904">
      <c r="A3904" s="24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5" t="n">
        <v>0.514745</v>
      </c>
    </row>
    <row r="3905">
      <c r="A3905" s="24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5" t="n">
        <v>3.01866</v>
      </c>
    </row>
    <row r="3906">
      <c r="A3906" s="24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5" t="n">
        <v>18.827426</v>
      </c>
    </row>
    <row r="3907">
      <c r="A3907" s="24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5" t="n">
        <v>31.542452</v>
      </c>
    </row>
    <row r="3908">
      <c r="A3908" s="24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5" t="n">
        <v>30.031671</v>
      </c>
    </row>
    <row r="3909">
      <c r="A3909" s="24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5" t="n">
        <v>25.085727</v>
      </c>
    </row>
    <row r="3910">
      <c r="A3910" s="24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5" t="n">
        <v>17.993067</v>
      </c>
    </row>
    <row r="3911">
      <c r="A3911" s="24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5" t="n">
        <v>12.249186</v>
      </c>
    </row>
    <row r="3912">
      <c r="A3912" s="24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5" t="n">
        <v>18.081077</v>
      </c>
    </row>
    <row r="3913">
      <c r="A3913" s="24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5" t="n">
        <v>17.685783</v>
      </c>
    </row>
    <row r="3914">
      <c r="A3914" s="24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5" t="n">
        <v>11.983497</v>
      </c>
    </row>
    <row r="3915">
      <c r="A3915" s="24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5" t="n">
        <v>8.663925000000001</v>
      </c>
    </row>
    <row r="3916">
      <c r="A3916" s="24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5" t="n">
        <v>7.789502</v>
      </c>
    </row>
    <row r="3917">
      <c r="A3917" s="24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5" t="n">
        <v>5.329813</v>
      </c>
    </row>
    <row r="3918">
      <c r="A3918" s="24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5" t="n">
        <v>5.005344</v>
      </c>
    </row>
    <row r="3919">
      <c r="A3919" s="24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5" t="n">
        <v>15.816593</v>
      </c>
    </row>
    <row r="3920">
      <c r="A3920" s="24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5" t="n">
        <v>20.663143</v>
      </c>
    </row>
    <row r="3921">
      <c r="A3921" s="24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5" t="n">
        <v>12.553193</v>
      </c>
    </row>
    <row r="3922">
      <c r="A3922" s="24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5" t="n">
        <v>8.440519</v>
      </c>
    </row>
    <row r="3923">
      <c r="A3923" s="24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5" t="n">
        <v>8.767973</v>
      </c>
    </row>
    <row r="3924">
      <c r="A3924" s="24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5" t="n">
        <v>7.302908</v>
      </c>
    </row>
    <row r="3925">
      <c r="A3925" s="24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5" t="n">
        <v>10.283675</v>
      </c>
    </row>
    <row r="3926">
      <c r="A3926" s="24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5" t="n">
        <v>5.151571</v>
      </c>
    </row>
    <row r="3927">
      <c r="A3927" s="24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5" t="n">
        <v>5.287784</v>
      </c>
    </row>
    <row r="3928">
      <c r="A3928" s="24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5" t="n">
        <v>4.116017</v>
      </c>
    </row>
    <row r="3929">
      <c r="A3929" s="24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5" t="n">
        <v>2.795752</v>
      </c>
    </row>
    <row r="3930">
      <c r="A3930" s="24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5" t="n">
        <v>11.41157</v>
      </c>
    </row>
    <row r="3931">
      <c r="A3931" s="24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5" t="n">
        <v>12.843243</v>
      </c>
    </row>
    <row r="3932">
      <c r="A3932" s="24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5" t="n">
        <v>8.683799</v>
      </c>
    </row>
    <row r="3933">
      <c r="A3933" s="24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5" t="n">
        <v>4.929038</v>
      </c>
    </row>
    <row r="3934">
      <c r="A3934" s="24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5" t="n">
        <v>6.283007</v>
      </c>
    </row>
    <row r="3935">
      <c r="A3935" s="24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5" t="n">
        <v>2.369576</v>
      </c>
    </row>
    <row r="3936">
      <c r="A3936" s="24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5" t="n">
        <v>4.341372</v>
      </c>
    </row>
    <row r="3937">
      <c r="A3937" s="24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5" t="n">
        <v>1.663732</v>
      </c>
    </row>
    <row r="3938">
      <c r="A3938" s="24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5" t="n">
        <v>2.752937</v>
      </c>
    </row>
    <row r="3939">
      <c r="A3939" s="24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5" t="n">
        <v>3.729306</v>
      </c>
    </row>
    <row r="3940">
      <c r="A3940" s="24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5" t="n">
        <v>4.65666</v>
      </c>
    </row>
    <row r="3941">
      <c r="A3941" s="24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5" t="n">
        <v>3.171574</v>
      </c>
    </row>
    <row r="3942">
      <c r="A3942" s="24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5" t="n">
        <v>1.901848</v>
      </c>
    </row>
    <row r="3943">
      <c r="A3943" s="24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5" t="n">
        <v>14.568585</v>
      </c>
    </row>
    <row r="3944">
      <c r="A3944" s="24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5" t="n">
        <v>18.536046</v>
      </c>
    </row>
    <row r="3945">
      <c r="A3945" s="24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5" t="n">
        <v>11.732063</v>
      </c>
    </row>
    <row r="3946">
      <c r="A3946" s="24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5" t="n">
        <v>13.279851</v>
      </c>
    </row>
    <row r="3947">
      <c r="A3947" s="24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5" t="n">
        <v>16.92658</v>
      </c>
    </row>
    <row r="3948">
      <c r="A3948" s="24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5" t="n">
        <v>7.887239</v>
      </c>
    </row>
    <row r="3949">
      <c r="A3949" s="24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5" t="n">
        <v>8.395175</v>
      </c>
    </row>
    <row r="3950">
      <c r="A3950" s="24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5" t="n">
        <v>5.358759</v>
      </c>
    </row>
    <row r="3951">
      <c r="A3951" s="24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5" t="n">
        <v>4.507056</v>
      </c>
    </row>
    <row r="3952">
      <c r="A3952" s="24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5" t="n">
        <v>4.013694</v>
      </c>
    </row>
    <row r="3953">
      <c r="A3953" s="24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5" t="n">
        <v>7.085283</v>
      </c>
    </row>
    <row r="3954">
      <c r="A3954" s="24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5" t="n">
        <v>13.019846</v>
      </c>
    </row>
    <row r="3955">
      <c r="A3955" s="24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5" t="n">
        <v>9.990899000000001</v>
      </c>
    </row>
    <row r="3956">
      <c r="A3956" s="24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5" t="n">
        <v>7.163141</v>
      </c>
    </row>
    <row r="3957">
      <c r="A3957" s="24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5" t="n">
        <v>5.268501</v>
      </c>
    </row>
    <row r="3958">
      <c r="A3958" s="24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5" t="n">
        <v>4.414683</v>
      </c>
    </row>
    <row r="3959">
      <c r="A3959" s="24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5" t="n">
        <v>7.18033</v>
      </c>
    </row>
    <row r="3960">
      <c r="A3960" s="24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5" t="n">
        <v>8.549075999999999</v>
      </c>
    </row>
    <row r="3961">
      <c r="A3961" s="24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5" t="n">
        <v>5.104493</v>
      </c>
    </row>
    <row r="3962">
      <c r="A3962" s="24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5" t="n">
        <v>4.012399</v>
      </c>
    </row>
    <row r="3963">
      <c r="A3963" s="24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5" t="n">
        <v>15.434326</v>
      </c>
    </row>
    <row r="3964">
      <c r="A3964" s="24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5" t="n">
        <v>19.313051</v>
      </c>
    </row>
    <row r="3965">
      <c r="A3965" s="24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5" t="n">
        <v>24.870931</v>
      </c>
    </row>
    <row r="3966">
      <c r="A3966" s="24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5" t="n">
        <v>33.613379</v>
      </c>
    </row>
    <row r="3967">
      <c r="A3967" s="24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5" t="n">
        <v>42.391675</v>
      </c>
    </row>
    <row r="3968">
      <c r="A3968" s="24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5" t="n">
        <v>45.974119</v>
      </c>
    </row>
    <row r="3969">
      <c r="A3969" s="24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5" t="n">
        <v>40.746028</v>
      </c>
    </row>
    <row r="3970">
      <c r="A3970" s="24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5" t="n">
        <v>25.941552</v>
      </c>
    </row>
    <row r="3971">
      <c r="A3971" s="24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5" t="n">
        <v>22.561819</v>
      </c>
    </row>
    <row r="3972">
      <c r="A3972" s="24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5" t="n">
        <v>15.217216</v>
      </c>
    </row>
    <row r="3973">
      <c r="A3973" s="24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5" t="n">
        <v>13.067876</v>
      </c>
    </row>
    <row r="3974">
      <c r="A3974" s="24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5" t="n">
        <v>10.489448</v>
      </c>
    </row>
    <row r="3975">
      <c r="A3975" s="24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5" t="n">
        <v>7.756191</v>
      </c>
    </row>
    <row r="3976">
      <c r="A3976" s="24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5" t="n">
        <v>7.882262</v>
      </c>
    </row>
    <row r="3977">
      <c r="A3977" s="24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5" t="n">
        <v>4.79913</v>
      </c>
    </row>
    <row r="3978">
      <c r="A3978" s="24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5" t="n">
        <v>6.07035</v>
      </c>
    </row>
    <row r="3979">
      <c r="A3979" s="24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5" t="n">
        <v>3.240162</v>
      </c>
    </row>
    <row r="3980">
      <c r="A3980" s="24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5" t="n">
        <v>4.603947</v>
      </c>
    </row>
    <row r="3981">
      <c r="A3981" s="24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5" t="n">
        <v>2.484538</v>
      </c>
    </row>
    <row r="3982">
      <c r="A3982" s="24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5" t="n">
        <v>4.797875</v>
      </c>
    </row>
    <row r="3983">
      <c r="A3983" s="24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5" t="n">
        <v>4.193351</v>
      </c>
    </row>
    <row r="3984">
      <c r="A3984" s="24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5" t="n">
        <v>4.560995</v>
      </c>
    </row>
    <row r="3985">
      <c r="A3985" s="24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5" t="n">
        <v>9.968234000000001</v>
      </c>
    </row>
    <row r="3986">
      <c r="A3986" s="24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5" t="n">
        <v>14.190148</v>
      </c>
    </row>
    <row r="3987">
      <c r="A3987" s="24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5" t="n">
        <v>12.668001</v>
      </c>
    </row>
    <row r="3988">
      <c r="A3988" s="24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5" t="n">
        <v>9.167927000000001</v>
      </c>
    </row>
    <row r="3989">
      <c r="A3989" s="24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5" t="n">
        <v>7.547875</v>
      </c>
    </row>
    <row r="3990">
      <c r="A3990" s="24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5" t="n">
        <v>4.765245</v>
      </c>
    </row>
    <row r="3991">
      <c r="A3991" s="24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5" t="n">
        <v>5.01916</v>
      </c>
    </row>
    <row r="3992">
      <c r="A3992" s="24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5" t="n">
        <v>4.996828</v>
      </c>
    </row>
    <row r="3993">
      <c r="A3993" s="24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5" t="n">
        <v>6.529299</v>
      </c>
    </row>
    <row r="3994">
      <c r="A3994" s="24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5" t="n">
        <v>3.531086</v>
      </c>
    </row>
    <row r="3995">
      <c r="A3995" s="24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5" t="n">
        <v>6.221663</v>
      </c>
    </row>
    <row r="3996">
      <c r="A3996" s="24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5" t="n">
        <v>22.170143</v>
      </c>
    </row>
    <row r="3997">
      <c r="A3997" s="24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5" t="n">
        <v>41.284162</v>
      </c>
    </row>
    <row r="3998">
      <c r="A3998" s="24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5" t="n">
        <v>43.32355</v>
      </c>
    </row>
    <row r="3999">
      <c r="A3999" s="24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5" t="n">
        <v>39.739685</v>
      </c>
    </row>
    <row r="4000">
      <c r="A4000" s="24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5" t="n">
        <v>37.554047</v>
      </c>
    </row>
    <row r="4001">
      <c r="A4001" s="24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5" t="n">
        <v>42.413932</v>
      </c>
    </row>
    <row r="4002">
      <c r="A4002" s="24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5" t="n">
        <v>44.955194</v>
      </c>
    </row>
    <row r="4003">
      <c r="A4003" s="24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5" t="n">
        <v>31.670696</v>
      </c>
    </row>
    <row r="4004">
      <c r="A4004" s="24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5" t="n">
        <v>23.21361</v>
      </c>
    </row>
    <row r="4005">
      <c r="A4005" s="24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5" t="n">
        <v>19.494644</v>
      </c>
    </row>
    <row r="4006">
      <c r="A4006" s="24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5" t="n">
        <v>13.369657</v>
      </c>
    </row>
    <row r="4007">
      <c r="A4007" s="24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5" t="n">
        <v>12.536838</v>
      </c>
    </row>
    <row r="4008">
      <c r="A4008" s="24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5" t="n">
        <v>8.963512</v>
      </c>
    </row>
    <row r="4009">
      <c r="A4009" s="24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5" t="n">
        <v>8.148034000000001</v>
      </c>
    </row>
    <row r="4010">
      <c r="A4010" s="24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5" t="n">
        <v>6.726542</v>
      </c>
    </row>
    <row r="4011">
      <c r="A4011" s="24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5" t="n">
        <v>5.352918</v>
      </c>
    </row>
    <row r="4012">
      <c r="A4012" s="24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5" t="n">
        <v>5.342533</v>
      </c>
    </row>
    <row r="4013">
      <c r="A4013" s="24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5" t="n">
        <v>9.996157999999999</v>
      </c>
    </row>
    <row r="4014">
      <c r="A4014" s="24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5" t="n">
        <v>13.376319</v>
      </c>
    </row>
    <row r="4015">
      <c r="A4015" s="24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5" t="n">
        <v>7.273754</v>
      </c>
    </row>
    <row r="4016">
      <c r="A4016" s="24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5" t="n">
        <v>6.604183</v>
      </c>
    </row>
    <row r="4017">
      <c r="A4017" s="24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5" t="n">
        <v>5.26552</v>
      </c>
    </row>
    <row r="4018">
      <c r="A4018" s="24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5" t="n">
        <v>15.633659</v>
      </c>
    </row>
    <row r="4019">
      <c r="A4019" s="24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5" t="n">
        <v>20.595224</v>
      </c>
    </row>
    <row r="4020">
      <c r="A4020" s="24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5" t="n">
        <v>11.238797</v>
      </c>
    </row>
    <row r="4021">
      <c r="A4021" s="24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5" t="n">
        <v>8.809177999999999</v>
      </c>
    </row>
    <row r="4022">
      <c r="A4022" s="24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5" t="n">
        <v>20.172552</v>
      </c>
    </row>
    <row r="4023">
      <c r="A4023" s="24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5" t="n">
        <v>26.655473</v>
      </c>
    </row>
    <row r="4024">
      <c r="A4024" s="24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5" t="n">
        <v>20.540968</v>
      </c>
    </row>
    <row r="4025">
      <c r="A4025" s="24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5" t="n">
        <v>12.629631</v>
      </c>
    </row>
    <row r="4026">
      <c r="A4026" s="24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5" t="n">
        <v>24.690602</v>
      </c>
    </row>
    <row r="4027">
      <c r="A4027" s="24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5" t="n">
        <v>30.752466</v>
      </c>
    </row>
    <row r="4028">
      <c r="A4028" s="24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5" t="n">
        <v>24.111545</v>
      </c>
    </row>
    <row r="4029">
      <c r="A4029" s="24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5" t="n">
        <v>19.608375</v>
      </c>
    </row>
    <row r="4030">
      <c r="A4030" s="24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5" t="n">
        <v>17.098456</v>
      </c>
    </row>
    <row r="4031">
      <c r="A4031" s="24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5" t="n">
        <v>21.531157</v>
      </c>
    </row>
    <row r="4032">
      <c r="A4032" s="24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5" t="n">
        <v>22.829819</v>
      </c>
    </row>
    <row r="4033">
      <c r="A4033" s="24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5" t="n">
        <v>16.474018</v>
      </c>
    </row>
    <row r="4034">
      <c r="A4034" s="24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5" t="n">
        <v>16.378833</v>
      </c>
    </row>
    <row r="4035">
      <c r="A4035" s="24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5" t="n">
        <v>29.296076</v>
      </c>
    </row>
    <row r="4036">
      <c r="A4036" s="24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5" t="n">
        <v>30.227215</v>
      </c>
    </row>
    <row r="4037">
      <c r="A4037" s="24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5" t="n">
        <v>41.072785</v>
      </c>
    </row>
    <row r="4038">
      <c r="A4038" s="24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5" t="n">
        <v>39.656675</v>
      </c>
    </row>
    <row r="4039">
      <c r="A4039" s="24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5" t="n">
        <v>39.672314</v>
      </c>
    </row>
    <row r="4040">
      <c r="A4040" s="24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5" t="n">
        <v>34.410099</v>
      </c>
    </row>
    <row r="4041">
      <c r="A4041" s="24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5" t="n">
        <v>29.95711</v>
      </c>
    </row>
    <row r="4042">
      <c r="A4042" s="24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5" t="n">
        <v>28.878827</v>
      </c>
    </row>
    <row r="4043">
      <c r="A4043" s="24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5" t="n">
        <v>34.227344</v>
      </c>
    </row>
    <row r="4044">
      <c r="A4044" s="24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5" t="n">
        <v>43.473223</v>
      </c>
    </row>
    <row r="4045">
      <c r="A4045" s="24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5" t="n">
        <v>57.445483</v>
      </c>
    </row>
    <row r="4046">
      <c r="A4046" s="24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5" t="n">
        <v>61.386462</v>
      </c>
    </row>
    <row r="4047">
      <c r="A4047" s="24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5" t="n">
        <v>48.891383</v>
      </c>
    </row>
    <row r="4048">
      <c r="A4048" s="24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5" t="n">
        <v>35.320671</v>
      </c>
    </row>
    <row r="4049">
      <c r="A4049" s="24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5" t="n">
        <v>25.00014</v>
      </c>
    </row>
    <row r="4050">
      <c r="A4050" s="24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5" t="n">
        <v>23.165854</v>
      </c>
    </row>
    <row r="4051">
      <c r="A4051" s="24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5" t="n">
        <v>14.479337</v>
      </c>
    </row>
    <row r="4052">
      <c r="A4052" s="24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5" t="n">
        <v>16.956023</v>
      </c>
    </row>
    <row r="4053">
      <c r="A4053" s="24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5" t="n">
        <v>11.212124</v>
      </c>
    </row>
    <row r="4054">
      <c r="A4054" s="24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5" t="n">
        <v>18.201813</v>
      </c>
    </row>
    <row r="4055">
      <c r="A4055" s="24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5" t="n">
        <v>23.706428</v>
      </c>
    </row>
    <row r="4056">
      <c r="A4056" s="24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5" t="n">
        <v>21.877715</v>
      </c>
    </row>
    <row r="4057">
      <c r="A4057" s="24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5" t="n">
        <v>14.733235</v>
      </c>
    </row>
    <row r="4058">
      <c r="A4058" s="24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5" t="n">
        <v>13.16993</v>
      </c>
    </row>
    <row r="4059">
      <c r="A4059" s="24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5" t="n">
        <v>11.735273</v>
      </c>
    </row>
    <row r="4060">
      <c r="A4060" s="24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5" t="n">
        <v>7.758634</v>
      </c>
    </row>
    <row r="4061">
      <c r="A4061" s="24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5" t="n">
        <v>11.445846</v>
      </c>
    </row>
    <row r="4062">
      <c r="A4062" s="24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5" t="n">
        <v>9.190664</v>
      </c>
    </row>
    <row r="4063">
      <c r="A4063" s="24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5" t="n">
        <v>8.613519999999999</v>
      </c>
    </row>
    <row r="4064">
      <c r="A4064" s="24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5" t="n">
        <v>4.81473</v>
      </c>
    </row>
    <row r="4065">
      <c r="A4065" s="24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5" t="n">
        <v>6.447541</v>
      </c>
    </row>
    <row r="4066">
      <c r="A4066" s="24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5" t="n">
        <v>5.791376</v>
      </c>
    </row>
    <row r="4067">
      <c r="A4067" s="24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5" t="n">
        <v>23.942234</v>
      </c>
    </row>
    <row r="4068">
      <c r="A4068" s="24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5" t="n">
        <v>34.717791</v>
      </c>
    </row>
    <row r="4069">
      <c r="A4069" s="24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5" t="n">
        <v>27.618312</v>
      </c>
    </row>
    <row r="4070">
      <c r="A4070" s="24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5" t="n">
        <v>17.067896</v>
      </c>
    </row>
    <row r="4071">
      <c r="A4071" s="24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5" t="n">
        <v>14.781559</v>
      </c>
    </row>
    <row r="4072">
      <c r="A4072" s="24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5" t="n">
        <v>14.766236</v>
      </c>
    </row>
    <row r="4073">
      <c r="A4073" s="24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5" t="n">
        <v>14.743562</v>
      </c>
    </row>
    <row r="4074">
      <c r="A4074" s="24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5" t="n">
        <v>10.425098</v>
      </c>
    </row>
    <row r="4075">
      <c r="A4075" s="24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5" t="n">
        <v>7.402456</v>
      </c>
    </row>
    <row r="4076">
      <c r="A4076" s="24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5" t="n">
        <v>7.609529</v>
      </c>
    </row>
    <row r="4077">
      <c r="A4077" s="24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5" t="n">
        <v>4.245932</v>
      </c>
    </row>
    <row r="4078">
      <c r="A4078" s="24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5" t="n">
        <v>5.626501</v>
      </c>
    </row>
    <row r="4079">
      <c r="A4079" s="24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5" t="n">
        <v>2.81766</v>
      </c>
    </row>
    <row r="4080">
      <c r="A4080" s="24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5" t="n">
        <v>4.103756</v>
      </c>
    </row>
    <row r="4081">
      <c r="A4081" s="24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5" t="n">
        <v>2.153932</v>
      </c>
    </row>
    <row r="4082">
      <c r="A4082" s="24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5" t="n">
        <v>2.944276</v>
      </c>
    </row>
    <row r="4083">
      <c r="A4083" s="24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5" t="n">
        <v>1.809906</v>
      </c>
    </row>
    <row r="4084">
      <c r="A4084" s="24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5" t="n">
        <v>2.087473</v>
      </c>
    </row>
    <row r="4085">
      <c r="A4085" s="24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5" t="n">
        <v>1.583281</v>
      </c>
    </row>
    <row r="4086">
      <c r="A4086" s="24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5" t="n">
        <v>8.947632</v>
      </c>
    </row>
    <row r="4087">
      <c r="A4087" s="24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5" t="n">
        <v>14.294986</v>
      </c>
    </row>
    <row r="4088">
      <c r="A4088" s="24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5" t="n">
        <v>15.527044</v>
      </c>
    </row>
    <row r="4089">
      <c r="A4089" s="24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5" t="n">
        <v>30.264654</v>
      </c>
    </row>
    <row r="4090">
      <c r="A4090" s="24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5" t="n">
        <v>38.634392</v>
      </c>
    </row>
    <row r="4091">
      <c r="A4091" s="24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5" t="n">
        <v>35.983883</v>
      </c>
    </row>
    <row r="4092">
      <c r="A4092" s="24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5" t="n">
        <v>46.50265</v>
      </c>
    </row>
    <row r="4093">
      <c r="A4093" s="24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5" t="n">
        <v>53.407313</v>
      </c>
    </row>
    <row r="4094">
      <c r="A4094" s="24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5" t="n">
        <v>42.042421</v>
      </c>
    </row>
    <row r="4095">
      <c r="A4095" s="24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5" t="n">
        <v>42.628099</v>
      </c>
    </row>
    <row r="4096">
      <c r="A4096" s="24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5" t="n">
        <v>39.968526</v>
      </c>
    </row>
    <row r="4097">
      <c r="A4097" s="24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5" t="n">
        <v>35.68673</v>
      </c>
    </row>
    <row r="4098">
      <c r="A4098" s="24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5" t="n">
        <v>33.916313</v>
      </c>
    </row>
    <row r="4099">
      <c r="A4099" s="24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5" t="n">
        <v>26.630313</v>
      </c>
    </row>
    <row r="4100">
      <c r="A4100" s="24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5" t="n">
        <v>30.755815</v>
      </c>
    </row>
    <row r="4101">
      <c r="A4101" s="24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5" t="n">
        <v>42.469588</v>
      </c>
    </row>
    <row r="4102">
      <c r="A4102" s="24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5" t="n">
        <v>28.969205</v>
      </c>
    </row>
    <row r="4103">
      <c r="A4103" s="24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5" t="n">
        <v>23.110644</v>
      </c>
    </row>
    <row r="4104">
      <c r="A4104" s="24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5" t="n">
        <v>22.431112</v>
      </c>
    </row>
    <row r="4105">
      <c r="A4105" s="24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5" t="n">
        <v>28.379368</v>
      </c>
    </row>
    <row r="4106">
      <c r="A4106" s="24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5" t="n">
        <v>29.072874</v>
      </c>
    </row>
    <row r="4107">
      <c r="A4107" s="24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5" t="n">
        <v>29.682116</v>
      </c>
    </row>
    <row r="4108">
      <c r="A4108" s="24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5" t="n">
        <v>33.544487</v>
      </c>
    </row>
    <row r="4109">
      <c r="A4109" s="24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5" t="n">
        <v>22.079066</v>
      </c>
    </row>
    <row r="4110">
      <c r="A4110" s="24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5" t="n">
        <v>16.491462</v>
      </c>
    </row>
    <row r="4111">
      <c r="A4111" s="24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5" t="n">
        <v>19.261982</v>
      </c>
    </row>
    <row r="4112">
      <c r="A4112" s="24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5" t="n">
        <v>20.393753</v>
      </c>
    </row>
    <row r="4113">
      <c r="A4113" s="24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5" t="n">
        <v>20.534457</v>
      </c>
    </row>
    <row r="4114">
      <c r="A4114" s="24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5" t="n">
        <v>13.9294</v>
      </c>
    </row>
    <row r="4115">
      <c r="A4115" s="24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5" t="n">
        <v>21.52838</v>
      </c>
    </row>
    <row r="4116">
      <c r="A4116" s="24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5" t="n">
        <v>23.841158</v>
      </c>
    </row>
    <row r="4117">
      <c r="A4117" s="24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5" t="n">
        <v>16.169745</v>
      </c>
    </row>
    <row r="4118">
      <c r="A4118" s="24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5" t="n">
        <v>12.352656</v>
      </c>
    </row>
    <row r="4119">
      <c r="A4119" s="24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5" t="n">
        <v>10.409417</v>
      </c>
    </row>
    <row r="4120">
      <c r="A4120" s="24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5" t="n">
        <v>7.721588</v>
      </c>
    </row>
    <row r="4121">
      <c r="A4121" s="24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5" t="n">
        <v>6.977948</v>
      </c>
    </row>
    <row r="4122">
      <c r="A4122" s="24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5" t="n">
        <v>5.52504</v>
      </c>
    </row>
    <row r="4123">
      <c r="A4123" s="24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5" t="n">
        <v>4.764372</v>
      </c>
    </row>
    <row r="4124">
      <c r="A4124" s="24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5" t="n">
        <v>4.250171</v>
      </c>
    </row>
    <row r="4125">
      <c r="A4125" s="24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5" t="n">
        <v>3.365082</v>
      </c>
    </row>
    <row r="4126">
      <c r="A4126" s="24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5" t="n">
        <v>3.337477</v>
      </c>
    </row>
    <row r="4127">
      <c r="A4127" s="24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5" t="n">
        <v>2.509074</v>
      </c>
    </row>
    <row r="4128">
      <c r="A4128" s="24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5" t="n">
        <v>2.595801</v>
      </c>
    </row>
    <row r="4129">
      <c r="A4129" s="24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5" t="n">
        <v>1.990799</v>
      </c>
    </row>
    <row r="4130">
      <c r="A4130" s="24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5" t="n">
        <v>7.879199</v>
      </c>
    </row>
    <row r="4131">
      <c r="A4131" s="24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5" t="n">
        <v>10.091851</v>
      </c>
    </row>
    <row r="4132">
      <c r="A4132" s="24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5" t="n">
        <v>5.788087</v>
      </c>
    </row>
    <row r="4133">
      <c r="A4133" s="24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5" t="n">
        <v>4.424843</v>
      </c>
    </row>
    <row r="4134">
      <c r="A4134" s="24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5" t="n">
        <v>4.058255</v>
      </c>
    </row>
    <row r="4135">
      <c r="A4135" s="24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5" t="n">
        <v>2.492391</v>
      </c>
    </row>
    <row r="4136">
      <c r="A4136" s="24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5" t="n">
        <v>6.932545</v>
      </c>
    </row>
    <row r="4137">
      <c r="A4137" s="24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5" t="n">
        <v>18.050491</v>
      </c>
    </row>
    <row r="4138">
      <c r="A4138" s="24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5" t="n">
        <v>19.547074</v>
      </c>
    </row>
    <row r="4139">
      <c r="A4139" s="24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5" t="n">
        <v>21.716355</v>
      </c>
    </row>
    <row r="4140">
      <c r="A4140" s="24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5" t="n">
        <v>29.807157</v>
      </c>
    </row>
    <row r="4141">
      <c r="A4141" s="24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5" t="n">
        <v>23.970312</v>
      </c>
    </row>
    <row r="4142">
      <c r="A4142" s="24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5" t="n">
        <v>27.7489</v>
      </c>
    </row>
    <row r="4143">
      <c r="A4143" s="24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5" t="n">
        <v>37.784138</v>
      </c>
    </row>
    <row r="4144">
      <c r="A4144" s="24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5" t="n">
        <v>38.11803</v>
      </c>
    </row>
    <row r="4145">
      <c r="A4145" s="24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5" t="n">
        <v>44.145038</v>
      </c>
    </row>
    <row r="4146">
      <c r="A4146" s="24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5" t="n">
        <v>34.526902</v>
      </c>
    </row>
    <row r="4147">
      <c r="A4147" s="24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5" t="n">
        <v>35.706693</v>
      </c>
    </row>
    <row r="4148">
      <c r="A4148" s="24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5" t="n">
        <v>47.9328</v>
      </c>
    </row>
    <row r="4149">
      <c r="A4149" s="24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5" t="n">
        <v>36.389083</v>
      </c>
    </row>
    <row r="4150">
      <c r="A4150" s="24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5" t="n">
        <v>29.058605</v>
      </c>
    </row>
    <row r="4151">
      <c r="A4151" s="24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5" t="n">
        <v>22.733382</v>
      </c>
    </row>
    <row r="4152">
      <c r="A4152" s="24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5" t="n">
        <v>18.635661</v>
      </c>
    </row>
    <row r="4153">
      <c r="A4153" s="24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5" t="n">
        <v>20.600839</v>
      </c>
    </row>
    <row r="4154">
      <c r="A4154" s="24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5" t="n">
        <v>18.705526</v>
      </c>
    </row>
    <row r="4155">
      <c r="A4155" s="24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5" t="n">
        <v>13.394804</v>
      </c>
    </row>
    <row r="4156">
      <c r="A4156" s="24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5" t="n">
        <v>10.767783</v>
      </c>
    </row>
    <row r="4157">
      <c r="A4157" s="24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5" t="n">
        <v>9.210457</v>
      </c>
    </row>
    <row r="4158">
      <c r="A4158" s="24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5" t="n">
        <v>12.891718</v>
      </c>
    </row>
    <row r="4159">
      <c r="A4159" s="24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5" t="n">
        <v>20.271194</v>
      </c>
    </row>
    <row r="4160">
      <c r="A4160" s="24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5" t="n">
        <v>16.939335</v>
      </c>
    </row>
    <row r="4161">
      <c r="A4161" s="24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5" t="n">
        <v>11.692726</v>
      </c>
    </row>
    <row r="4162">
      <c r="A4162" s="24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5" t="n">
        <v>9.480473</v>
      </c>
    </row>
    <row r="4163">
      <c r="A4163" s="24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5" t="n">
        <v>7.547121</v>
      </c>
    </row>
    <row r="4164">
      <c r="A4164" s="24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5" t="n">
        <v>20.527746</v>
      </c>
    </row>
    <row r="4165">
      <c r="A4165" s="24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5" t="n">
        <v>94.139948</v>
      </c>
    </row>
    <row r="4166">
      <c r="A4166" s="24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5" t="n">
        <v>153.077353</v>
      </c>
    </row>
    <row r="4167">
      <c r="A4167" s="24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5" t="n">
        <v>105.199533</v>
      </c>
    </row>
    <row r="4168">
      <c r="A4168" s="24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5" t="n">
        <v>63.245492</v>
      </c>
    </row>
    <row r="4169">
      <c r="A4169" s="24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5" t="n">
        <v>74.90097900000001</v>
      </c>
    </row>
    <row r="4170">
      <c r="A4170" s="24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5" t="n">
        <v>70.85276</v>
      </c>
    </row>
    <row r="4171">
      <c r="A4171" s="24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5" t="n">
        <v>70.62485700000001</v>
      </c>
    </row>
    <row r="4172">
      <c r="A4172" s="24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5" t="n">
        <v>59.318501</v>
      </c>
    </row>
    <row r="4173">
      <c r="A4173" s="24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5" t="n">
        <v>38.854566</v>
      </c>
    </row>
    <row r="4174">
      <c r="A4174" s="24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5" t="n">
        <v>33.432382</v>
      </c>
    </row>
    <row r="4175">
      <c r="A4175" s="24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5" t="n">
        <v>24.433018</v>
      </c>
    </row>
    <row r="4176">
      <c r="A4176" s="24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5" t="n">
        <v>25.336864</v>
      </c>
    </row>
    <row r="4177">
      <c r="A4177" s="24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5" t="n">
        <v>39.919142</v>
      </c>
    </row>
    <row r="4178">
      <c r="A4178" s="24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5" t="n">
        <v>56.321559</v>
      </c>
    </row>
    <row r="4179">
      <c r="A4179" s="24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5" t="n">
        <v>63.203429</v>
      </c>
    </row>
    <row r="4180">
      <c r="A4180" s="24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5" t="n">
        <v>95.808172</v>
      </c>
    </row>
    <row r="4181">
      <c r="A4181" s="24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5" t="n">
        <v>139.992456</v>
      </c>
    </row>
    <row r="4182">
      <c r="A4182" s="24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5" t="n">
        <v>133.267376</v>
      </c>
    </row>
    <row r="4183">
      <c r="A4183" s="24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5" t="n">
        <v>110.411541</v>
      </c>
    </row>
    <row r="4184">
      <c r="A4184" s="24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5" t="n">
        <v>91.720929</v>
      </c>
    </row>
    <row r="4185">
      <c r="A4185" s="24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5" t="n">
        <v>69.488257</v>
      </c>
    </row>
    <row r="4186">
      <c r="A4186" s="24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5" t="n">
        <v>56.363715</v>
      </c>
    </row>
    <row r="4187">
      <c r="A4187" s="24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5" t="n">
        <v>44.337385</v>
      </c>
    </row>
    <row r="4188">
      <c r="A4188" s="24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5" t="n">
        <v>32.990669</v>
      </c>
    </row>
    <row r="4189">
      <c r="A4189" s="24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5" t="n">
        <v>27.287801</v>
      </c>
    </row>
    <row r="4190">
      <c r="A4190" s="24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5" t="n">
        <v>33.875768</v>
      </c>
    </row>
    <row r="4191">
      <c r="A4191" s="24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5" t="n">
        <v>39.722215</v>
      </c>
    </row>
    <row r="4192">
      <c r="A4192" s="24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5" t="n">
        <v>29.40769</v>
      </c>
    </row>
    <row r="4193">
      <c r="A4193" s="24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5" t="n">
        <v>21.64739</v>
      </c>
    </row>
    <row r="4194">
      <c r="A4194" s="24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5" t="n">
        <v>28.55329</v>
      </c>
    </row>
    <row r="4195">
      <c r="A4195" s="24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5" t="n">
        <v>39.239484</v>
      </c>
    </row>
    <row r="4196">
      <c r="A4196" s="24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5" t="n">
        <v>43.767615</v>
      </c>
    </row>
    <row r="4197">
      <c r="A4197" s="24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5" t="n">
        <v>32.124131</v>
      </c>
    </row>
    <row r="4198">
      <c r="A4198" s="24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5" t="n">
        <v>26.370294</v>
      </c>
    </row>
    <row r="4199">
      <c r="A4199" s="24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5" t="n">
        <v>20.777691</v>
      </c>
    </row>
    <row r="4200">
      <c r="A4200" s="24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5" t="n">
        <v>16.795543</v>
      </c>
    </row>
    <row r="4201">
      <c r="A4201" s="24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5" t="n">
        <v>26.183803</v>
      </c>
    </row>
    <row r="4202">
      <c r="A4202" s="24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5" t="n">
        <v>34.90498</v>
      </c>
    </row>
    <row r="4203">
      <c r="A4203" s="24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5" t="n">
        <v>35.186061</v>
      </c>
    </row>
    <row r="4204">
      <c r="A4204" s="24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5" t="n">
        <v>35.220736</v>
      </c>
    </row>
    <row r="4205">
      <c r="A4205" s="24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5" t="n">
        <v>28.144994</v>
      </c>
    </row>
    <row r="4206">
      <c r="A4206" s="24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5" t="n">
        <v>18.659917</v>
      </c>
    </row>
    <row r="4207">
      <c r="A4207" s="24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5" t="n">
        <v>17.27928</v>
      </c>
    </row>
    <row r="4208">
      <c r="A4208" s="24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5" t="n">
        <v>11.70732</v>
      </c>
    </row>
    <row r="4209">
      <c r="A4209" s="24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5" t="n">
        <v>11.216792</v>
      </c>
    </row>
    <row r="4210">
      <c r="A4210" s="24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5" t="n">
        <v>8.414059</v>
      </c>
    </row>
    <row r="4211">
      <c r="A4211" s="24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5" t="n">
        <v>8.119415999999999</v>
      </c>
    </row>
    <row r="4212">
      <c r="A4212" s="24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5" t="n">
        <v>7.514947</v>
      </c>
    </row>
    <row r="4213">
      <c r="A4213" s="24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5" t="n">
        <v>5.864024</v>
      </c>
    </row>
    <row r="4214">
      <c r="A4214" s="24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5" t="n">
        <v>14.049349</v>
      </c>
    </row>
    <row r="4215">
      <c r="A4215" s="24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5" t="n">
        <v>19.354289</v>
      </c>
    </row>
    <row r="4216">
      <c r="A4216" s="24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5" t="n">
        <v>30.952134</v>
      </c>
    </row>
    <row r="4217">
      <c r="A4217" s="24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5" t="n">
        <v>39.291767</v>
      </c>
    </row>
    <row r="4218">
      <c r="A4218" s="24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5" t="n">
        <v>45.175027</v>
      </c>
    </row>
    <row r="4219">
      <c r="A4219" s="24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5" t="n">
        <v>54.638962</v>
      </c>
    </row>
    <row r="4220">
      <c r="A4220" s="24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5" t="n">
        <v>64.560372</v>
      </c>
    </row>
    <row r="4221">
      <c r="A4221" s="24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5" t="n">
        <v>130.890417</v>
      </c>
    </row>
    <row r="4222">
      <c r="A4222" s="24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5" t="n">
        <v>214.36219</v>
      </c>
    </row>
    <row r="4223">
      <c r="A4223" s="24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5" t="n">
        <v>165.270759</v>
      </c>
    </row>
    <row r="4224">
      <c r="A4224" s="24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5" t="n">
        <v>90.986874</v>
      </c>
    </row>
    <row r="4225">
      <c r="A4225" s="24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5" t="n">
        <v>85.81338700000001</v>
      </c>
    </row>
    <row r="4226">
      <c r="A4226" s="24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5" t="n">
        <v>79.740206</v>
      </c>
    </row>
    <row r="4227">
      <c r="A4227" s="24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5" t="n">
        <v>79.460037</v>
      </c>
    </row>
    <row r="4228">
      <c r="A4228" s="24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5" t="n">
        <v>67.713064</v>
      </c>
    </row>
    <row r="4229">
      <c r="A4229" s="24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5" t="n">
        <v>48.097625</v>
      </c>
    </row>
    <row r="4230">
      <c r="A4230" s="24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5" t="n">
        <v>38.42676</v>
      </c>
    </row>
    <row r="4231">
      <c r="A4231" s="24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5" t="n">
        <v>30.124433</v>
      </c>
    </row>
    <row r="4232">
      <c r="A4232" s="24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5" t="n">
        <v>23.946734</v>
      </c>
    </row>
    <row r="4233">
      <c r="A4233" s="24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5" t="n">
        <v>20.372026</v>
      </c>
    </row>
    <row r="4234">
      <c r="A4234" s="24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5" t="n">
        <v>16.072492</v>
      </c>
    </row>
    <row r="4235">
      <c r="A4235" s="24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5" t="n">
        <v>14.442261</v>
      </c>
    </row>
    <row r="4236">
      <c r="A4236" s="24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5" t="n">
        <v>24.94306</v>
      </c>
    </row>
    <row r="4237">
      <c r="A4237" s="24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5" t="n">
        <v>37.345322</v>
      </c>
    </row>
    <row r="4238">
      <c r="A4238" s="24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5" t="n">
        <v>29.018626</v>
      </c>
    </row>
    <row r="4239">
      <c r="A4239" s="24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5" t="n">
        <v>19.819299</v>
      </c>
    </row>
    <row r="4240">
      <c r="A4240" s="24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5" t="n">
        <v>30.939134</v>
      </c>
    </row>
    <row r="4241">
      <c r="A4241" s="24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5" t="n">
        <v>48.463108</v>
      </c>
    </row>
    <row r="4242">
      <c r="A4242" s="24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5" t="n">
        <v>59.112174</v>
      </c>
    </row>
    <row r="4243">
      <c r="A4243" s="24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5" t="n">
        <v>60.720104</v>
      </c>
    </row>
    <row r="4244">
      <c r="A4244" s="24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5" t="n">
        <v>65.24646</v>
      </c>
    </row>
    <row r="4245">
      <c r="A4245" s="24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5" t="n">
        <v>62.081011</v>
      </c>
    </row>
    <row r="4246">
      <c r="A4246" s="24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5" t="n">
        <v>49.464308</v>
      </c>
    </row>
    <row r="4247">
      <c r="A4247" s="24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5" t="n">
        <v>34.578202</v>
      </c>
    </row>
    <row r="4248">
      <c r="A4248" s="24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5" t="n">
        <v>27.982659</v>
      </c>
    </row>
    <row r="4249">
      <c r="A4249" s="24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5" t="n">
        <v>22.073672</v>
      </c>
    </row>
    <row r="4250">
      <c r="A4250" s="24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5" t="n">
        <v>17.499606</v>
      </c>
    </row>
    <row r="4251">
      <c r="A4251" s="24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5" t="n">
        <v>15.062286</v>
      </c>
    </row>
    <row r="4252">
      <c r="A4252" s="24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5" t="n">
        <v>11.879909</v>
      </c>
    </row>
    <row r="4253">
      <c r="A4253" s="24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5" t="n">
        <v>10.680735</v>
      </c>
    </row>
    <row r="4254">
      <c r="A4254" s="24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5" t="n">
        <v>8.636727</v>
      </c>
    </row>
    <row r="4255">
      <c r="A4255" s="24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5" t="n">
        <v>7.768721</v>
      </c>
    </row>
    <row r="4256">
      <c r="A4256" s="24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5" t="n">
        <v>6.602088</v>
      </c>
    </row>
    <row r="4257">
      <c r="A4257" s="24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5" t="n">
        <v>10.702485</v>
      </c>
    </row>
    <row r="4258">
      <c r="A4258" s="24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5" t="n">
        <v>12.254709</v>
      </c>
    </row>
    <row r="4259">
      <c r="A4259" s="24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5" t="n">
        <v>7.972655</v>
      </c>
    </row>
    <row r="4260">
      <c r="A4260" s="24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5" t="n">
        <v>6.67337</v>
      </c>
    </row>
    <row r="4261">
      <c r="A4261" s="24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5" t="n">
        <v>5.857446</v>
      </c>
    </row>
    <row r="4262">
      <c r="A4262" s="24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5" t="n">
        <v>7.671946</v>
      </c>
    </row>
    <row r="4263">
      <c r="A4263" s="24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5" t="n">
        <v>17.380729</v>
      </c>
    </row>
    <row r="4264">
      <c r="A4264" s="24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5" t="n">
        <v>17.715701</v>
      </c>
    </row>
    <row r="4265">
      <c r="A4265" s="24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5" t="n">
        <v>10.93087</v>
      </c>
    </row>
    <row r="4266">
      <c r="A4266" s="24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5" t="n">
        <v>8.594545999999999</v>
      </c>
    </row>
    <row r="4267">
      <c r="A4267" s="24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5" t="n">
        <v>7.215562</v>
      </c>
    </row>
    <row r="4268">
      <c r="A4268" s="24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5" t="n">
        <v>5.089933</v>
      </c>
    </row>
    <row r="4269">
      <c r="A4269" s="24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5" t="n">
        <v>17.685912</v>
      </c>
    </row>
    <row r="4270">
      <c r="A4270" s="24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5" t="n">
        <v>25.706251</v>
      </c>
    </row>
    <row r="4271">
      <c r="A4271" s="24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5" t="n">
        <v>18.128586</v>
      </c>
    </row>
    <row r="4272">
      <c r="A4272" s="24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5" t="n">
        <v>11.881548</v>
      </c>
    </row>
    <row r="4273">
      <c r="A4273" s="24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5" t="n">
        <v>10.725024</v>
      </c>
    </row>
    <row r="4274">
      <c r="A4274" s="24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5" t="n">
        <v>6.912387</v>
      </c>
    </row>
    <row r="4275">
      <c r="A4275" s="24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5" t="n">
        <v>6.685095</v>
      </c>
    </row>
    <row r="4276">
      <c r="A4276" s="24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5" t="n">
        <v>5.994984</v>
      </c>
    </row>
    <row r="4277">
      <c r="A4277" s="24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5" t="n">
        <v>6.017503</v>
      </c>
    </row>
    <row r="4278">
      <c r="A4278" s="24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5" t="n">
        <v>15.085012</v>
      </c>
    </row>
    <row r="4279">
      <c r="A4279" s="24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5" t="n">
        <v>18.503106</v>
      </c>
    </row>
    <row r="4280">
      <c r="A4280" s="24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5" t="n">
        <v>23.410314</v>
      </c>
    </row>
    <row r="4281">
      <c r="A4281" s="24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5" t="n">
        <v>26.514222</v>
      </c>
    </row>
    <row r="4282">
      <c r="A4282" s="24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5" t="n">
        <v>18.837774</v>
      </c>
    </row>
    <row r="4283">
      <c r="A4283" s="24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5" t="n">
        <v>11.157101</v>
      </c>
    </row>
    <row r="4284">
      <c r="A4284" s="24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5" t="n">
        <v>23.911099</v>
      </c>
    </row>
    <row r="4285">
      <c r="A4285" s="24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5" t="n">
        <v>22.905853</v>
      </c>
    </row>
    <row r="4286">
      <c r="A4286" s="24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5" t="n">
        <v>16.17724</v>
      </c>
    </row>
    <row r="4287">
      <c r="A4287" s="24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5" t="n">
        <v>10.583777</v>
      </c>
    </row>
    <row r="4288">
      <c r="A4288" s="24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5" t="n">
        <v>10.291113</v>
      </c>
    </row>
    <row r="4289">
      <c r="A4289" s="24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5" t="n">
        <v>6.611608</v>
      </c>
    </row>
    <row r="4290">
      <c r="A4290" s="24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5" t="n">
        <v>6.221076</v>
      </c>
    </row>
    <row r="4291">
      <c r="A4291" s="24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5" t="n">
        <v>7.868901</v>
      </c>
    </row>
    <row r="4292">
      <c r="A4292" s="24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5" t="n">
        <v>7.324114</v>
      </c>
    </row>
    <row r="4293">
      <c r="A4293" s="24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5" t="n">
        <v>6.400674</v>
      </c>
    </row>
    <row r="4294">
      <c r="A4294" s="24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5" t="n">
        <v>3.325328</v>
      </c>
    </row>
    <row r="4295">
      <c r="A4295" s="24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5" t="n">
        <v>5.056189</v>
      </c>
    </row>
    <row r="4296">
      <c r="A4296" s="24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5" t="n">
        <v>1.844098</v>
      </c>
    </row>
    <row r="4297">
      <c r="A4297" s="24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5" t="n">
        <v>3.752554</v>
      </c>
    </row>
    <row r="4298">
      <c r="A4298" s="24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5" t="n">
        <v>1.452621</v>
      </c>
    </row>
    <row r="4299">
      <c r="A4299" s="24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5" t="n">
        <v>2.513621</v>
      </c>
    </row>
    <row r="4300">
      <c r="A4300" s="24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5" t="n">
        <v>1.656519</v>
      </c>
    </row>
    <row r="4301">
      <c r="A4301" s="24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5" t="n">
        <v>1.370926</v>
      </c>
    </row>
    <row r="4302">
      <c r="A4302" s="24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5" t="n">
        <v>1.897248</v>
      </c>
    </row>
    <row r="4303">
      <c r="A4303" s="24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5" t="n">
        <v>0.569346</v>
      </c>
    </row>
    <row r="4304">
      <c r="A4304" s="24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5" t="n">
        <v>1.909893</v>
      </c>
    </row>
    <row r="4305">
      <c r="A4305" s="24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5" t="n">
        <v>0.428624</v>
      </c>
    </row>
    <row r="4306">
      <c r="A4306" s="24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5" t="n">
        <v>1.514344</v>
      </c>
    </row>
    <row r="4307">
      <c r="A4307" s="24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5" t="n">
        <v>0.454278</v>
      </c>
    </row>
    <row r="4308">
      <c r="A4308" s="24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5" t="n">
        <v>1.050604</v>
      </c>
    </row>
    <row r="4309">
      <c r="A4309" s="24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5" t="n">
        <v>0.550915</v>
      </c>
    </row>
    <row r="4310">
      <c r="A4310" s="24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5" t="n">
        <v>0.666112</v>
      </c>
    </row>
    <row r="4311">
      <c r="A4311" s="24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5" t="n">
        <v>0.639151</v>
      </c>
    </row>
    <row r="4312">
      <c r="A4312" s="24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5" t="n">
        <v>7.673824</v>
      </c>
    </row>
    <row r="4313">
      <c r="A4313" s="24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5" t="n">
        <v>11.160459</v>
      </c>
    </row>
    <row r="4314">
      <c r="A4314" s="24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5" t="n">
        <v>7.459684</v>
      </c>
    </row>
    <row r="4315">
      <c r="A4315" s="24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5" t="n">
        <v>7.039299</v>
      </c>
    </row>
    <row r="4316">
      <c r="A4316" s="24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5" t="n">
        <v>5.153879</v>
      </c>
    </row>
    <row r="4317">
      <c r="A4317" s="24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5" t="n">
        <v>3.085462</v>
      </c>
    </row>
    <row r="4318">
      <c r="A4318" s="24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5" t="n">
        <v>3.36502</v>
      </c>
    </row>
    <row r="4319">
      <c r="A4319" s="24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5" t="n">
        <v>1.865781</v>
      </c>
    </row>
    <row r="4320">
      <c r="A4320" s="24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5" t="n">
        <v>1.991737</v>
      </c>
    </row>
    <row r="4321">
      <c r="A4321" s="24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5" t="n">
        <v>13.60179</v>
      </c>
    </row>
    <row r="4322">
      <c r="A4322" s="24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5" t="n">
        <v>19.389625</v>
      </c>
    </row>
    <row r="4323">
      <c r="A4323" s="24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5" t="n">
        <v>11.74697</v>
      </c>
    </row>
    <row r="4324">
      <c r="A4324" s="24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5" t="n">
        <v>11.263423</v>
      </c>
    </row>
    <row r="4325">
      <c r="A4325" s="24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5" t="n">
        <v>13.41272</v>
      </c>
    </row>
    <row r="4326">
      <c r="A4326" s="24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5" t="n">
        <v>6.238452</v>
      </c>
    </row>
    <row r="4327">
      <c r="A4327" s="24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5" t="n">
        <v>7.162552</v>
      </c>
    </row>
    <row r="4328">
      <c r="A4328" s="24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5" t="n">
        <v>4.115862</v>
      </c>
    </row>
    <row r="4329">
      <c r="A4329" s="24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5" t="n">
        <v>4.004096</v>
      </c>
    </row>
    <row r="4330">
      <c r="A4330" s="24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5" t="n">
        <v>3.162976</v>
      </c>
    </row>
    <row r="4331">
      <c r="A4331" s="24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5" t="n">
        <v>2.247794</v>
      </c>
    </row>
    <row r="4332">
      <c r="A4332" s="24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5" t="n">
        <v>5.660433</v>
      </c>
    </row>
    <row r="4333">
      <c r="A4333" s="24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5" t="n">
        <v>5.666305</v>
      </c>
    </row>
    <row r="4334">
      <c r="A4334" s="24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5" t="n">
        <v>4.375943</v>
      </c>
    </row>
    <row r="4335">
      <c r="A4335" s="24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5" t="n">
        <v>2.324177</v>
      </c>
    </row>
    <row r="4336">
      <c r="A4336" s="24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5" t="n">
        <v>3.263523</v>
      </c>
    </row>
    <row r="4337">
      <c r="A4337" s="24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5" t="n">
        <v>1.179075</v>
      </c>
    </row>
    <row r="4338">
      <c r="A4338" s="24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5" t="n">
        <v>2.354596</v>
      </c>
    </row>
    <row r="4339">
      <c r="A4339" s="24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5" t="n">
        <v>0.824593</v>
      </c>
    </row>
    <row r="4340">
      <c r="A4340" s="24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5" t="n">
        <v>1.602797</v>
      </c>
    </row>
    <row r="4341">
      <c r="A4341" s="24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5" t="n">
        <v>1.179247</v>
      </c>
    </row>
    <row r="4342">
      <c r="A4342" s="24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5" t="n">
        <v>1.644674</v>
      </c>
    </row>
    <row r="4343">
      <c r="A4343" s="24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5" t="n">
        <v>1.053219</v>
      </c>
    </row>
    <row r="4344">
      <c r="A4344" s="24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5" t="n">
        <v>10.819004</v>
      </c>
    </row>
    <row r="4345">
      <c r="A4345" s="24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5" t="n">
        <v>15.167008</v>
      </c>
    </row>
    <row r="4346">
      <c r="A4346" s="24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5" t="n">
        <v>7.751715</v>
      </c>
    </row>
    <row r="4347">
      <c r="A4347" s="24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5" t="n">
        <v>5.869656</v>
      </c>
    </row>
    <row r="4348">
      <c r="A4348" s="24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5" t="n">
        <v>5.678034</v>
      </c>
    </row>
    <row r="4349">
      <c r="A4349" s="24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5" t="n">
        <v>5.69242</v>
      </c>
    </row>
    <row r="4350">
      <c r="A4350" s="24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5" t="n">
        <v>7.07168</v>
      </c>
    </row>
    <row r="4351">
      <c r="A4351" s="24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5" t="n">
        <v>3.741313</v>
      </c>
    </row>
    <row r="4352">
      <c r="A4352" s="24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5" t="n">
        <v>3.457164</v>
      </c>
    </row>
    <row r="4353">
      <c r="A4353" s="24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5" t="n">
        <v>2.818159</v>
      </c>
    </row>
    <row r="4354">
      <c r="A4354" s="24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5" t="n">
        <v>5.033584</v>
      </c>
    </row>
    <row r="4355">
      <c r="A4355" s="24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5" t="n">
        <v>6.922646</v>
      </c>
    </row>
    <row r="4356">
      <c r="A4356" s="24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5" t="n">
        <v>3.34577</v>
      </c>
    </row>
    <row r="4357">
      <c r="A4357" s="24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5" t="n">
        <v>3.41929</v>
      </c>
    </row>
    <row r="4358">
      <c r="A4358" s="24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5" t="n">
        <v>2.259499</v>
      </c>
    </row>
    <row r="4359">
      <c r="A4359" s="24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5" t="n">
        <v>2.010105</v>
      </c>
    </row>
    <row r="4360">
      <c r="A4360" s="24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5" t="n">
        <v>1.585358</v>
      </c>
    </row>
    <row r="4361">
      <c r="A4361" s="24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5" t="n">
        <v>1.342829</v>
      </c>
    </row>
    <row r="4362">
      <c r="A4362" s="24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5" t="n">
        <v>14.105827</v>
      </c>
    </row>
    <row r="4363">
      <c r="A4363" s="24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5" t="n">
        <v>24.542667</v>
      </c>
    </row>
    <row r="4364">
      <c r="A4364" s="24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5" t="n">
        <v>17.230836</v>
      </c>
    </row>
    <row r="4365">
      <c r="A4365" s="24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5" t="n">
        <v>10.748177</v>
      </c>
    </row>
    <row r="4366">
      <c r="A4366" s="24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5" t="n">
        <v>9.666354999999999</v>
      </c>
    </row>
    <row r="4367">
      <c r="A4367" s="24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5" t="n">
        <v>5.889401</v>
      </c>
    </row>
    <row r="4368">
      <c r="A4368" s="24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5" t="n">
        <v>15.285726</v>
      </c>
    </row>
    <row r="4369">
      <c r="A4369" s="24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5" t="n">
        <v>25.520943</v>
      </c>
    </row>
    <row r="4370">
      <c r="A4370" s="24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5" t="n">
        <v>36.875696</v>
      </c>
    </row>
    <row r="4371">
      <c r="A4371" s="24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5" t="n">
        <v>34.792878</v>
      </c>
    </row>
    <row r="4372">
      <c r="A4372" s="24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5" t="n">
        <v>21.965918</v>
      </c>
    </row>
    <row r="4373">
      <c r="A4373" s="24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5" t="n">
        <v>15.916604</v>
      </c>
    </row>
    <row r="4374">
      <c r="A4374" s="24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5" t="n">
        <v>13.737126</v>
      </c>
    </row>
    <row r="4375">
      <c r="A4375" s="24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5" t="n">
        <v>8.920636999999999</v>
      </c>
    </row>
    <row r="4376">
      <c r="A4376" s="24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5" t="n">
        <v>8.752843</v>
      </c>
    </row>
    <row r="4377">
      <c r="A4377" s="24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5" t="n">
        <v>6.038178</v>
      </c>
    </row>
    <row r="4378">
      <c r="A4378" s="24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5" t="n">
        <v>5.48878</v>
      </c>
    </row>
    <row r="4379">
      <c r="A4379" s="24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5" t="n">
        <v>6.100103</v>
      </c>
    </row>
    <row r="4380">
      <c r="A4380" s="24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5" t="n">
        <v>5.478024</v>
      </c>
    </row>
    <row r="4381">
      <c r="A4381" s="24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5" t="n">
        <v>14.312618</v>
      </c>
    </row>
    <row r="4382">
      <c r="A4382" s="24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5" t="n">
        <v>16.502191</v>
      </c>
    </row>
    <row r="4383">
      <c r="A4383" s="24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5" t="n">
        <v>17.314163</v>
      </c>
    </row>
    <row r="4384">
      <c r="A4384" s="24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5" t="n">
        <v>16.227526</v>
      </c>
    </row>
    <row r="4385">
      <c r="A4385" s="24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5" t="n">
        <v>12.399744</v>
      </c>
    </row>
    <row r="4386">
      <c r="A4386" s="24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5" t="n">
        <v>9.741527</v>
      </c>
    </row>
    <row r="4387">
      <c r="A4387" s="24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5" t="n">
        <v>13.009966</v>
      </c>
    </row>
    <row r="4388">
      <c r="A4388" s="24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5" t="n">
        <v>7.077581</v>
      </c>
    </row>
    <row r="4389">
      <c r="A4389" s="24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5" t="n">
        <v>14.7144</v>
      </c>
    </row>
    <row r="4390">
      <c r="A4390" s="24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5" t="n">
        <v>19.036454</v>
      </c>
    </row>
    <row r="4391">
      <c r="A4391" s="24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5" t="n">
        <v>15.929555</v>
      </c>
    </row>
    <row r="4392">
      <c r="A4392" s="24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5" t="n">
        <v>18.982572</v>
      </c>
    </row>
    <row r="4393">
      <c r="A4393" s="24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5" t="n">
        <v>24.429961</v>
      </c>
    </row>
    <row r="4394">
      <c r="A4394" s="24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5" t="n">
        <v>25.094196</v>
      </c>
    </row>
    <row r="4395">
      <c r="A4395" s="24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5" t="n">
        <v>32.014948</v>
      </c>
    </row>
    <row r="4396">
      <c r="A4396" s="24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5" t="n">
        <v>34.783563</v>
      </c>
    </row>
    <row r="4397">
      <c r="A4397" s="24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5" t="n">
        <v>20.2536</v>
      </c>
    </row>
    <row r="4398">
      <c r="A4398" s="24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5" t="n">
        <v>21.133222</v>
      </c>
    </row>
    <row r="4399">
      <c r="A4399" s="24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5" t="n">
        <v>26.979531</v>
      </c>
    </row>
    <row r="4400">
      <c r="A4400" s="24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5" t="n">
        <v>37.324178</v>
      </c>
    </row>
    <row r="4401">
      <c r="A4401" s="24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5" t="n">
        <v>52.613492</v>
      </c>
    </row>
    <row r="4402">
      <c r="A4402" s="24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5" t="n">
        <v>45.767885</v>
      </c>
    </row>
    <row r="4403">
      <c r="A4403" s="24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5" t="n">
        <v>31.337719</v>
      </c>
    </row>
    <row r="4404">
      <c r="A4404" s="24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5" t="n">
        <v>24.988534</v>
      </c>
    </row>
    <row r="4405">
      <c r="A4405" s="24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5" t="n">
        <v>21.624309</v>
      </c>
    </row>
    <row r="4406">
      <c r="A4406" s="24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5" t="n">
        <v>26.588162</v>
      </c>
    </row>
    <row r="4407">
      <c r="A4407" s="24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5" t="n">
        <v>34.231643</v>
      </c>
    </row>
    <row r="4408">
      <c r="A4408" s="24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5" t="n">
        <v>28.60782</v>
      </c>
    </row>
    <row r="4409">
      <c r="A4409" s="24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5" t="n">
        <v>19.551152</v>
      </c>
    </row>
    <row r="4410">
      <c r="A4410" s="24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5" t="n">
        <v>15.814528</v>
      </c>
    </row>
    <row r="4411">
      <c r="A4411" s="24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5" t="n">
        <v>12.526022</v>
      </c>
    </row>
    <row r="4412">
      <c r="A4412" s="24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5" t="n">
        <v>9.868743</v>
      </c>
    </row>
    <row r="4413">
      <c r="A4413" s="24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5" t="n">
        <v>16.086845</v>
      </c>
    </row>
    <row r="4414">
      <c r="A4414" s="24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5" t="n">
        <v>31.094139</v>
      </c>
    </row>
    <row r="4415">
      <c r="A4415" s="24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5" t="n">
        <v>39.134798</v>
      </c>
    </row>
    <row r="4416">
      <c r="A4416" s="24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5" t="n">
        <v>44.740788</v>
      </c>
    </row>
    <row r="4417">
      <c r="A4417" s="24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5" t="n">
        <v>51.930947</v>
      </c>
    </row>
    <row r="4418">
      <c r="A4418" s="24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5" t="n">
        <v>39.55231</v>
      </c>
    </row>
    <row r="4419">
      <c r="A4419" s="24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5" t="n">
        <v>27.044421</v>
      </c>
    </row>
    <row r="4420">
      <c r="A4420" s="24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5" t="n">
        <v>22.633062</v>
      </c>
    </row>
    <row r="4421">
      <c r="A4421" s="24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5" t="n">
        <v>16.531761</v>
      </c>
    </row>
    <row r="4422">
      <c r="A4422" s="24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5" t="n">
        <v>13.859654</v>
      </c>
    </row>
    <row r="4423">
      <c r="A4423" s="24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5" t="n">
        <v>11.094111</v>
      </c>
    </row>
    <row r="4424">
      <c r="A4424" s="24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5" t="n">
        <v>9.127065</v>
      </c>
    </row>
    <row r="4425">
      <c r="A4425" s="24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5" t="n">
        <v>7.874143</v>
      </c>
    </row>
    <row r="4426">
      <c r="A4426" s="24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5" t="n">
        <v>6.417465</v>
      </c>
    </row>
    <row r="4427">
      <c r="A4427" s="24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5" t="n">
        <v>5.75711</v>
      </c>
    </row>
    <row r="4428">
      <c r="A4428" s="24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5" t="n">
        <v>4.790541</v>
      </c>
    </row>
    <row r="4429">
      <c r="A4429" s="24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5" t="n">
        <v>4.264191</v>
      </c>
    </row>
    <row r="4430">
      <c r="A4430" s="24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5" t="n">
        <v>3.757942</v>
      </c>
    </row>
    <row r="4431">
      <c r="A4431" s="24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5" t="n">
        <v>3.172703</v>
      </c>
    </row>
    <row r="4432">
      <c r="A4432" s="24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5" t="n">
        <v>3.051104</v>
      </c>
    </row>
    <row r="4433">
      <c r="A4433" s="24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5" t="n">
        <v>2.368612</v>
      </c>
    </row>
    <row r="4434">
      <c r="A4434" s="24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5" t="n">
        <v>2.521049</v>
      </c>
    </row>
    <row r="4435">
      <c r="A4435" s="24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5" t="n">
        <v>1.848952</v>
      </c>
    </row>
    <row r="4436">
      <c r="A4436" s="24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5" t="n">
        <v>9.582390999999999</v>
      </c>
    </row>
    <row r="4437">
      <c r="A4437" s="24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5" t="n">
        <v>11.994671</v>
      </c>
    </row>
    <row r="4438">
      <c r="A4438" s="24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5" t="n">
        <v>20.306748</v>
      </c>
    </row>
    <row r="4439">
      <c r="A4439" s="24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5" t="n">
        <v>38.718408</v>
      </c>
    </row>
    <row r="4440">
      <c r="A4440" s="24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5" t="n">
        <v>42.460623</v>
      </c>
    </row>
    <row r="4441">
      <c r="A4441" s="24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5" t="n">
        <v>28.989228</v>
      </c>
    </row>
    <row r="4442">
      <c r="A4442" s="24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5" t="n">
        <v>22.145604</v>
      </c>
    </row>
    <row r="4443">
      <c r="A4443" s="24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5" t="n">
        <v>29.239791</v>
      </c>
    </row>
    <row r="4444">
      <c r="A4444" s="24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5" t="n">
        <v>47.103055</v>
      </c>
    </row>
    <row r="4445">
      <c r="A4445" s="24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5" t="n">
        <v>41.553527</v>
      </c>
    </row>
    <row r="4446">
      <c r="A4446" s="24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5" t="n">
        <v>27.284782</v>
      </c>
    </row>
    <row r="4447">
      <c r="A4447" s="24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5" t="n">
        <v>22.122322</v>
      </c>
    </row>
    <row r="4448">
      <c r="A4448" s="24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5" t="n">
        <v>16.057478</v>
      </c>
    </row>
    <row r="4449">
      <c r="A4449" s="24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5" t="n">
        <v>27.214523</v>
      </c>
    </row>
    <row r="4450">
      <c r="A4450" s="24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5" t="n">
        <v>39.358008</v>
      </c>
    </row>
    <row r="4451">
      <c r="A4451" s="24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5" t="n">
        <v>32.160807</v>
      </c>
    </row>
    <row r="4452">
      <c r="A4452" s="24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5" t="n">
        <v>29.426106</v>
      </c>
    </row>
    <row r="4453">
      <c r="A4453" s="24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5" t="n">
        <v>32.903398</v>
      </c>
    </row>
    <row r="4454">
      <c r="A4454" s="24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5" t="n">
        <v>26.827831</v>
      </c>
    </row>
    <row r="4455">
      <c r="A4455" s="24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5" t="n">
        <v>35.906407</v>
      </c>
    </row>
    <row r="4456">
      <c r="A4456" s="24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5" t="n">
        <v>34.32148</v>
      </c>
    </row>
    <row r="4457">
      <c r="A4457" s="24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5" t="n">
        <v>24.591459</v>
      </c>
    </row>
    <row r="4458">
      <c r="A4458" s="24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5" t="n">
        <v>33.220511</v>
      </c>
    </row>
    <row r="4459">
      <c r="A4459" s="24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5" t="n">
        <v>40.230468</v>
      </c>
    </row>
    <row r="4460">
      <c r="A4460" s="24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5" t="n">
        <v>46.957608</v>
      </c>
    </row>
    <row r="4461">
      <c r="A4461" s="24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5" t="n">
        <v>43.930968</v>
      </c>
    </row>
    <row r="4462">
      <c r="A4462" s="24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5" t="n">
        <v>29.105209</v>
      </c>
    </row>
    <row r="4463">
      <c r="A4463" s="24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5" t="n">
        <v>22.403668</v>
      </c>
    </row>
    <row r="4464">
      <c r="A4464" s="24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5" t="n">
        <v>18.52909</v>
      </c>
    </row>
    <row r="4465">
      <c r="A4465" s="24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5" t="n">
        <v>13.34295</v>
      </c>
    </row>
    <row r="4466">
      <c r="A4466" s="24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5" t="n">
        <v>12.47683</v>
      </c>
    </row>
    <row r="4467">
      <c r="A4467" s="24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5" t="n">
        <v>9.004867000000001</v>
      </c>
    </row>
    <row r="4468">
      <c r="A4468" s="24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5" t="n">
        <v>14.286897</v>
      </c>
    </row>
    <row r="4469">
      <c r="A4469" s="24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5" t="n">
        <v>16.421183</v>
      </c>
    </row>
    <row r="4470">
      <c r="A4470" s="24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5" t="n">
        <v>12.436208</v>
      </c>
    </row>
    <row r="4471">
      <c r="A4471" s="24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5" t="n">
        <v>14.762609</v>
      </c>
    </row>
    <row r="4472">
      <c r="A4472" s="24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5" t="n">
        <v>15.81108</v>
      </c>
    </row>
    <row r="4473">
      <c r="A4473" s="24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5" t="n">
        <v>10.187661</v>
      </c>
    </row>
    <row r="4474">
      <c r="A4474" s="24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5" t="n">
        <v>8.24338</v>
      </c>
    </row>
    <row r="4475">
      <c r="A4475" s="24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5" t="n">
        <v>8.550459999999999</v>
      </c>
    </row>
    <row r="4476">
      <c r="A4476" s="24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5" t="n">
        <v>6.816925</v>
      </c>
    </row>
    <row r="4477">
      <c r="A4477" s="24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5" t="n">
        <v>11.594744</v>
      </c>
    </row>
    <row r="4478">
      <c r="A4478" s="24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5" t="n">
        <v>15.378528</v>
      </c>
    </row>
    <row r="4479">
      <c r="A4479" s="24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5" t="n">
        <v>13.300361</v>
      </c>
    </row>
    <row r="4480">
      <c r="A4480" s="24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5" t="n">
        <v>8.428115</v>
      </c>
    </row>
    <row r="4481">
      <c r="A4481" s="24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5" t="n">
        <v>7.497279</v>
      </c>
    </row>
    <row r="4482">
      <c r="A4482" s="24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5" t="n">
        <v>6.378761</v>
      </c>
    </row>
    <row r="4483">
      <c r="A4483" s="24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5" t="n">
        <v>5.737731</v>
      </c>
    </row>
    <row r="4484">
      <c r="A4484" s="24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5" t="n">
        <v>4.761902</v>
      </c>
    </row>
    <row r="4485">
      <c r="A4485" s="24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5" t="n">
        <v>3.276244</v>
      </c>
    </row>
    <row r="4486">
      <c r="A4486" s="24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5" t="n">
        <v>16.140471</v>
      </c>
    </row>
    <row r="4487">
      <c r="A4487" s="24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5" t="n">
        <v>31.10611</v>
      </c>
    </row>
    <row r="4488">
      <c r="A4488" s="24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5" t="n">
        <v>35.469825</v>
      </c>
    </row>
    <row r="4489">
      <c r="A4489" s="24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5" t="n">
        <v>28.938022</v>
      </c>
    </row>
    <row r="4490">
      <c r="A4490" s="24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5" t="n">
        <v>22.92064</v>
      </c>
    </row>
    <row r="4491">
      <c r="A4491" s="24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5" t="n">
        <v>16.183871</v>
      </c>
    </row>
    <row r="4492">
      <c r="A4492" s="24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5" t="n">
        <v>14.676136</v>
      </c>
    </row>
    <row r="4493">
      <c r="A4493" s="24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5" t="n">
        <v>10.045279</v>
      </c>
    </row>
    <row r="4494">
      <c r="A4494" s="24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5" t="n">
        <v>8.537715</v>
      </c>
    </row>
    <row r="4495">
      <c r="A4495" s="24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5" t="n">
        <v>8.0076</v>
      </c>
    </row>
    <row r="4496">
      <c r="A4496" s="24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5" t="n">
        <v>6.796952</v>
      </c>
    </row>
    <row r="4497">
      <c r="A4497" s="24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5" t="n">
        <v>5.916726</v>
      </c>
    </row>
    <row r="4498">
      <c r="A4498" s="24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5" t="n">
        <v>4.001177</v>
      </c>
    </row>
    <row r="4499">
      <c r="A4499" s="24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5" t="n">
        <v>4.45446</v>
      </c>
    </row>
    <row r="4500">
      <c r="A4500" s="24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5" t="n">
        <v>4.773334</v>
      </c>
    </row>
    <row r="4501">
      <c r="A4501" s="24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5" t="n">
        <v>10.881003</v>
      </c>
    </row>
    <row r="4502">
      <c r="A4502" s="24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5" t="n">
        <v>24.41784</v>
      </c>
    </row>
    <row r="4503">
      <c r="A4503" s="24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5" t="n">
        <v>45.459518</v>
      </c>
    </row>
    <row r="4504">
      <c r="A4504" s="24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5" t="n">
        <v>56.014971</v>
      </c>
    </row>
    <row r="4505">
      <c r="A4505" s="24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5" t="n">
        <v>58.531735</v>
      </c>
    </row>
    <row r="4506">
      <c r="A4506" s="24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5" t="n">
        <v>54.339874</v>
      </c>
    </row>
    <row r="4507">
      <c r="A4507" s="24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5" t="n">
        <v>41.279329</v>
      </c>
    </row>
    <row r="4508">
      <c r="A4508" s="24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5" t="n">
        <v>29.921639</v>
      </c>
    </row>
    <row r="4509">
      <c r="A4509" s="24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5" t="n">
        <v>23.150159</v>
      </c>
    </row>
    <row r="4510">
      <c r="A4510" s="24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5" t="n">
        <v>18.270848</v>
      </c>
    </row>
    <row r="4511">
      <c r="A4511" s="24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5" t="n">
        <v>14.30984</v>
      </c>
    </row>
    <row r="4512">
      <c r="A4512" s="24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5" t="n">
        <v>11.931281</v>
      </c>
    </row>
    <row r="4513">
      <c r="A4513" s="24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5" t="n">
        <v>9.588760000000001</v>
      </c>
    </row>
    <row r="4514">
      <c r="A4514" s="24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5" t="n">
        <v>8.18615</v>
      </c>
    </row>
    <row r="4515">
      <c r="A4515" s="24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5" t="n">
        <v>18.636227</v>
      </c>
    </row>
    <row r="4516">
      <c r="A4516" s="24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5" t="n">
        <v>39.050749</v>
      </c>
    </row>
    <row r="4517">
      <c r="A4517" s="24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5" t="n">
        <v>52.147949</v>
      </c>
    </row>
    <row r="4518">
      <c r="A4518" s="24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5" t="n">
        <v>57.533035</v>
      </c>
    </row>
    <row r="4519">
      <c r="A4519" s="24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5" t="n">
        <v>61.95473</v>
      </c>
    </row>
    <row r="4520">
      <c r="A4520" s="24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5" t="n">
        <v>59.492663</v>
      </c>
    </row>
    <row r="4521">
      <c r="A4521" s="24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5" t="n">
        <v>64.335838</v>
      </c>
    </row>
    <row r="4522">
      <c r="A4522" s="24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5" t="n">
        <v>72.11861399999999</v>
      </c>
    </row>
    <row r="4523">
      <c r="A4523" s="24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5" t="n">
        <v>72.972212</v>
      </c>
    </row>
    <row r="4524">
      <c r="A4524" s="24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5" t="n">
        <v>68.395189</v>
      </c>
    </row>
    <row r="4525">
      <c r="A4525" s="24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5" t="n">
        <v>55.626282</v>
      </c>
    </row>
    <row r="4526">
      <c r="A4526" s="24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5" t="n">
        <v>39.286881</v>
      </c>
    </row>
    <row r="4527">
      <c r="A4527" s="24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5" t="n">
        <v>31.490114</v>
      </c>
    </row>
    <row r="4528">
      <c r="A4528" s="24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5" t="n">
        <v>25.015573</v>
      </c>
    </row>
    <row r="4529">
      <c r="A4529" s="24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5" t="n">
        <v>19.624469</v>
      </c>
    </row>
    <row r="4530">
      <c r="A4530" s="24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5" t="n">
        <v>17.082993</v>
      </c>
    </row>
    <row r="4531">
      <c r="A4531" s="24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5" t="n">
        <v>23.815437</v>
      </c>
    </row>
    <row r="4532">
      <c r="A4532" s="24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5" t="n">
        <v>27.966988</v>
      </c>
    </row>
    <row r="4533">
      <c r="A4533" s="24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5" t="n">
        <v>33.461606</v>
      </c>
    </row>
    <row r="4534">
      <c r="A4534" s="24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5" t="n">
        <v>42.478097</v>
      </c>
    </row>
    <row r="4535">
      <c r="A4535" s="24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5" t="n">
        <v>32.250803</v>
      </c>
    </row>
    <row r="4536">
      <c r="A4536" s="24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5" t="n">
        <v>21.024238</v>
      </c>
    </row>
    <row r="4537">
      <c r="A4537" s="24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5" t="n">
        <v>33.366502</v>
      </c>
    </row>
    <row r="4538">
      <c r="A4538" s="24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5" t="n">
        <v>45.494922</v>
      </c>
    </row>
    <row r="4539">
      <c r="A4539" s="24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5" t="n">
        <v>41.536272</v>
      </c>
    </row>
    <row r="4540">
      <c r="A4540" s="24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5" t="n">
        <v>33.192123</v>
      </c>
    </row>
    <row r="4541">
      <c r="A4541" s="24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5" t="n">
        <v>33.039744</v>
      </c>
    </row>
    <row r="4542">
      <c r="A4542" s="24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5" t="n">
        <v>22.490912</v>
      </c>
    </row>
    <row r="4543">
      <c r="A4543" s="24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5" t="n">
        <v>30.970796</v>
      </c>
    </row>
    <row r="4544">
      <c r="A4544" s="24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5" t="n">
        <v>50.412247</v>
      </c>
    </row>
    <row r="4545">
      <c r="A4545" s="24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5" t="n">
        <v>41.493514</v>
      </c>
    </row>
    <row r="4546">
      <c r="A4546" s="24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5" t="n">
        <v>30.244103</v>
      </c>
    </row>
    <row r="4547">
      <c r="A4547" s="24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5" t="n">
        <v>22.141922</v>
      </c>
    </row>
    <row r="4548">
      <c r="A4548" s="24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5" t="n">
        <v>23.920038</v>
      </c>
    </row>
    <row r="4549">
      <c r="A4549" s="24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5" t="n">
        <v>20.947803</v>
      </c>
    </row>
    <row r="4550">
      <c r="A4550" s="24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5" t="n">
        <v>16.084167</v>
      </c>
    </row>
    <row r="4551">
      <c r="A4551" s="24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5" t="n">
        <v>12.187685</v>
      </c>
    </row>
    <row r="4552">
      <c r="A4552" s="24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5" t="n">
        <v>10.867865</v>
      </c>
    </row>
    <row r="4553">
      <c r="A4553" s="24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5" t="n">
        <v>21.75609</v>
      </c>
    </row>
    <row r="4554">
      <c r="A4554" s="24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5" t="n">
        <v>26.884009</v>
      </c>
    </row>
    <row r="4555">
      <c r="A4555" s="24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5" t="n">
        <v>31.279691</v>
      </c>
    </row>
    <row r="4556">
      <c r="A4556" s="24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5" t="n">
        <v>44.268267</v>
      </c>
    </row>
    <row r="4557">
      <c r="A4557" s="24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5" t="n">
        <v>38.452535</v>
      </c>
    </row>
    <row r="4558">
      <c r="A4558" s="24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5" t="n">
        <v>21.808915</v>
      </c>
    </row>
    <row r="4559">
      <c r="A4559" s="24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5" t="n">
        <v>21.667116</v>
      </c>
    </row>
    <row r="4560">
      <c r="A4560" s="24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5" t="n">
        <v>13.494454</v>
      </c>
    </row>
    <row r="4561">
      <c r="A4561" s="24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5" t="n">
        <v>12.991579</v>
      </c>
    </row>
    <row r="4562">
      <c r="A4562" s="24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5" t="n">
        <v>9.620661999999999</v>
      </c>
    </row>
    <row r="4563">
      <c r="A4563" s="24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5" t="n">
        <v>8.032755999999999</v>
      </c>
    </row>
    <row r="4564">
      <c r="A4564" s="24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5" t="n">
        <v>7.433407</v>
      </c>
    </row>
    <row r="4565">
      <c r="A4565" s="24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5" t="n">
        <v>5.237078</v>
      </c>
    </row>
    <row r="4566">
      <c r="A4566" s="24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5" t="n">
        <v>21.170093</v>
      </c>
    </row>
    <row r="4567">
      <c r="A4567" s="24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5" t="n">
        <v>40.10341</v>
      </c>
    </row>
    <row r="4568">
      <c r="A4568" s="24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5" t="n">
        <v>42.819209</v>
      </c>
    </row>
    <row r="4569">
      <c r="A4569" s="24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5" t="n">
        <v>45.487191</v>
      </c>
    </row>
    <row r="4570">
      <c r="A4570" s="24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5" t="n">
        <v>61.217846</v>
      </c>
    </row>
    <row r="4571">
      <c r="A4571" s="24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5" t="n">
        <v>61.507615</v>
      </c>
    </row>
    <row r="4572">
      <c r="A4572" s="24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5" t="n">
        <v>58.014856</v>
      </c>
    </row>
    <row r="4573">
      <c r="A4573" s="24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5" t="n">
        <v>60.17712</v>
      </c>
    </row>
    <row r="4574">
      <c r="A4574" s="24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5" t="n">
        <v>69.22080200000001</v>
      </c>
    </row>
    <row r="4575">
      <c r="A4575" s="24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5" t="n">
        <v>72.28325599999999</v>
      </c>
    </row>
    <row r="4576">
      <c r="A4576" s="24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5" t="n">
        <v>71.307271</v>
      </c>
    </row>
    <row r="4577">
      <c r="A4577" s="24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5" t="n">
        <v>63.709115</v>
      </c>
    </row>
    <row r="4578">
      <c r="A4578" s="24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5" t="n">
        <v>51.543722</v>
      </c>
    </row>
    <row r="4579">
      <c r="A4579" s="24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5" t="n">
        <v>60.668005</v>
      </c>
    </row>
    <row r="4580">
      <c r="A4580" s="24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5" t="n">
        <v>69.87197</v>
      </c>
    </row>
    <row r="4581">
      <c r="A4581" s="24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5" t="n">
        <v>74.051115</v>
      </c>
    </row>
    <row r="4582">
      <c r="A4582" s="24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5" t="n">
        <v>88.795237</v>
      </c>
    </row>
    <row r="4583">
      <c r="A4583" s="24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5" t="n">
        <v>98.00850800000001</v>
      </c>
    </row>
    <row r="4584">
      <c r="A4584" s="24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5" t="n">
        <v>87.577831</v>
      </c>
    </row>
    <row r="4585">
      <c r="A4585" s="24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5" t="n">
        <v>79.983498</v>
      </c>
    </row>
    <row r="4586">
      <c r="A4586" s="24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5" t="n">
        <v>84.585554</v>
      </c>
    </row>
    <row r="4587">
      <c r="A4587" s="24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5" t="n">
        <v>83.986964</v>
      </c>
    </row>
    <row r="4588">
      <c r="A4588" s="24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5" t="n">
        <v>81.649438</v>
      </c>
    </row>
    <row r="4589">
      <c r="A4589" s="24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5" t="n">
        <v>76.80628299999999</v>
      </c>
    </row>
    <row r="4590">
      <c r="A4590" s="24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5" t="n">
        <v>77.038427</v>
      </c>
    </row>
    <row r="4591">
      <c r="A4591" s="24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5" t="n">
        <v>83.72836100000001</v>
      </c>
    </row>
    <row r="4592">
      <c r="A4592" s="24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5" t="n">
        <v>82.542923</v>
      </c>
    </row>
    <row r="4593">
      <c r="A4593" s="24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5" t="n">
        <v>107.272466</v>
      </c>
    </row>
    <row r="4594">
      <c r="A4594" s="24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5" t="n">
        <v>130.085449</v>
      </c>
    </row>
    <row r="4595">
      <c r="A4595" s="24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5" t="n">
        <v>105.259388</v>
      </c>
    </row>
    <row r="4596">
      <c r="A4596" s="24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5" t="n">
        <v>85.52856800000001</v>
      </c>
    </row>
    <row r="4597">
      <c r="A4597" s="24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5" t="n">
        <v>90.560659</v>
      </c>
    </row>
    <row r="4598">
      <c r="A4598" s="24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5" t="n">
        <v>86.57292700000001</v>
      </c>
    </row>
    <row r="4599">
      <c r="A4599" s="24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5" t="n">
        <v>132.488321</v>
      </c>
    </row>
    <row r="4600">
      <c r="A4600" s="24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5" t="n">
        <v>177.674991</v>
      </c>
    </row>
    <row r="4601">
      <c r="A4601" s="24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5" t="n">
        <v>150.985734</v>
      </c>
    </row>
    <row r="4602">
      <c r="A4602" s="24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5" t="n">
        <v>129.228869</v>
      </c>
    </row>
    <row r="4603">
      <c r="A4603" s="24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5" t="n">
        <v>112.489656</v>
      </c>
    </row>
    <row r="4604">
      <c r="A4604" s="24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5" t="n">
        <v>86.920458</v>
      </c>
    </row>
    <row r="4605">
      <c r="A4605" s="24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5" t="n">
        <v>85.89874500000001</v>
      </c>
    </row>
    <row r="4606">
      <c r="A4606" s="24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5" t="n">
        <v>83.059341</v>
      </c>
    </row>
    <row r="4607">
      <c r="A4607" s="24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5" t="n">
        <v>76.588802</v>
      </c>
    </row>
    <row r="4608">
      <c r="A4608" s="24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5" t="n">
        <v>64.82352899999999</v>
      </c>
    </row>
    <row r="4609">
      <c r="A4609" s="24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5" t="n">
        <v>43.647758</v>
      </c>
    </row>
    <row r="4610">
      <c r="A4610" s="24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5" t="n">
        <v>40.106769</v>
      </c>
    </row>
    <row r="4611">
      <c r="A4611" s="24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5" t="n">
        <v>45.126055</v>
      </c>
    </row>
    <row r="4612">
      <c r="A4612" s="24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5" t="n">
        <v>64.26243599999999</v>
      </c>
    </row>
    <row r="4613">
      <c r="A4613" s="24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5" t="n">
        <v>69.556715</v>
      </c>
    </row>
    <row r="4614">
      <c r="A4614" s="24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5" t="n">
        <v>71.131573</v>
      </c>
    </row>
    <row r="4615">
      <c r="A4615" s="24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5" t="n">
        <v>76.042481</v>
      </c>
    </row>
    <row r="4616">
      <c r="A4616" s="24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5" t="n">
        <v>68.198812</v>
      </c>
    </row>
    <row r="4617">
      <c r="A4617" s="24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5" t="n">
        <v>54.17588</v>
      </c>
    </row>
    <row r="4618">
      <c r="A4618" s="24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5" t="n">
        <v>53.057851</v>
      </c>
    </row>
    <row r="4619">
      <c r="A4619" s="24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5" t="n">
        <v>68.674727</v>
      </c>
    </row>
    <row r="4620">
      <c r="A4620" s="24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5" t="n">
        <v>70.598804</v>
      </c>
    </row>
    <row r="4621">
      <c r="A4621" s="24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5" t="n">
        <v>59.032528</v>
      </c>
    </row>
    <row r="4622">
      <c r="A4622" s="24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5" t="n">
        <v>42.024516</v>
      </c>
    </row>
    <row r="4623">
      <c r="A4623" s="24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5" t="n">
        <v>34.506022</v>
      </c>
    </row>
    <row r="4624">
      <c r="A4624" s="24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5" t="n">
        <v>30.188411</v>
      </c>
    </row>
    <row r="4625">
      <c r="A4625" s="24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5" t="n">
        <v>21.915699</v>
      </c>
    </row>
    <row r="4626">
      <c r="A4626" s="24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5" t="n">
        <v>20.192421</v>
      </c>
    </row>
    <row r="4627">
      <c r="A4627" s="24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5" t="n">
        <v>15.315576</v>
      </c>
    </row>
    <row r="4628">
      <c r="A4628" s="24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5" t="n">
        <v>14.072419</v>
      </c>
    </row>
    <row r="4629">
      <c r="A4629" s="24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5" t="n">
        <v>11.488928</v>
      </c>
    </row>
    <row r="4630">
      <c r="A4630" s="24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5" t="n">
        <v>10.102722</v>
      </c>
    </row>
    <row r="4631">
      <c r="A4631" s="24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5" t="n">
        <v>22.896875</v>
      </c>
    </row>
    <row r="4632">
      <c r="A4632" s="24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5" t="n">
        <v>38.46268</v>
      </c>
    </row>
    <row r="4633">
      <c r="A4633" s="24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5" t="n">
        <v>32.540006</v>
      </c>
    </row>
    <row r="4634">
      <c r="A4634" s="24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5" t="n">
        <v>20.318667</v>
      </c>
    </row>
    <row r="4635">
      <c r="A4635" s="24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5" t="n">
        <v>18.186211</v>
      </c>
    </row>
    <row r="4636">
      <c r="A4636" s="24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5" t="n">
        <v>13.089074</v>
      </c>
    </row>
    <row r="4637">
      <c r="A4637" s="24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5" t="n">
        <v>11.276988</v>
      </c>
    </row>
    <row r="4638">
      <c r="A4638" s="24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5" t="n">
        <v>9.235204</v>
      </c>
    </row>
    <row r="4639">
      <c r="A4639" s="24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5" t="n">
        <v>7.523562</v>
      </c>
    </row>
    <row r="4640">
      <c r="A4640" s="24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5" t="n">
        <v>6.837604</v>
      </c>
    </row>
    <row r="4641">
      <c r="A4641" s="24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5" t="n">
        <v>13.85322</v>
      </c>
    </row>
    <row r="4642">
      <c r="A4642" s="24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5" t="n">
        <v>17.361881</v>
      </c>
    </row>
    <row r="4643">
      <c r="A4643" s="24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5" t="n">
        <v>10.201199</v>
      </c>
    </row>
    <row r="4644">
      <c r="A4644" s="24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5" t="n">
        <v>8.33628</v>
      </c>
    </row>
    <row r="4645">
      <c r="A4645" s="24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5" t="n">
        <v>7.362746</v>
      </c>
    </row>
    <row r="4646">
      <c r="A4646" s="24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5" t="n">
        <v>4.947914</v>
      </c>
    </row>
    <row r="4647">
      <c r="A4647" s="24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5" t="n">
        <v>5.264308</v>
      </c>
    </row>
    <row r="4648">
      <c r="A4648" s="24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5" t="n">
        <v>3.5484</v>
      </c>
    </row>
    <row r="4649">
      <c r="A4649" s="24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5" t="n">
        <v>3.651814</v>
      </c>
    </row>
    <row r="4650">
      <c r="A4650" s="24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5" t="n">
        <v>2.877551</v>
      </c>
    </row>
    <row r="4651">
      <c r="A4651" s="24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5" t="n">
        <v>2.505304</v>
      </c>
    </row>
    <row r="4652">
      <c r="A4652" s="24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5" t="n">
        <v>15.756166</v>
      </c>
    </row>
    <row r="4653">
      <c r="A4653" s="24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5" t="n">
        <v>27.812383</v>
      </c>
    </row>
    <row r="4654">
      <c r="A4654" s="24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5" t="n">
        <v>21.403405</v>
      </c>
    </row>
    <row r="4655">
      <c r="A4655" s="24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5" t="n">
        <v>12.861359</v>
      </c>
    </row>
    <row r="4656">
      <c r="A4656" s="24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5" t="n">
        <v>11.808236</v>
      </c>
    </row>
    <row r="4657">
      <c r="A4657" s="24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5" t="n">
        <v>7.495591</v>
      </c>
    </row>
    <row r="4658">
      <c r="A4658" s="24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5" t="n">
        <v>7.013873</v>
      </c>
    </row>
    <row r="4659">
      <c r="A4659" s="24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5" t="n">
        <v>5.098711</v>
      </c>
    </row>
    <row r="4660">
      <c r="A4660" s="24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5" t="n">
        <v>4.289962</v>
      </c>
    </row>
    <row r="4661">
      <c r="A4661" s="24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5" t="n">
        <v>3.836582</v>
      </c>
    </row>
    <row r="4662">
      <c r="A4662" s="24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5" t="n">
        <v>8.44252</v>
      </c>
    </row>
    <row r="4663">
      <c r="A4663" s="24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5" t="n">
        <v>26.22124</v>
      </c>
    </row>
    <row r="4664">
      <c r="A4664" s="24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5" t="n">
        <v>29.843535</v>
      </c>
    </row>
    <row r="4665">
      <c r="A4665" s="24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5" t="n">
        <v>19.690126</v>
      </c>
    </row>
    <row r="4666">
      <c r="A4666" s="24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5" t="n">
        <v>13.443472</v>
      </c>
    </row>
    <row r="4667">
      <c r="A4667" s="24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5" t="n">
        <v>11.879756</v>
      </c>
    </row>
    <row r="4668">
      <c r="A4668" s="24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5" t="n">
        <v>7.365203</v>
      </c>
    </row>
    <row r="4669">
      <c r="A4669" s="24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5" t="n">
        <v>7.59648</v>
      </c>
    </row>
    <row r="4670">
      <c r="A4670" s="24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5" t="n">
        <v>4.797015</v>
      </c>
    </row>
    <row r="4671">
      <c r="A4671" s="24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5" t="n">
        <v>4.87116</v>
      </c>
    </row>
    <row r="4672">
      <c r="A4672" s="24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5" t="n">
        <v>3.614005</v>
      </c>
    </row>
    <row r="4673">
      <c r="A4673" s="24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5" t="n">
        <v>5.042634</v>
      </c>
    </row>
    <row r="4674">
      <c r="A4674" s="24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5" t="n">
        <v>5.737669</v>
      </c>
    </row>
    <row r="4675">
      <c r="A4675" s="24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5" t="n">
        <v>6.537881</v>
      </c>
    </row>
    <row r="4676">
      <c r="A4676" s="24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5" t="n">
        <v>7.964539</v>
      </c>
    </row>
    <row r="4677">
      <c r="A4677" s="24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5" t="n">
        <v>4.566119</v>
      </c>
    </row>
    <row r="4678">
      <c r="A4678" s="24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5" t="n">
        <v>4.076393</v>
      </c>
    </row>
    <row r="4679">
      <c r="A4679" s="24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5" t="n">
        <v>3.128623</v>
      </c>
    </row>
    <row r="4680">
      <c r="A4680" s="24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5" t="n">
        <v>2.591016</v>
      </c>
    </row>
    <row r="4681">
      <c r="A4681" s="24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5" t="n">
        <v>2.123804</v>
      </c>
    </row>
    <row r="4682">
      <c r="A4682" s="24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5" t="n">
        <v>4.929553</v>
      </c>
    </row>
    <row r="4683">
      <c r="A4683" s="24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5" t="n">
        <v>5.719612</v>
      </c>
    </row>
    <row r="4684">
      <c r="A4684" s="24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5" t="n">
        <v>3.729746</v>
      </c>
    </row>
    <row r="4685">
      <c r="A4685" s="24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5" t="n">
        <v>9.752882</v>
      </c>
    </row>
    <row r="4686">
      <c r="A4686" s="24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5" t="n">
        <v>13.072123</v>
      </c>
    </row>
    <row r="4687">
      <c r="A4687" s="24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5" t="n">
        <v>20.410285</v>
      </c>
    </row>
    <row r="4688">
      <c r="A4688" s="24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5" t="n">
        <v>34.870615</v>
      </c>
    </row>
    <row r="4689">
      <c r="A4689" s="24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5" t="n">
        <v>27.951827</v>
      </c>
    </row>
    <row r="4690">
      <c r="A4690" s="24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5" t="n">
        <v>16.357258</v>
      </c>
    </row>
    <row r="4691">
      <c r="A4691" s="24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5" t="n">
        <v>15.016042</v>
      </c>
    </row>
    <row r="4692">
      <c r="A4692" s="24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5" t="n">
        <v>9.539775000000001</v>
      </c>
    </row>
    <row r="4693">
      <c r="A4693" s="24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5" t="n">
        <v>8.738275</v>
      </c>
    </row>
    <row r="4694">
      <c r="A4694" s="24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5" t="n">
        <v>6.338657</v>
      </c>
    </row>
    <row r="4695">
      <c r="A4695" s="24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5" t="n">
        <v>5.358918</v>
      </c>
    </row>
    <row r="4696">
      <c r="A4696" s="24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5" t="n">
        <v>5.700374</v>
      </c>
    </row>
    <row r="4697">
      <c r="A4697" s="24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5" t="n">
        <v>5.810876</v>
      </c>
    </row>
    <row r="4698">
      <c r="A4698" s="24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5" t="n">
        <v>14.18411</v>
      </c>
    </row>
    <row r="4699">
      <c r="A4699" s="24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5" t="n">
        <v>16.365896</v>
      </c>
    </row>
    <row r="4700">
      <c r="A4700" s="24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5" t="n">
        <v>10.011903</v>
      </c>
    </row>
    <row r="4701">
      <c r="A4701" s="24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5" t="n">
        <v>19.0406</v>
      </c>
    </row>
    <row r="4702">
      <c r="A4702" s="24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5" t="n">
        <v>25.015549</v>
      </c>
    </row>
    <row r="4703">
      <c r="A4703" s="24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5" t="n">
        <v>13.910649</v>
      </c>
    </row>
    <row r="4704">
      <c r="A4704" s="24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5" t="n">
        <v>11.375236</v>
      </c>
    </row>
    <row r="4705">
      <c r="A4705" s="24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5" t="n">
        <v>11.160697</v>
      </c>
    </row>
    <row r="4706">
      <c r="A4706" s="24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5" t="n">
        <v>8.720914</v>
      </c>
    </row>
    <row r="4707">
      <c r="A4707" s="24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5" t="n">
        <v>7.876994</v>
      </c>
    </row>
    <row r="4708">
      <c r="A4708" s="24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5" t="n">
        <v>4.626116</v>
      </c>
    </row>
    <row r="4709">
      <c r="A4709" s="24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5" t="n">
        <v>6.933367</v>
      </c>
    </row>
    <row r="4710">
      <c r="A4710" s="24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5" t="n">
        <v>5.125645</v>
      </c>
    </row>
    <row r="4711">
      <c r="A4711" s="24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5" t="n">
        <v>8.287034999999999</v>
      </c>
    </row>
    <row r="4712">
      <c r="A4712" s="24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5" t="n">
        <v>10.018482</v>
      </c>
    </row>
    <row r="4713">
      <c r="A4713" s="24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5" t="n">
        <v>8.402971000000001</v>
      </c>
    </row>
    <row r="4714">
      <c r="A4714" s="24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5" t="n">
        <v>5.537657</v>
      </c>
    </row>
    <row r="4715">
      <c r="A4715" s="24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5" t="n">
        <v>11.82727</v>
      </c>
    </row>
    <row r="4716">
      <c r="A4716" s="24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5" t="n">
        <v>18.840419</v>
      </c>
    </row>
    <row r="4717">
      <c r="A4717" s="24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5" t="n">
        <v>15.20439</v>
      </c>
    </row>
    <row r="4718">
      <c r="A4718" s="24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5" t="n">
        <v>10.092514</v>
      </c>
    </row>
    <row r="4719">
      <c r="A4719" s="24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5" t="n">
        <v>7.874765</v>
      </c>
    </row>
    <row r="4720">
      <c r="A4720" s="24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5" t="n">
        <v>6.291208</v>
      </c>
    </row>
    <row r="4721">
      <c r="A4721" s="24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5" t="n">
        <v>4.573196</v>
      </c>
    </row>
    <row r="4722">
      <c r="A4722" s="24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5" t="n">
        <v>4.959373</v>
      </c>
    </row>
    <row r="4723">
      <c r="A4723" s="24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5" t="n">
        <v>9.974465</v>
      </c>
    </row>
    <row r="4724">
      <c r="A4724" s="24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5" t="n">
        <v>12.486677</v>
      </c>
    </row>
    <row r="4725">
      <c r="A4725" s="24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5" t="n">
        <v>16.328554</v>
      </c>
    </row>
    <row r="4726">
      <c r="A4726" s="24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5" t="n">
        <v>19.302541</v>
      </c>
    </row>
    <row r="4727">
      <c r="A4727" s="24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5" t="n">
        <v>11.696954</v>
      </c>
    </row>
    <row r="4728">
      <c r="A4728" s="24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5" t="n">
        <v>8.023516000000001</v>
      </c>
    </row>
    <row r="4729">
      <c r="A4729" s="24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5" t="n">
        <v>8.129011999999999</v>
      </c>
    </row>
    <row r="4730">
      <c r="A4730" s="24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5" t="n">
        <v>7.585981</v>
      </c>
    </row>
    <row r="4731">
      <c r="A4731" s="24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5" t="n">
        <v>10.327339</v>
      </c>
    </row>
    <row r="4732">
      <c r="A4732" s="24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5" t="n">
        <v>5.369888</v>
      </c>
    </row>
    <row r="4733">
      <c r="A4733" s="24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5" t="n">
        <v>5.179083</v>
      </c>
    </row>
    <row r="4734">
      <c r="A4734" s="24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5" t="n">
        <v>4.134126</v>
      </c>
    </row>
    <row r="4735">
      <c r="A4735" s="24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5" t="n">
        <v>2.820863</v>
      </c>
    </row>
    <row r="4736">
      <c r="A4736" s="24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5" t="n">
        <v>3.262949</v>
      </c>
    </row>
    <row r="4737">
      <c r="A4737" s="24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5" t="n">
        <v>1.725983</v>
      </c>
    </row>
    <row r="4738">
      <c r="A4738" s="24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5" t="n">
        <v>2.484282</v>
      </c>
    </row>
    <row r="4739">
      <c r="A4739" s="24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5" t="n">
        <v>16.050279</v>
      </c>
    </row>
    <row r="4740">
      <c r="A4740" s="24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5" t="n">
        <v>37.167571</v>
      </c>
    </row>
    <row r="4741">
      <c r="A4741" s="24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5" t="n">
        <v>35.37184</v>
      </c>
    </row>
    <row r="4742">
      <c r="A4742" s="24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5" t="n">
        <v>29.879778</v>
      </c>
    </row>
    <row r="4743">
      <c r="A4743" s="24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5" t="n">
        <v>26.995948</v>
      </c>
    </row>
    <row r="4744">
      <c r="A4744" s="24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5" t="n">
        <v>30.798029</v>
      </c>
    </row>
    <row r="4745">
      <c r="A4745" s="24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5" t="n">
        <v>42.898843</v>
      </c>
    </row>
    <row r="4746">
      <c r="A4746" s="24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5" t="n">
        <v>38.250053</v>
      </c>
    </row>
    <row r="4747">
      <c r="A4747" s="24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5" t="n">
        <v>26.416971</v>
      </c>
    </row>
    <row r="4748">
      <c r="A4748" s="24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5" t="n">
        <v>30.780314</v>
      </c>
    </row>
    <row r="4749">
      <c r="A4749" s="24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5" t="n">
        <v>31.497685</v>
      </c>
    </row>
    <row r="4750">
      <c r="A4750" s="24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5" t="n">
        <v>26.199428</v>
      </c>
    </row>
    <row r="4751">
      <c r="A4751" s="24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5" t="n">
        <v>19.816901</v>
      </c>
    </row>
    <row r="4752">
      <c r="A4752" s="24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5" t="n">
        <v>15.958639</v>
      </c>
    </row>
    <row r="4753">
      <c r="A4753" s="24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5" t="n">
        <v>11.71151</v>
      </c>
    </row>
    <row r="4754">
      <c r="A4754" s="24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5" t="n">
        <v>22.48984</v>
      </c>
    </row>
    <row r="4755">
      <c r="A4755" s="24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5" t="n">
        <v>27.720803</v>
      </c>
    </row>
    <row r="4756">
      <c r="A4756" s="24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5" t="n">
        <v>18.439496</v>
      </c>
    </row>
    <row r="4757">
      <c r="A4757" s="24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5" t="n">
        <v>13.746585</v>
      </c>
    </row>
    <row r="4758">
      <c r="A4758" s="24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5" t="n">
        <v>11.668366</v>
      </c>
    </row>
    <row r="4759">
      <c r="A4759" s="24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5" t="n">
        <v>8.437467</v>
      </c>
    </row>
    <row r="4760">
      <c r="A4760" s="24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5" t="n">
        <v>10.797078</v>
      </c>
    </row>
    <row r="4761">
      <c r="A4761" s="24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5" t="n">
        <v>11.104232</v>
      </c>
    </row>
    <row r="4762">
      <c r="A4762" s="24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5" t="n">
        <v>8.282042000000001</v>
      </c>
    </row>
    <row r="4763">
      <c r="A4763" s="24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5" t="n">
        <v>6.646629</v>
      </c>
    </row>
    <row r="4764">
      <c r="A4764" s="24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5" t="n">
        <v>5.434223</v>
      </c>
    </row>
    <row r="4765">
      <c r="A4765" s="24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5" t="n">
        <v>4.568612</v>
      </c>
    </row>
    <row r="4766">
      <c r="A4766" s="24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5" t="n">
        <v>6.253159</v>
      </c>
    </row>
    <row r="4767">
      <c r="A4767" s="24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5" t="n">
        <v>21.746689</v>
      </c>
    </row>
    <row r="4768">
      <c r="A4768" s="24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5" t="n">
        <v>31.624213</v>
      </c>
    </row>
    <row r="4769">
      <c r="A4769" s="24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5" t="n">
        <v>22.716912</v>
      </c>
    </row>
    <row r="4770">
      <c r="A4770" s="24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5" t="n">
        <v>15.159897</v>
      </c>
    </row>
    <row r="4771">
      <c r="A4771" s="24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5" t="n">
        <v>16.01922</v>
      </c>
    </row>
    <row r="4772">
      <c r="A4772" s="24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5" t="n">
        <v>13.482128</v>
      </c>
    </row>
    <row r="4773">
      <c r="A4773" s="24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5" t="n">
        <v>10.14199</v>
      </c>
    </row>
    <row r="4774">
      <c r="A4774" s="24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5" t="n">
        <v>7.628855</v>
      </c>
    </row>
    <row r="4775">
      <c r="A4775" s="24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5" t="n">
        <v>19.500192</v>
      </c>
    </row>
    <row r="4776">
      <c r="A4776" s="24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5" t="n">
        <v>29.106683</v>
      </c>
    </row>
    <row r="4777">
      <c r="A4777" s="24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5" t="n">
        <v>33.072399</v>
      </c>
    </row>
    <row r="4778">
      <c r="A4778" s="24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5" t="n">
        <v>46.383498</v>
      </c>
    </row>
    <row r="4779">
      <c r="A4779" s="24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5" t="n">
        <v>50.07414</v>
      </c>
    </row>
    <row r="4780">
      <c r="A4780" s="24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5" t="n">
        <v>37.065229</v>
      </c>
    </row>
    <row r="4781">
      <c r="A4781" s="24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5" t="n">
        <v>26.645659</v>
      </c>
    </row>
    <row r="4782">
      <c r="A4782" s="24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5" t="n">
        <v>20.170565</v>
      </c>
    </row>
    <row r="4783">
      <c r="A4783" s="24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5" t="n">
        <v>15.799265</v>
      </c>
    </row>
    <row r="4784">
      <c r="A4784" s="24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5" t="n">
        <v>12.654479</v>
      </c>
    </row>
    <row r="4785">
      <c r="A4785" s="24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5" t="n">
        <v>10.068647</v>
      </c>
    </row>
    <row r="4786">
      <c r="A4786" s="24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5" t="n">
        <v>8.639784000000001</v>
      </c>
    </row>
    <row r="4787">
      <c r="A4787" s="24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5" t="n">
        <v>6.830015</v>
      </c>
    </row>
    <row r="4788">
      <c r="A4788" s="24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5" t="n">
        <v>6.167481</v>
      </c>
    </row>
    <row r="4789">
      <c r="A4789" s="24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5" t="n">
        <v>4.962764</v>
      </c>
    </row>
    <row r="4790">
      <c r="A4790" s="24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5" t="n">
        <v>4.461135</v>
      </c>
    </row>
    <row r="4791">
      <c r="A4791" s="24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5" t="n">
        <v>3.863331</v>
      </c>
    </row>
    <row r="4792">
      <c r="A4792" s="24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5" t="n">
        <v>3.207678</v>
      </c>
    </row>
    <row r="4793">
      <c r="A4793" s="24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5" t="n">
        <v>3.176813</v>
      </c>
    </row>
    <row r="4794">
      <c r="A4794" s="24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5" t="n">
        <v>2.277488</v>
      </c>
    </row>
    <row r="4795">
      <c r="A4795" s="24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5" t="n">
        <v>2.692327</v>
      </c>
    </row>
    <row r="4796">
      <c r="A4796" s="24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5" t="n">
        <v>6.557443</v>
      </c>
    </row>
    <row r="4797">
      <c r="A4797" s="24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5" t="n">
        <v>13.344535</v>
      </c>
    </row>
    <row r="4798">
      <c r="A4798" s="24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5" t="n">
        <v>25.345162</v>
      </c>
    </row>
    <row r="4799">
      <c r="A4799" s="24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5" t="n">
        <v>31.543043</v>
      </c>
    </row>
    <row r="4800">
      <c r="A4800" s="24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5" t="n">
        <v>20.381218</v>
      </c>
    </row>
    <row r="4801">
      <c r="A4801" s="24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5" t="n">
        <v>14.282506</v>
      </c>
    </row>
    <row r="4802">
      <c r="A4802" s="24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5" t="n">
        <v>12.161277</v>
      </c>
    </row>
    <row r="4803">
      <c r="A4803" s="24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5" t="n">
        <v>7.86598</v>
      </c>
    </row>
    <row r="4804">
      <c r="A4804" s="24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5" t="n">
        <v>19.984573</v>
      </c>
    </row>
    <row r="4805">
      <c r="A4805" s="24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5" t="n">
        <v>24.884256</v>
      </c>
    </row>
    <row r="4806">
      <c r="A4806" s="24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5" t="n">
        <v>16.735934</v>
      </c>
    </row>
    <row r="4807">
      <c r="A4807" s="24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5" t="n">
        <v>11.541541</v>
      </c>
    </row>
    <row r="4808">
      <c r="A4808" s="24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5" t="n">
        <v>10.379766</v>
      </c>
    </row>
    <row r="4809">
      <c r="A4809" s="24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5" t="n">
        <v>6.71343</v>
      </c>
    </row>
    <row r="4810">
      <c r="A4810" s="24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5" t="n">
        <v>6.645312</v>
      </c>
    </row>
    <row r="4811">
      <c r="A4811" s="24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5" t="n">
        <v>14.895777</v>
      </c>
    </row>
    <row r="4812">
      <c r="A4812" s="24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5" t="n">
        <v>18.955223</v>
      </c>
    </row>
    <row r="4813">
      <c r="A4813" s="24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5" t="n">
        <v>11.01358</v>
      </c>
    </row>
    <row r="4814">
      <c r="A4814" s="24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5" t="n">
        <v>8.122712999999999</v>
      </c>
    </row>
    <row r="4815">
      <c r="A4815" s="24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5" t="n">
        <v>7.862733</v>
      </c>
    </row>
    <row r="4816">
      <c r="A4816" s="24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5" t="n">
        <v>4.352915</v>
      </c>
    </row>
    <row r="4817">
      <c r="A4817" s="24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5" t="n">
        <v>5.389798</v>
      </c>
    </row>
    <row r="4818">
      <c r="A4818" s="24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5" t="n">
        <v>4.872394</v>
      </c>
    </row>
    <row r="4819">
      <c r="A4819" s="24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5" t="n">
        <v>5.910803</v>
      </c>
    </row>
    <row r="4820">
      <c r="A4820" s="24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5" t="n">
        <v>4.035472</v>
      </c>
    </row>
    <row r="4821">
      <c r="A4821" s="24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5" t="n">
        <v>2.834296</v>
      </c>
    </row>
    <row r="4822">
      <c r="A4822" s="24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5" t="n">
        <v>3.460349</v>
      </c>
    </row>
    <row r="4823">
      <c r="A4823" s="24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5" t="n">
        <v>1.396568</v>
      </c>
    </row>
    <row r="4824">
      <c r="A4824" s="24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5" t="n">
        <v>2.911873</v>
      </c>
    </row>
    <row r="4825">
      <c r="A4825" s="24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5" t="n">
        <v>0.77171</v>
      </c>
    </row>
    <row r="4826">
      <c r="A4826" s="24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5" t="n">
        <v>2.305672</v>
      </c>
    </row>
    <row r="4827">
      <c r="A4827" s="24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5" t="n">
        <v>0.785599</v>
      </c>
    </row>
    <row r="4828">
      <c r="A4828" s="24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5" t="n">
        <v>1.531749</v>
      </c>
    </row>
    <row r="4829">
      <c r="A4829" s="24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5" t="n">
        <v>0.9513779999999999</v>
      </c>
    </row>
    <row r="4830">
      <c r="A4830" s="24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5" t="n">
        <v>0.888549</v>
      </c>
    </row>
    <row r="4831">
      <c r="A4831" s="24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5" t="n">
        <v>1.070552</v>
      </c>
    </row>
    <row r="4832">
      <c r="A4832" s="24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5" t="n">
        <v>1.063116</v>
      </c>
    </row>
    <row r="4833">
      <c r="A4833" s="24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5" t="n">
        <v>1.86801</v>
      </c>
    </row>
    <row r="4834">
      <c r="A4834" s="24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5" t="n">
        <v>7.307275</v>
      </c>
    </row>
    <row r="4835">
      <c r="A4835" s="24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5" t="n">
        <v>16.238128</v>
      </c>
    </row>
    <row r="4836">
      <c r="A4836" s="24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5" t="n">
        <v>13.226969</v>
      </c>
    </row>
    <row r="4837">
      <c r="A4837" s="24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5" t="n">
        <v>8.395009</v>
      </c>
    </row>
    <row r="4838">
      <c r="A4838" s="24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5" t="n">
        <v>6.352118</v>
      </c>
    </row>
    <row r="4839">
      <c r="A4839" s="24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5" t="n">
        <v>5.047385</v>
      </c>
    </row>
    <row r="4840">
      <c r="A4840" s="24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5" t="n">
        <v>3.43091</v>
      </c>
    </row>
    <row r="4841">
      <c r="A4841" s="24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5" t="n">
        <v>9.546309000000001</v>
      </c>
    </row>
    <row r="4842">
      <c r="A4842" s="24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5" t="n">
        <v>10.763951</v>
      </c>
    </row>
    <row r="4843">
      <c r="A4843" s="24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5" t="n">
        <v>6.904842</v>
      </c>
    </row>
    <row r="4844">
      <c r="A4844" s="24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5" t="n">
        <v>4.415987</v>
      </c>
    </row>
    <row r="4845">
      <c r="A4845" s="24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5" t="n">
        <v>17.150568</v>
      </c>
    </row>
    <row r="4846">
      <c r="A4846" s="24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5" t="n">
        <v>21.99387</v>
      </c>
    </row>
    <row r="4847">
      <c r="A4847" s="24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5" t="n">
        <v>15.116871</v>
      </c>
    </row>
    <row r="4848">
      <c r="A4848" s="24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5" t="n">
        <v>9.317116</v>
      </c>
    </row>
    <row r="4849">
      <c r="A4849" s="24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5" t="n">
        <v>18.732561</v>
      </c>
    </row>
    <row r="4850">
      <c r="A4850" s="24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5" t="n">
        <v>18.763707</v>
      </c>
    </row>
    <row r="4851">
      <c r="A4851" s="24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5" t="n">
        <v>18.543571</v>
      </c>
    </row>
    <row r="4852">
      <c r="A4852" s="24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5" t="n">
        <v>17.212931</v>
      </c>
    </row>
    <row r="4853">
      <c r="A4853" s="24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5" t="n">
        <v>14.442517</v>
      </c>
    </row>
    <row r="4854">
      <c r="A4854" s="24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5" t="n">
        <v>11.353958</v>
      </c>
    </row>
    <row r="4855">
      <c r="A4855" s="24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5" t="n">
        <v>9.337306</v>
      </c>
    </row>
    <row r="4856">
      <c r="A4856" s="24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5" t="n">
        <v>6.454723</v>
      </c>
    </row>
    <row r="4857">
      <c r="A4857" s="24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5" t="n">
        <v>5.689434</v>
      </c>
    </row>
    <row r="4858">
      <c r="A4858" s="24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5" t="n">
        <v>4.748555</v>
      </c>
    </row>
    <row r="4859">
      <c r="A4859" s="24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5" t="n">
        <v>4.807468</v>
      </c>
    </row>
    <row r="4860">
      <c r="A4860" s="24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5" t="n">
        <v>8.259053</v>
      </c>
    </row>
    <row r="4861">
      <c r="A4861" s="24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5" t="n">
        <v>5.912585</v>
      </c>
    </row>
    <row r="4862">
      <c r="A4862" s="24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5" t="n">
        <v>5.615518</v>
      </c>
    </row>
    <row r="4863">
      <c r="A4863" s="24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5" t="n">
        <v>2.928468</v>
      </c>
    </row>
    <row r="4864">
      <c r="A4864" s="24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5" t="n">
        <v>3.985151</v>
      </c>
    </row>
    <row r="4865">
      <c r="A4865" s="24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5" t="n">
        <v>1.824399</v>
      </c>
    </row>
    <row r="4866">
      <c r="A4866" s="24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5" t="n">
        <v>2.766382</v>
      </c>
    </row>
    <row r="4867">
      <c r="A4867" s="24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5" t="n">
        <v>1.472698</v>
      </c>
    </row>
    <row r="4868">
      <c r="A4868" s="24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5" t="n">
        <v>1.780019</v>
      </c>
    </row>
    <row r="4869">
      <c r="A4869" s="24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5" t="n">
        <v>1.414417</v>
      </c>
    </row>
    <row r="4870">
      <c r="A4870" s="24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5" t="n">
        <v>1.017987</v>
      </c>
    </row>
    <row r="4871">
      <c r="A4871" s="24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5" t="n">
        <v>1.420849</v>
      </c>
    </row>
    <row r="4872">
      <c r="A4872" s="24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5" t="n">
        <v>0.493059</v>
      </c>
    </row>
    <row r="4873">
      <c r="A4873" s="24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5" t="n">
        <v>1.463943</v>
      </c>
    </row>
    <row r="4874">
      <c r="A4874" s="24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5" t="n">
        <v>0.335543</v>
      </c>
    </row>
    <row r="4875">
      <c r="A4875" s="24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5" t="n">
        <v>1.243459</v>
      </c>
    </row>
    <row r="4876">
      <c r="A4876" s="24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5" t="n">
        <v>5.023052</v>
      </c>
    </row>
    <row r="4877">
      <c r="A4877" s="24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5" t="n">
        <v>7.945174</v>
      </c>
    </row>
    <row r="4878">
      <c r="A4878" s="24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5" t="n">
        <v>3.756755</v>
      </c>
    </row>
    <row r="4879">
      <c r="A4879" s="24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5" t="n">
        <v>7.920716</v>
      </c>
    </row>
    <row r="4880">
      <c r="A4880" s="24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5" t="n">
        <v>11.931372</v>
      </c>
    </row>
    <row r="4881">
      <c r="A4881" s="24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5" t="n">
        <v>20.956448</v>
      </c>
    </row>
    <row r="4882">
      <c r="A4882" s="24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5" t="n">
        <v>23.996319</v>
      </c>
    </row>
    <row r="4883">
      <c r="A4883" s="24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5" t="n">
        <v>13.659521</v>
      </c>
    </row>
    <row r="4884">
      <c r="A4884" s="24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5" t="n">
        <v>9.91901</v>
      </c>
    </row>
    <row r="4885">
      <c r="A4885" s="24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5" t="n">
        <v>9.029783999999999</v>
      </c>
    </row>
    <row r="4886">
      <c r="A4886" s="24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5" t="n">
        <v>5.016277</v>
      </c>
    </row>
    <row r="4887">
      <c r="A4887" s="24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5" t="n">
        <v>18.786247</v>
      </c>
    </row>
    <row r="4888">
      <c r="A4888" s="24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5" t="n">
        <v>26.213964</v>
      </c>
    </row>
    <row r="4889">
      <c r="A4889" s="24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5" t="n">
        <v>19.257154</v>
      </c>
    </row>
    <row r="4890">
      <c r="A4890" s="24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5" t="n">
        <v>12.452399</v>
      </c>
    </row>
    <row r="4891">
      <c r="A4891" s="24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5" t="n">
        <v>10.728982</v>
      </c>
    </row>
    <row r="4892">
      <c r="A4892" s="24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5" t="n">
        <v>7.4847</v>
      </c>
    </row>
    <row r="4893">
      <c r="A4893" s="24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5" t="n">
        <v>6.22457</v>
      </c>
    </row>
    <row r="4894">
      <c r="A4894" s="24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5" t="n">
        <v>5.350232</v>
      </c>
    </row>
    <row r="4895">
      <c r="A4895" s="24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5" t="n">
        <v>3.62635</v>
      </c>
    </row>
    <row r="4896">
      <c r="A4896" s="24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5" t="n">
        <v>4.15141</v>
      </c>
    </row>
    <row r="4897">
      <c r="A4897" s="24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5" t="n">
        <v>4.212843</v>
      </c>
    </row>
    <row r="4898">
      <c r="A4898" s="24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5" t="n">
        <v>7.345809</v>
      </c>
    </row>
    <row r="4899">
      <c r="A4899" s="24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5" t="n">
        <v>4.707601</v>
      </c>
    </row>
    <row r="4900">
      <c r="A4900" s="24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5" t="n">
        <v>4.357362</v>
      </c>
    </row>
    <row r="4901">
      <c r="A4901" s="24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5" t="n">
        <v>14.959192</v>
      </c>
    </row>
    <row r="4902">
      <c r="A4902" s="24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5" t="n">
        <v>35.338073</v>
      </c>
    </row>
    <row r="4903">
      <c r="A4903" s="24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5" t="n">
        <v>46.329937</v>
      </c>
    </row>
    <row r="4904">
      <c r="A4904" s="24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5" t="n">
        <v>38.144644</v>
      </c>
    </row>
    <row r="4905">
      <c r="A4905" s="24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5" t="n">
        <v>25.119717</v>
      </c>
    </row>
    <row r="4906">
      <c r="A4906" s="24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5" t="n">
        <v>26.613755</v>
      </c>
    </row>
    <row r="4907">
      <c r="A4907" s="24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5" t="n">
        <v>30.076928</v>
      </c>
    </row>
    <row r="4908">
      <c r="A4908" s="24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5" t="n">
        <v>19.919317</v>
      </c>
    </row>
    <row r="4909">
      <c r="A4909" s="24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5" t="n">
        <v>16.317857</v>
      </c>
    </row>
    <row r="4910">
      <c r="A4910" s="24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5" t="n">
        <v>11.974289</v>
      </c>
    </row>
    <row r="4911">
      <c r="A4911" s="24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5" t="n">
        <v>9.862484</v>
      </c>
    </row>
    <row r="4912">
      <c r="A4912" s="24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5" t="n">
        <v>9.076898</v>
      </c>
    </row>
    <row r="4913">
      <c r="A4913" s="24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5" t="n">
        <v>8.070078000000001</v>
      </c>
    </row>
    <row r="4914">
      <c r="A4914" s="24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5" t="n">
        <v>6.404679</v>
      </c>
    </row>
    <row r="4915">
      <c r="A4915" s="24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5" t="n">
        <v>18.809309</v>
      </c>
    </row>
    <row r="4916">
      <c r="A4916" s="24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5" t="n">
        <v>35.968556</v>
      </c>
    </row>
    <row r="4917">
      <c r="A4917" s="24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5" t="n">
        <v>38.273102</v>
      </c>
    </row>
    <row r="4918">
      <c r="A4918" s="24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5" t="n">
        <v>39.081123</v>
      </c>
    </row>
    <row r="4919">
      <c r="A4919" s="24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5" t="n">
        <v>35.118318</v>
      </c>
    </row>
    <row r="4920">
      <c r="A4920" s="24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5" t="n">
        <v>27.007378</v>
      </c>
    </row>
    <row r="4921">
      <c r="A4921" s="24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5" t="n">
        <v>33.247174</v>
      </c>
    </row>
    <row r="4922">
      <c r="A4922" s="24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5" t="n">
        <v>33.639034</v>
      </c>
    </row>
    <row r="4923">
      <c r="A4923" s="24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5" t="n">
        <v>23.529672</v>
      </c>
    </row>
    <row r="4924">
      <c r="A4924" s="24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5" t="n">
        <v>18.323745</v>
      </c>
    </row>
    <row r="4925">
      <c r="A4925" s="24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5" t="n">
        <v>24.908556</v>
      </c>
    </row>
    <row r="4926">
      <c r="A4926" s="24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5" t="n">
        <v>32.947139</v>
      </c>
    </row>
    <row r="4927">
      <c r="A4927" s="24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5" t="n">
        <v>31.026893</v>
      </c>
    </row>
    <row r="4928">
      <c r="A4928" s="24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5" t="n">
        <v>25.197426</v>
      </c>
    </row>
    <row r="4929">
      <c r="A4929" s="24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5" t="n">
        <v>18.638612</v>
      </c>
    </row>
    <row r="4930">
      <c r="A4930" s="24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5" t="n">
        <v>13.751936</v>
      </c>
    </row>
    <row r="4931">
      <c r="A4931" s="24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5" t="n">
        <v>11.947255</v>
      </c>
    </row>
    <row r="4932">
      <c r="A4932" s="24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5" t="n">
        <v>8.931307</v>
      </c>
    </row>
    <row r="4933">
      <c r="A4933" s="24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5" t="n">
        <v>7.859225</v>
      </c>
    </row>
    <row r="4934">
      <c r="A4934" s="24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5" t="n">
        <v>6.555647</v>
      </c>
    </row>
    <row r="4935">
      <c r="A4935" s="24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5" t="n">
        <v>5.236699</v>
      </c>
    </row>
    <row r="4936">
      <c r="A4936" s="24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5" t="n">
        <v>5.145889</v>
      </c>
    </row>
    <row r="4937">
      <c r="A4937" s="24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5" t="n">
        <v>3.588762</v>
      </c>
    </row>
    <row r="4938">
      <c r="A4938" s="24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5" t="n">
        <v>4.113604</v>
      </c>
    </row>
    <row r="4939">
      <c r="A4939" s="24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5" t="n">
        <v>2.59899</v>
      </c>
    </row>
    <row r="4940">
      <c r="A4940" s="24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5" t="n">
        <v>3.24516</v>
      </c>
    </row>
    <row r="4941">
      <c r="A4941" s="24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5" t="n">
        <v>14.030675</v>
      </c>
    </row>
    <row r="4942">
      <c r="A4942" s="24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5" t="n">
        <v>19.62279</v>
      </c>
    </row>
    <row r="4943">
      <c r="A4943" s="24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5" t="n">
        <v>10.479666</v>
      </c>
    </row>
    <row r="4944">
      <c r="A4944" s="24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5" t="n">
        <v>7.940356</v>
      </c>
    </row>
    <row r="4945">
      <c r="A4945" s="24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5" t="n">
        <v>7.547238</v>
      </c>
    </row>
    <row r="4946">
      <c r="A4946" s="24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5" t="n">
        <v>3.902278</v>
      </c>
    </row>
    <row r="4947">
      <c r="A4947" s="24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5" t="n">
        <v>5.326727</v>
      </c>
    </row>
    <row r="4948">
      <c r="A4948" s="24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5" t="n">
        <v>2.493761</v>
      </c>
    </row>
    <row r="4949">
      <c r="A4949" s="24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5" t="n">
        <v>3.567045</v>
      </c>
    </row>
    <row r="4950">
      <c r="A4950" s="24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5" t="n">
        <v>2.007629</v>
      </c>
    </row>
    <row r="4951">
      <c r="A4951" s="24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5" t="n">
        <v>2.305348</v>
      </c>
    </row>
    <row r="4952">
      <c r="A4952" s="24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5" t="n">
        <v>1.765055</v>
      </c>
    </row>
    <row r="4953">
      <c r="A4953" s="24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5" t="n">
        <v>1.496521</v>
      </c>
    </row>
    <row r="4954">
      <c r="A4954" s="24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5" t="n">
        <v>1.527155</v>
      </c>
    </row>
    <row r="4955">
      <c r="A4955" s="24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5" t="n">
        <v>1.037564</v>
      </c>
    </row>
    <row r="4956">
      <c r="A4956" s="24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5" t="n">
        <v>1.246306</v>
      </c>
    </row>
    <row r="4957">
      <c r="A4957" s="24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5" t="n">
        <v>0.810862</v>
      </c>
    </row>
    <row r="4958">
      <c r="A4958" s="24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5" t="n">
        <v>0.946229</v>
      </c>
    </row>
    <row r="4959">
      <c r="A4959" s="24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5" t="n">
        <v>0.7137019999999999</v>
      </c>
    </row>
    <row r="4960">
      <c r="A4960" s="24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5" t="n">
        <v>0.6656</v>
      </c>
    </row>
    <row r="4961">
      <c r="A4961" s="24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5" t="n">
        <v>0.673813</v>
      </c>
    </row>
    <row r="4962">
      <c r="A4962" s="24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5" t="n">
        <v>0.43526</v>
      </c>
    </row>
    <row r="4963">
      <c r="A4963" s="24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5" t="n">
        <v>0.65552</v>
      </c>
    </row>
    <row r="4964">
      <c r="A4964" s="24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5" t="n">
        <v>0.291755</v>
      </c>
    </row>
    <row r="4965">
      <c r="A4965" s="24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5" t="n">
        <v>0.580159</v>
      </c>
    </row>
    <row r="4966">
      <c r="A4966" s="24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5" t="n">
        <v>0.196067</v>
      </c>
    </row>
    <row r="4967">
      <c r="A4967" s="24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5" t="n">
        <v>0.5353520000000001</v>
      </c>
    </row>
    <row r="4968">
      <c r="A4968" s="24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5" t="n">
        <v>0.174711</v>
      </c>
    </row>
    <row r="4969">
      <c r="A4969" s="24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5" t="n">
        <v>0.425374</v>
      </c>
    </row>
    <row r="4970">
      <c r="A4970" s="24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5" t="n">
        <v>0.213161</v>
      </c>
    </row>
    <row r="4971">
      <c r="A4971" s="24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5" t="n">
        <v>0.282619</v>
      </c>
    </row>
    <row r="4972">
      <c r="A4972" s="24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5" t="n">
        <v>3.743694</v>
      </c>
    </row>
    <row r="4973">
      <c r="A4973" s="24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5" t="n">
        <v>11.612744</v>
      </c>
    </row>
    <row r="4974">
      <c r="A4974" s="24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5" t="n">
        <v>11.935925</v>
      </c>
    </row>
    <row r="4975">
      <c r="A4975" s="24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5" t="n">
        <v>6.529632</v>
      </c>
    </row>
    <row r="4976">
      <c r="A4976" s="24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5" t="n">
        <v>5.261377</v>
      </c>
    </row>
    <row r="4977">
      <c r="A4977" s="24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5" t="n">
        <v>3.97766</v>
      </c>
    </row>
    <row r="4978">
      <c r="A4978" s="24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5" t="n">
        <v>2.769229</v>
      </c>
    </row>
    <row r="4979">
      <c r="A4979" s="24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5" t="n">
        <v>2.544642</v>
      </c>
    </row>
    <row r="4980">
      <c r="A4980" s="24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5" t="n">
        <v>1.734626</v>
      </c>
    </row>
    <row r="4981">
      <c r="A4981" s="24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5" t="n">
        <v>1.608952</v>
      </c>
    </row>
    <row r="4982">
      <c r="A4982" s="24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5" t="n">
        <v>1.272777</v>
      </c>
    </row>
    <row r="4983">
      <c r="A4983" s="24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5" t="n">
        <v>0.999586</v>
      </c>
    </row>
    <row r="4984">
      <c r="A4984" s="24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5" t="n">
        <v>1.020588</v>
      </c>
    </row>
    <row r="4985">
      <c r="A4985" s="24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5" t="n">
        <v>0.6261</v>
      </c>
    </row>
    <row r="4986">
      <c r="A4986" s="24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5" t="n">
        <v>0.831925</v>
      </c>
    </row>
    <row r="4987">
      <c r="A4987" s="24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5" t="n">
        <v>0.419808</v>
      </c>
    </row>
    <row r="4988">
      <c r="A4988" s="24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5" t="n">
        <v>0.657879</v>
      </c>
    </row>
    <row r="4989">
      <c r="A4989" s="24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5" t="n">
        <v>0.323091</v>
      </c>
    </row>
    <row r="4990">
      <c r="A4990" s="24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5" t="n">
        <v>3.323188</v>
      </c>
    </row>
    <row r="4991">
      <c r="A4991" s="24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5" t="n">
        <v>4.336117</v>
      </c>
    </row>
    <row r="4992">
      <c r="A4992" s="24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5" t="n">
        <v>2.406264</v>
      </c>
    </row>
    <row r="4993">
      <c r="A4993" s="24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5" t="n">
        <v>1.729286</v>
      </c>
    </row>
    <row r="4994">
      <c r="A4994" s="24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5" t="n">
        <v>1.627892</v>
      </c>
    </row>
    <row r="4995">
      <c r="A4995" s="24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5" t="n">
        <v>0.906352</v>
      </c>
    </row>
    <row r="4996">
      <c r="A4996" s="24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5" t="n">
        <v>1.034521</v>
      </c>
    </row>
    <row r="4997">
      <c r="A4997" s="24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5" t="n">
        <v>0.669177</v>
      </c>
    </row>
    <row r="4998">
      <c r="A4998" s="24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5" t="n">
        <v>0.579024</v>
      </c>
    </row>
    <row r="4999">
      <c r="A4999" s="24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5" t="n">
        <v>0.610278</v>
      </c>
    </row>
    <row r="5000">
      <c r="A5000" s="24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5" t="n">
        <v>0.272803</v>
      </c>
    </row>
    <row r="5001">
      <c r="A5001" s="24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5" t="n">
        <v>0.577964</v>
      </c>
    </row>
    <row r="5002">
      <c r="A5002" s="24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5" t="n">
        <v>0.138046</v>
      </c>
    </row>
    <row r="5003">
      <c r="A5003" s="24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5" t="n">
        <v>0.479152</v>
      </c>
    </row>
    <row r="5004">
      <c r="A5004" s="24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5" t="n">
        <v>0.137468</v>
      </c>
    </row>
    <row r="5005">
      <c r="A5005" s="24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5" t="n">
        <v>0.322493</v>
      </c>
    </row>
    <row r="5006">
      <c r="A5006" s="24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5" t="n">
        <v>0.164973</v>
      </c>
    </row>
    <row r="5007">
      <c r="A5007" s="24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5" t="n">
        <v>0.199405</v>
      </c>
    </row>
    <row r="5008">
      <c r="A5008" s="24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5" t="n">
        <v>0.196293</v>
      </c>
    </row>
    <row r="5009">
      <c r="A5009" s="24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5" t="n">
        <v>0.09742000000000001</v>
      </c>
    </row>
    <row r="5010">
      <c r="A5010" s="24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5" t="n">
        <v>0.204648</v>
      </c>
    </row>
    <row r="5011">
      <c r="A5011" s="24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5" t="n">
        <v>0.050941</v>
      </c>
    </row>
    <row r="5012">
      <c r="A5012" s="24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5" t="n">
        <v>0.183416</v>
      </c>
    </row>
    <row r="5013">
      <c r="A5013" s="24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5" t="n">
        <v>0.044333</v>
      </c>
    </row>
    <row r="5014">
      <c r="A5014" s="24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5" t="n">
        <v>0.148377</v>
      </c>
    </row>
    <row r="5015">
      <c r="A5015" s="24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5" t="n">
        <v>0.046083</v>
      </c>
    </row>
    <row r="5016">
      <c r="A5016" s="24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5" t="n">
        <v>0.108516</v>
      </c>
    </row>
    <row r="5017">
      <c r="A5017" s="24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5" t="n">
        <v>0.05354</v>
      </c>
    </row>
    <row r="5018">
      <c r="A5018" s="24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5" t="n">
        <v>0.064896</v>
      </c>
    </row>
    <row r="5019">
      <c r="A5019" s="24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5" t="n">
        <v>0.06297800000000001</v>
      </c>
    </row>
    <row r="5020">
      <c r="A5020" s="24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5" t="n">
        <v>0.037469</v>
      </c>
    </row>
    <row r="5021">
      <c r="A5021" s="24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5" t="n">
        <v>0.067306</v>
      </c>
    </row>
    <row r="5022">
      <c r="A5022" s="24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5" t="n">
        <v>0.017477</v>
      </c>
    </row>
    <row r="5023">
      <c r="A5023" s="24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5" t="n">
        <v>8.07152</v>
      </c>
    </row>
    <row r="5024">
      <c r="A5024" s="24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5" t="n">
        <v>11.460924</v>
      </c>
    </row>
    <row r="5025">
      <c r="A5025" s="24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5" t="n">
        <v>5.905844</v>
      </c>
    </row>
    <row r="5026">
      <c r="A5026" s="24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5" t="n">
        <v>4.082584</v>
      </c>
    </row>
    <row r="5027">
      <c r="A5027" s="24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5" t="n">
        <v>4.062551</v>
      </c>
    </row>
    <row r="5028">
      <c r="A5028" s="24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5" t="n">
        <v>1.741259</v>
      </c>
    </row>
    <row r="5029">
      <c r="A5029" s="24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5" t="n">
        <v>2.657554</v>
      </c>
    </row>
    <row r="5030">
      <c r="A5030" s="24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5" t="n">
        <v>1.079815</v>
      </c>
    </row>
    <row r="5031">
      <c r="A5031" s="24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5" t="n">
        <v>1.553975</v>
      </c>
    </row>
    <row r="5032">
      <c r="A5032" s="24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5" t="n">
        <v>0.9593390000000001</v>
      </c>
    </row>
    <row r="5033">
      <c r="A5033" s="24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5" t="n">
        <v>0.791221</v>
      </c>
    </row>
    <row r="5034">
      <c r="A5034" s="24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5" t="n">
        <v>0.93451</v>
      </c>
    </row>
    <row r="5035">
      <c r="A5035" s="24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5" t="n">
        <v>0.342816</v>
      </c>
    </row>
    <row r="5036">
      <c r="A5036" s="24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5" t="n">
        <v>0.857947</v>
      </c>
    </row>
    <row r="5037">
      <c r="A5037" s="24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5" t="n">
        <v>0.191046</v>
      </c>
    </row>
    <row r="5038">
      <c r="A5038" s="24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5" t="n">
        <v>0.66172</v>
      </c>
    </row>
    <row r="5039">
      <c r="A5039" s="24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5" t="n">
        <v>0.200669</v>
      </c>
    </row>
    <row r="5040">
      <c r="A5040" s="24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5" t="n">
        <v>0.448836</v>
      </c>
    </row>
    <row r="5041">
      <c r="A5041" s="24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5" t="n">
        <v>0.263754</v>
      </c>
    </row>
    <row r="5042">
      <c r="A5042" s="24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5" t="n">
        <v>0.246182</v>
      </c>
    </row>
    <row r="5043">
      <c r="A5043" s="24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5" t="n">
        <v>0.317372</v>
      </c>
    </row>
    <row r="5044">
      <c r="A5044" s="24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5" t="n">
        <v>0.106641</v>
      </c>
    </row>
    <row r="5045">
      <c r="A5045" s="24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5" t="n">
        <v>0.336073</v>
      </c>
    </row>
    <row r="5046">
      <c r="A5046" s="24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5" t="n">
        <v>0.069829</v>
      </c>
    </row>
    <row r="5047">
      <c r="A5047" s="24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5" t="n">
        <v>0.268439</v>
      </c>
    </row>
    <row r="5048">
      <c r="A5048" s="24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5" t="n">
        <v>0.074173</v>
      </c>
    </row>
    <row r="5049">
      <c r="A5049" s="24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5" t="n">
        <v>0.191429</v>
      </c>
    </row>
    <row r="5050">
      <c r="A5050" s="24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5" t="n">
        <v>0.09438000000000001</v>
      </c>
    </row>
    <row r="5051">
      <c r="A5051" s="24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5" t="n">
        <v>0.118824</v>
      </c>
    </row>
    <row r="5052">
      <c r="A5052" s="24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5" t="n">
        <v>1.173009</v>
      </c>
    </row>
    <row r="5053">
      <c r="A5053" s="24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5" t="n">
        <v>6.834858</v>
      </c>
    </row>
    <row r="5054">
      <c r="A5054" s="24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5" t="n">
        <v>8.357186</v>
      </c>
    </row>
    <row r="5055">
      <c r="A5055" s="24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5" t="n">
        <v>4.38226</v>
      </c>
    </row>
    <row r="5056">
      <c r="A5056" s="24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5" t="n">
        <v>3.313497</v>
      </c>
    </row>
    <row r="5057">
      <c r="A5057" s="24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5" t="n">
        <v>2.844733</v>
      </c>
    </row>
    <row r="5058">
      <c r="A5058" s="24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5" t="n">
        <v>1.59555</v>
      </c>
    </row>
    <row r="5059">
      <c r="A5059" s="24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5" t="n">
        <v>1.834954</v>
      </c>
    </row>
    <row r="5060">
      <c r="A5060" s="24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5" t="n">
        <v>1.003507</v>
      </c>
    </row>
    <row r="5061">
      <c r="A5061" s="24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5" t="n">
        <v>1.104382</v>
      </c>
    </row>
    <row r="5062">
      <c r="A5062" s="24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5" t="n">
        <v>4.277721</v>
      </c>
    </row>
    <row r="5063">
      <c r="A5063" s="24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5" t="n">
        <v>5.576552</v>
      </c>
    </row>
    <row r="5064">
      <c r="A5064" s="24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5" t="n">
        <v>3.78846</v>
      </c>
    </row>
    <row r="5065">
      <c r="A5065" s="24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5" t="n">
        <v>4.845661</v>
      </c>
    </row>
    <row r="5066">
      <c r="A5066" s="24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5" t="n">
        <v>5.565121</v>
      </c>
    </row>
    <row r="5067">
      <c r="A5067" s="24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5" t="n">
        <v>2.660074</v>
      </c>
    </row>
    <row r="5068">
      <c r="A5068" s="24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5" t="n">
        <v>2.901683</v>
      </c>
    </row>
    <row r="5069">
      <c r="A5069" s="24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5" t="n">
        <v>1.719348</v>
      </c>
    </row>
    <row r="5070">
      <c r="A5070" s="24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5" t="n">
        <v>1.62402</v>
      </c>
    </row>
    <row r="5071">
      <c r="A5071" s="24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5" t="n">
        <v>1.286188</v>
      </c>
    </row>
    <row r="5072">
      <c r="A5072" s="24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5" t="n">
        <v>0.931724</v>
      </c>
    </row>
    <row r="5073">
      <c r="A5073" s="24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5" t="n">
        <v>1.023713</v>
      </c>
    </row>
    <row r="5074">
      <c r="A5074" s="24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5" t="n">
        <v>0.550475</v>
      </c>
    </row>
    <row r="5075">
      <c r="A5075" s="24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5" t="n">
        <v>3.832472</v>
      </c>
    </row>
    <row r="5076">
      <c r="A5076" s="24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5" t="n">
        <v>5.893353</v>
      </c>
    </row>
    <row r="5077">
      <c r="A5077" s="24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5" t="n">
        <v>4.642611</v>
      </c>
    </row>
    <row r="5078">
      <c r="A5078" s="24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5" t="n">
        <v>2.689734</v>
      </c>
    </row>
    <row r="5079">
      <c r="A5079" s="24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5" t="n">
        <v>2.654928</v>
      </c>
    </row>
    <row r="5080">
      <c r="A5080" s="24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5" t="n">
        <v>4.476506</v>
      </c>
    </row>
    <row r="5081">
      <c r="A5081" s="24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5" t="n">
        <v>5.918871</v>
      </c>
    </row>
    <row r="5082">
      <c r="A5082" s="24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5" t="n">
        <v>3.183577</v>
      </c>
    </row>
    <row r="5083">
      <c r="A5083" s="24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5" t="n">
        <v>2.542113</v>
      </c>
    </row>
    <row r="5084">
      <c r="A5084" s="24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5" t="n">
        <v>2.273971</v>
      </c>
    </row>
    <row r="5085">
      <c r="A5085" s="24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5" t="n">
        <v>1.278469</v>
      </c>
    </row>
    <row r="5086">
      <c r="A5086" s="24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5" t="n">
        <v>1.620523</v>
      </c>
    </row>
    <row r="5087">
      <c r="A5087" s="24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5" t="n">
        <v>8.813314999999999</v>
      </c>
    </row>
    <row r="5088">
      <c r="A5088" s="24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5" t="n">
        <v>16.547027</v>
      </c>
    </row>
    <row r="5089">
      <c r="A5089" s="24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5" t="n">
        <v>12.155272</v>
      </c>
    </row>
    <row r="5090">
      <c r="A5090" s="24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5" t="n">
        <v>7.723256</v>
      </c>
    </row>
    <row r="5091">
      <c r="A5091" s="24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5" t="n">
        <v>6.573494</v>
      </c>
    </row>
    <row r="5092">
      <c r="A5092" s="24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5" t="n">
        <v>4.271442</v>
      </c>
    </row>
    <row r="5093">
      <c r="A5093" s="24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5" t="n">
        <v>4.028467</v>
      </c>
    </row>
    <row r="5094">
      <c r="A5094" s="24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5" t="n">
        <v>12.220385</v>
      </c>
    </row>
    <row r="5095">
      <c r="A5095" s="24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5" t="n">
        <v>16.021761</v>
      </c>
    </row>
    <row r="5096">
      <c r="A5096" s="24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5" t="n">
        <v>8.896051</v>
      </c>
    </row>
    <row r="5097">
      <c r="A5097" s="24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5" t="n">
        <v>6.400612</v>
      </c>
    </row>
    <row r="5098">
      <c r="A5098" s="24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5" t="n">
        <v>6.268711</v>
      </c>
    </row>
    <row r="5099">
      <c r="A5099" s="24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5" t="n">
        <v>3.098997</v>
      </c>
    </row>
    <row r="5100">
      <c r="A5100" s="24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5" t="n">
        <v>4.292129</v>
      </c>
    </row>
    <row r="5101">
      <c r="A5101" s="24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5" t="n">
        <v>2.006454</v>
      </c>
    </row>
    <row r="5102">
      <c r="A5102" s="24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5" t="n">
        <v>2.735642</v>
      </c>
    </row>
    <row r="5103">
      <c r="A5103" s="24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5" t="n">
        <v>1.687527</v>
      </c>
    </row>
    <row r="5104">
      <c r="A5104" s="24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5" t="n">
        <v>1.623105</v>
      </c>
    </row>
    <row r="5105">
      <c r="A5105" s="24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5" t="n">
        <v>1.557943</v>
      </c>
    </row>
    <row r="5106">
      <c r="A5106" s="24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5" t="n">
        <v>0.917774</v>
      </c>
    </row>
    <row r="5107">
      <c r="A5107" s="24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5" t="n">
        <v>8.348995</v>
      </c>
    </row>
    <row r="5108">
      <c r="A5108" s="24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5" t="n">
        <v>10.45279</v>
      </c>
    </row>
    <row r="5109">
      <c r="A5109" s="24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5" t="n">
        <v>6.258192</v>
      </c>
    </row>
    <row r="5110">
      <c r="A5110" s="24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5" t="n">
        <v>9.582941</v>
      </c>
    </row>
    <row r="5111">
      <c r="A5111" s="24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5" t="n">
        <v>12.513071</v>
      </c>
    </row>
    <row r="5112">
      <c r="A5112" s="24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5" t="n">
        <v>5.992438</v>
      </c>
    </row>
    <row r="5113">
      <c r="A5113" s="24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5" t="n">
        <v>5.823297</v>
      </c>
    </row>
    <row r="5114">
      <c r="A5114" s="24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5" t="n">
        <v>4.141721</v>
      </c>
    </row>
    <row r="5115">
      <c r="A5115" s="24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5" t="n">
        <v>6.281014</v>
      </c>
    </row>
    <row r="5116">
      <c r="A5116" s="24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5" t="n">
        <v>11.294834</v>
      </c>
    </row>
    <row r="5117">
      <c r="A5117" s="24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5" t="n">
        <v>9.093558</v>
      </c>
    </row>
    <row r="5118">
      <c r="A5118" s="24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5" t="n">
        <v>13.517828</v>
      </c>
    </row>
    <row r="5119">
      <c r="A5119" s="24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5" t="n">
        <v>14.49262</v>
      </c>
    </row>
    <row r="5120">
      <c r="A5120" s="24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5" t="n">
        <v>12.407354</v>
      </c>
    </row>
    <row r="5121">
      <c r="A5121" s="24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5" t="n">
        <v>10.716341</v>
      </c>
    </row>
    <row r="5122">
      <c r="A5122" s="24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5" t="n">
        <v>8.592218000000001</v>
      </c>
    </row>
    <row r="5123">
      <c r="A5123" s="24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5" t="n">
        <v>4.918532</v>
      </c>
    </row>
    <row r="5124">
      <c r="A5124" s="24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5" t="n">
        <v>5.75834</v>
      </c>
    </row>
    <row r="5125">
      <c r="A5125" s="24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5" t="n">
        <v>2.989136</v>
      </c>
    </row>
    <row r="5126">
      <c r="A5126" s="24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5" t="n">
        <v>3.646726</v>
      </c>
    </row>
    <row r="5127">
      <c r="A5127" s="24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5" t="n">
        <v>2.372519</v>
      </c>
    </row>
    <row r="5128">
      <c r="A5128" s="24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5" t="n">
        <v>2.145921</v>
      </c>
    </row>
    <row r="5129">
      <c r="A5129" s="24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5" t="n">
        <v>10.349273</v>
      </c>
    </row>
    <row r="5130">
      <c r="A5130" s="24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5" t="n">
        <v>13.676669</v>
      </c>
    </row>
    <row r="5131">
      <c r="A5131" s="24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5" t="n">
        <v>19.443444</v>
      </c>
    </row>
    <row r="5132">
      <c r="A5132" s="24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5" t="n">
        <v>20.37869</v>
      </c>
    </row>
    <row r="5133">
      <c r="A5133" s="24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5" t="n">
        <v>13.757141</v>
      </c>
    </row>
    <row r="5134">
      <c r="A5134" s="24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5" t="n">
        <v>13.622147</v>
      </c>
    </row>
    <row r="5135">
      <c r="A5135" s="24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5" t="n">
        <v>29.066791</v>
      </c>
    </row>
    <row r="5136">
      <c r="A5136" s="24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5" t="n">
        <v>24.751789</v>
      </c>
    </row>
    <row r="5137">
      <c r="A5137" s="24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5" t="n">
        <v>17.356056</v>
      </c>
    </row>
    <row r="5138">
      <c r="A5138" s="24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5" t="n">
        <v>11.72946</v>
      </c>
    </row>
    <row r="5139">
      <c r="A5139" s="24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5" t="n">
        <v>10.508361</v>
      </c>
    </row>
    <row r="5140">
      <c r="A5140" s="24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5" t="n">
        <v>7.148973</v>
      </c>
    </row>
    <row r="5141">
      <c r="A5141" s="24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5" t="n">
        <v>6.324172</v>
      </c>
    </row>
    <row r="5142">
      <c r="A5142" s="24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5" t="n">
        <v>5.287521</v>
      </c>
    </row>
    <row r="5143">
      <c r="A5143" s="24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5" t="n">
        <v>3.686546</v>
      </c>
    </row>
    <row r="5144">
      <c r="A5144" s="24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5" t="n">
        <v>4.294728</v>
      </c>
    </row>
    <row r="5145">
      <c r="A5145" s="24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5" t="n">
        <v>2.15133</v>
      </c>
    </row>
    <row r="5146">
      <c r="A5146" s="24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5" t="n">
        <v>3.507331</v>
      </c>
    </row>
    <row r="5147">
      <c r="A5147" s="24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5" t="n">
        <v>1.378978</v>
      </c>
    </row>
    <row r="5148">
      <c r="A5148" s="24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5" t="n">
        <v>2.740263</v>
      </c>
    </row>
    <row r="5149">
      <c r="A5149" s="24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5" t="n">
        <v>14.274988</v>
      </c>
    </row>
    <row r="5150">
      <c r="A5150" s="24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5" t="n">
        <v>30.796959</v>
      </c>
    </row>
    <row r="5151">
      <c r="A5151" s="24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5" t="n">
        <v>28.677982</v>
      </c>
    </row>
    <row r="5152">
      <c r="A5152" s="24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5" t="n">
        <v>26.699844</v>
      </c>
    </row>
    <row r="5153">
      <c r="A5153" s="24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5" t="n">
        <v>34.588474</v>
      </c>
    </row>
    <row r="5154">
      <c r="A5154" s="24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5" t="n">
        <v>31.670506</v>
      </c>
    </row>
    <row r="5155">
      <c r="A5155" s="24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5" t="n">
        <v>28.988023</v>
      </c>
    </row>
    <row r="5156">
      <c r="A5156" s="24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5" t="n">
        <v>24.9288</v>
      </c>
    </row>
    <row r="5157">
      <c r="A5157" s="24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5" t="n">
        <v>18.285525</v>
      </c>
    </row>
    <row r="5158">
      <c r="A5158" s="24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5" t="n">
        <v>12.448747</v>
      </c>
    </row>
    <row r="5159">
      <c r="A5159" s="24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5" t="n">
        <v>12.028112</v>
      </c>
    </row>
    <row r="5160">
      <c r="A5160" s="24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5" t="n">
        <v>7.438805</v>
      </c>
    </row>
    <row r="5161">
      <c r="A5161" s="24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5" t="n">
        <v>7.999032</v>
      </c>
    </row>
    <row r="5162">
      <c r="A5162" s="24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5" t="n">
        <v>13.525832</v>
      </c>
    </row>
    <row r="5163">
      <c r="A5163" s="24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5" t="n">
        <v>17.114232</v>
      </c>
    </row>
    <row r="5164">
      <c r="A5164" s="24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5" t="n">
        <v>10.1817</v>
      </c>
    </row>
    <row r="5165">
      <c r="A5165" s="24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5" t="n">
        <v>7.70154</v>
      </c>
    </row>
    <row r="5166">
      <c r="A5166" s="24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5" t="n">
        <v>7.564264</v>
      </c>
    </row>
    <row r="5167">
      <c r="A5167" s="24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5" t="n">
        <v>15.628686</v>
      </c>
    </row>
    <row r="5168">
      <c r="A5168" s="24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5" t="n">
        <v>25.982588</v>
      </c>
    </row>
    <row r="5169">
      <c r="A5169" s="24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5" t="n">
        <v>32.525162</v>
      </c>
    </row>
    <row r="5170">
      <c r="A5170" s="24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5" t="n">
        <v>49.834796</v>
      </c>
    </row>
    <row r="5171">
      <c r="A5171" s="24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5" t="n">
        <v>56.909211</v>
      </c>
    </row>
    <row r="5172">
      <c r="A5172" s="24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5" t="n">
        <v>50.001098</v>
      </c>
    </row>
    <row r="5173">
      <c r="A5173" s="24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5" t="n">
        <v>37.89108</v>
      </c>
    </row>
    <row r="5174">
      <c r="A5174" s="24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5" t="n">
        <v>34.180525</v>
      </c>
    </row>
    <row r="5175">
      <c r="A5175" s="24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5" t="n">
        <v>40.40198</v>
      </c>
    </row>
    <row r="5176">
      <c r="A5176" s="24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5" t="n">
        <v>35.100408</v>
      </c>
    </row>
    <row r="5177">
      <c r="A5177" s="24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5" t="n">
        <v>32.16696</v>
      </c>
    </row>
    <row r="5178">
      <c r="A5178" s="24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5" t="n">
        <v>27.559214</v>
      </c>
    </row>
    <row r="5179">
      <c r="A5179" s="24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5" t="n">
        <v>22.453235</v>
      </c>
    </row>
    <row r="5180">
      <c r="A5180" s="24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5" t="n">
        <v>34.571265</v>
      </c>
    </row>
    <row r="5181">
      <c r="A5181" s="24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5" t="n">
        <v>50.178112</v>
      </c>
    </row>
    <row r="5182">
      <c r="A5182" s="24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5" t="n">
        <v>50.383197</v>
      </c>
    </row>
    <row r="5183">
      <c r="A5183" s="24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5" t="n">
        <v>35.587447</v>
      </c>
    </row>
    <row r="5184">
      <c r="A5184" s="24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5" t="n">
        <v>32.362038</v>
      </c>
    </row>
    <row r="5185">
      <c r="A5185" s="24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5" t="n">
        <v>26.938406</v>
      </c>
    </row>
    <row r="5186">
      <c r="A5186" s="24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5" t="n">
        <v>20.527474</v>
      </c>
    </row>
    <row r="5187">
      <c r="A5187" s="24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5" t="n">
        <v>15.528784</v>
      </c>
    </row>
    <row r="5188">
      <c r="A5188" s="24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5" t="n">
        <v>13.529286</v>
      </c>
    </row>
    <row r="5189">
      <c r="A5189" s="24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5" t="n">
        <v>10.365516</v>
      </c>
    </row>
    <row r="5190">
      <c r="A5190" s="24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5" t="n">
        <v>9.127718</v>
      </c>
    </row>
    <row r="5191">
      <c r="A5191" s="24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5" t="n">
        <v>7.683055</v>
      </c>
    </row>
    <row r="5192">
      <c r="A5192" s="24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5" t="n">
        <v>6.245987</v>
      </c>
    </row>
    <row r="5193">
      <c r="A5193" s="24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5" t="n">
        <v>6.042149</v>
      </c>
    </row>
    <row r="5194">
      <c r="A5194" s="24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5" t="n">
        <v>4.38313</v>
      </c>
    </row>
    <row r="5195">
      <c r="A5195" s="24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5" t="n">
        <v>4.845016</v>
      </c>
    </row>
    <row r="5196">
      <c r="A5196" s="24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5" t="n">
        <v>3.212428</v>
      </c>
    </row>
    <row r="5197">
      <c r="A5197" s="24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5" t="n">
        <v>3.859449</v>
      </c>
    </row>
    <row r="5198">
      <c r="A5198" s="24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5" t="n">
        <v>2.495652</v>
      </c>
    </row>
    <row r="5199">
      <c r="A5199" s="24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5" t="n">
        <v>4.56809</v>
      </c>
    </row>
    <row r="5200">
      <c r="A5200" s="24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5" t="n">
        <v>4.280246</v>
      </c>
    </row>
    <row r="5201">
      <c r="A5201" s="24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5" t="n">
        <v>3.427059</v>
      </c>
    </row>
    <row r="5202">
      <c r="A5202" s="24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5" t="n">
        <v>2.567328</v>
      </c>
    </row>
    <row r="5203">
      <c r="A5203" s="24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5" t="n">
        <v>2.478467</v>
      </c>
    </row>
    <row r="5204">
      <c r="A5204" s="24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5" t="n">
        <v>3.170925</v>
      </c>
    </row>
    <row r="5205">
      <c r="A5205" s="24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5" t="n">
        <v>9.411688</v>
      </c>
    </row>
    <row r="5206">
      <c r="A5206" s="24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5" t="n">
        <v>10.889313</v>
      </c>
    </row>
    <row r="5207">
      <c r="A5207" s="24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5" t="n">
        <v>13.592932</v>
      </c>
    </row>
    <row r="5208">
      <c r="A5208" s="24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5" t="n">
        <v>22.319503</v>
      </c>
    </row>
    <row r="5209">
      <c r="A5209" s="24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5" t="n">
        <v>18.93594</v>
      </c>
    </row>
    <row r="5210">
      <c r="A5210" s="24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5" t="n">
        <v>18.371876</v>
      </c>
    </row>
    <row r="5211">
      <c r="A5211" s="24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5" t="n">
        <v>34.652546</v>
      </c>
    </row>
    <row r="5212">
      <c r="A5212" s="24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5" t="n">
        <v>48.475549</v>
      </c>
    </row>
    <row r="5213">
      <c r="A5213" s="24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5" t="n">
        <v>55.821566</v>
      </c>
    </row>
    <row r="5214">
      <c r="A5214" s="24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5" t="n">
        <v>49.757871</v>
      </c>
    </row>
    <row r="5215">
      <c r="A5215" s="24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5" t="n">
        <v>33.991919</v>
      </c>
    </row>
    <row r="5216">
      <c r="A5216" s="24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5" t="n">
        <v>25.677502</v>
      </c>
    </row>
    <row r="5217">
      <c r="A5217" s="24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5" t="n">
        <v>19.897688</v>
      </c>
    </row>
    <row r="5218">
      <c r="A5218" s="24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5" t="n">
        <v>18.517815</v>
      </c>
    </row>
    <row r="5219">
      <c r="A5219" s="24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5" t="n">
        <v>19.27807</v>
      </c>
    </row>
    <row r="5220">
      <c r="A5220" s="24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5" t="n">
        <v>26.313621</v>
      </c>
    </row>
    <row r="5221">
      <c r="A5221" s="24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5" t="n">
        <v>35.31641</v>
      </c>
    </row>
    <row r="5222">
      <c r="A5222" s="24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5" t="n">
        <v>30.661957</v>
      </c>
    </row>
    <row r="5223">
      <c r="A5223" s="24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5" t="n">
        <v>21.586102</v>
      </c>
    </row>
    <row r="5224">
      <c r="A5224" s="24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5" t="n">
        <v>17.559513</v>
      </c>
    </row>
    <row r="5225">
      <c r="A5225" s="24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5" t="n">
        <v>25.096368</v>
      </c>
    </row>
    <row r="5226">
      <c r="A5226" s="24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5" t="n">
        <v>31.385426</v>
      </c>
    </row>
    <row r="5227">
      <c r="A5227" s="24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5" t="n">
        <v>21.106226</v>
      </c>
    </row>
    <row r="5228">
      <c r="A5228" s="24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5" t="n">
        <v>27.850896</v>
      </c>
    </row>
    <row r="5229">
      <c r="A5229" s="24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5" t="n">
        <v>31.630085</v>
      </c>
    </row>
    <row r="5230">
      <c r="A5230" s="24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5" t="n">
        <v>18.073601</v>
      </c>
    </row>
    <row r="5231">
      <c r="A5231" s="24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5" t="n">
        <v>15.799266</v>
      </c>
    </row>
    <row r="5232">
      <c r="A5232" s="24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5" t="n">
        <v>20.712719</v>
      </c>
    </row>
    <row r="5233">
      <c r="A5233" s="24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5" t="n">
        <v>34.40198</v>
      </c>
    </row>
    <row r="5234">
      <c r="A5234" s="24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5" t="n">
        <v>42.930476</v>
      </c>
    </row>
    <row r="5235">
      <c r="A5235" s="24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5" t="n">
        <v>36.199276</v>
      </c>
    </row>
    <row r="5236">
      <c r="A5236" s="24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5" t="n">
        <v>27.90278</v>
      </c>
    </row>
    <row r="5237">
      <c r="A5237" s="24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5" t="n">
        <v>24.386183</v>
      </c>
    </row>
    <row r="5238">
      <c r="A5238" s="24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5" t="n">
        <v>34.874648</v>
      </c>
    </row>
    <row r="5239">
      <c r="A5239" s="24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5" t="n">
        <v>35.068756</v>
      </c>
    </row>
    <row r="5240">
      <c r="A5240" s="24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5" t="n">
        <v>38.240345</v>
      </c>
    </row>
    <row r="5241">
      <c r="A5241" s="24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5" t="n">
        <v>40.978026</v>
      </c>
    </row>
    <row r="5242">
      <c r="A5242" s="24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5" t="n">
        <v>28.14767</v>
      </c>
    </row>
    <row r="5243">
      <c r="A5243" s="24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5" t="n">
        <v>19.985417</v>
      </c>
    </row>
    <row r="5244">
      <c r="A5244" s="24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5" t="n">
        <v>18.176006</v>
      </c>
    </row>
    <row r="5245">
      <c r="A5245" s="24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5" t="n">
        <v>11.769542</v>
      </c>
    </row>
    <row r="5246">
      <c r="A5246" s="24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5" t="n">
        <v>12.04198</v>
      </c>
    </row>
    <row r="5247">
      <c r="A5247" s="24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5" t="n">
        <v>8.220515000000001</v>
      </c>
    </row>
    <row r="5248">
      <c r="A5248" s="24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5" t="n">
        <v>7.950162</v>
      </c>
    </row>
    <row r="5249">
      <c r="A5249" s="24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5" t="n">
        <v>9.585400999999999</v>
      </c>
    </row>
    <row r="5250">
      <c r="A5250" s="24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5" t="n">
        <v>10.71434</v>
      </c>
    </row>
    <row r="5251">
      <c r="A5251" s="24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5" t="n">
        <v>8.786037</v>
      </c>
    </row>
    <row r="5252">
      <c r="A5252" s="24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5" t="n">
        <v>5.938283</v>
      </c>
    </row>
    <row r="5253">
      <c r="A5253" s="24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5" t="n">
        <v>6.232733</v>
      </c>
    </row>
    <row r="5254">
      <c r="A5254" s="24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5" t="n">
        <v>3.880163</v>
      </c>
    </row>
    <row r="5255">
      <c r="A5255" s="24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5" t="n">
        <v>4.500697</v>
      </c>
    </row>
    <row r="5256">
      <c r="A5256" s="24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5" t="n">
        <v>2.953584</v>
      </c>
    </row>
    <row r="5257">
      <c r="A5257" s="24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5" t="n">
        <v>5.497358</v>
      </c>
    </row>
    <row r="5258">
      <c r="A5258" s="24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5" t="n">
        <v>5.808984</v>
      </c>
    </row>
    <row r="5259">
      <c r="A5259" s="24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5" t="n">
        <v>3.878552</v>
      </c>
    </row>
    <row r="5260">
      <c r="A5260" s="24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5" t="n">
        <v>3.378544</v>
      </c>
    </row>
    <row r="5261">
      <c r="A5261" s="24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5" t="n">
        <v>2.647357</v>
      </c>
    </row>
    <row r="5262">
      <c r="A5262" s="24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5" t="n">
        <v>2.430864</v>
      </c>
    </row>
    <row r="5263">
      <c r="A5263" s="24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5" t="n">
        <v>1.792139</v>
      </c>
    </row>
    <row r="5264">
      <c r="A5264" s="24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5" t="n">
        <v>1.94714</v>
      </c>
    </row>
    <row r="5265">
      <c r="A5265" s="24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5" t="n">
        <v>14.099117</v>
      </c>
    </row>
    <row r="5266">
      <c r="A5266" s="24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5" t="n">
        <v>24.532142</v>
      </c>
    </row>
    <row r="5267">
      <c r="A5267" s="24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5" t="n">
        <v>16.529375</v>
      </c>
    </row>
    <row r="5268">
      <c r="A5268" s="24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5" t="n">
        <v>10.901628</v>
      </c>
    </row>
    <row r="5269">
      <c r="A5269" s="24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5" t="n">
        <v>9.448797000000001</v>
      </c>
    </row>
    <row r="5270">
      <c r="A5270" s="24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5" t="n">
        <v>6.015832</v>
      </c>
    </row>
    <row r="5271">
      <c r="A5271" s="24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5" t="n">
        <v>5.80757</v>
      </c>
    </row>
    <row r="5272">
      <c r="A5272" s="24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5" t="n">
        <v>5.174302</v>
      </c>
    </row>
    <row r="5273">
      <c r="A5273" s="24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5" t="n">
        <v>21.442108</v>
      </c>
    </row>
    <row r="5274">
      <c r="A5274" s="24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5" t="n">
        <v>41.415885</v>
      </c>
    </row>
    <row r="5275">
      <c r="A5275" s="24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5" t="n">
        <v>48.13896</v>
      </c>
    </row>
    <row r="5276">
      <c r="A5276" s="24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5" t="n">
        <v>38.624449</v>
      </c>
    </row>
    <row r="5277">
      <c r="A5277" s="24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5" t="n">
        <v>26.218498</v>
      </c>
    </row>
    <row r="5278">
      <c r="A5278" s="24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5" t="n">
        <v>19.376021</v>
      </c>
    </row>
    <row r="5279">
      <c r="A5279" s="24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5" t="n">
        <v>16.229573</v>
      </c>
    </row>
    <row r="5280">
      <c r="A5280" s="24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5" t="n">
        <v>11.136347</v>
      </c>
    </row>
    <row r="5281">
      <c r="A5281" s="24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5" t="n">
        <v>10.48081</v>
      </c>
    </row>
    <row r="5282">
      <c r="A5282" s="24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5" t="n">
        <v>7.298045</v>
      </c>
    </row>
    <row r="5283">
      <c r="A5283" s="24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5" t="n">
        <v>6.901872</v>
      </c>
    </row>
    <row r="5284">
      <c r="A5284" s="24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5" t="n">
        <v>5.308057</v>
      </c>
    </row>
    <row r="5285">
      <c r="A5285" s="24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5" t="n">
        <v>4.642583</v>
      </c>
    </row>
    <row r="5286">
      <c r="A5286" s="24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5" t="n">
        <v>4.095369</v>
      </c>
    </row>
    <row r="5287">
      <c r="A5287" s="24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5" t="n">
        <v>7.110086</v>
      </c>
    </row>
    <row r="5288">
      <c r="A5288" s="24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5" t="n">
        <v>45.40295</v>
      </c>
    </row>
    <row r="5289">
      <c r="A5289" s="24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5" t="n">
        <v>115.6514</v>
      </c>
    </row>
    <row r="5290">
      <c r="A5290" s="24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5" t="n">
        <v>134.286672</v>
      </c>
    </row>
    <row r="5291">
      <c r="A5291" s="24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5" t="n">
        <v>87.520348</v>
      </c>
    </row>
    <row r="5292">
      <c r="A5292" s="24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5" t="n">
        <v>65.252745</v>
      </c>
    </row>
    <row r="5293">
      <c r="A5293" s="24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5" t="n">
        <v>59.935054</v>
      </c>
    </row>
    <row r="5294">
      <c r="A5294" s="24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5" t="n">
        <v>41.675194</v>
      </c>
    </row>
    <row r="5295">
      <c r="A5295" s="24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5" t="n">
        <v>30.875566</v>
      </c>
    </row>
    <row r="5296">
      <c r="A5296" s="24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5" t="n">
        <v>24.71485</v>
      </c>
    </row>
    <row r="5297">
      <c r="A5297" s="24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5" t="n">
        <v>18.194011</v>
      </c>
    </row>
    <row r="5298">
      <c r="A5298" s="24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5" t="n">
        <v>15.861847</v>
      </c>
    </row>
    <row r="5299">
      <c r="A5299" s="24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5" t="n">
        <v>11.924408</v>
      </c>
    </row>
    <row r="5300">
      <c r="A5300" s="24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5" t="n">
        <v>10.651915</v>
      </c>
    </row>
    <row r="5301">
      <c r="A5301" s="24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5" t="n">
        <v>8.450725</v>
      </c>
    </row>
    <row r="5302">
      <c r="A5302" s="24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5" t="n">
        <v>7.42784</v>
      </c>
    </row>
    <row r="5303">
      <c r="A5303" s="24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5" t="n">
        <v>6.304171</v>
      </c>
    </row>
    <row r="5304">
      <c r="A5304" s="24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5" t="n">
        <v>5.387145</v>
      </c>
    </row>
    <row r="5305">
      <c r="A5305" s="24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5" t="n">
        <v>4.823668</v>
      </c>
    </row>
    <row r="5306">
      <c r="A5306" s="24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5" t="n">
        <v>4.074418</v>
      </c>
    </row>
    <row r="5307">
      <c r="A5307" s="24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5" t="n">
        <v>3.715013</v>
      </c>
    </row>
    <row r="5308">
      <c r="A5308" s="24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5" t="n">
        <v>3.2092</v>
      </c>
    </row>
    <row r="5309">
      <c r="A5309" s="24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5" t="n">
        <v>2.850397</v>
      </c>
    </row>
    <row r="5310">
      <c r="A5310" s="24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5" t="n">
        <v>2.612507</v>
      </c>
    </row>
    <row r="5311">
      <c r="A5311" s="24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5" t="n">
        <v>2.173338</v>
      </c>
    </row>
    <row r="5312">
      <c r="A5312" s="24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5" t="n">
        <v>2.170592</v>
      </c>
    </row>
    <row r="5313">
      <c r="A5313" s="24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5" t="n">
        <v>1.654188</v>
      </c>
    </row>
    <row r="5314">
      <c r="A5314" s="24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5" t="n">
        <v>1.814015</v>
      </c>
    </row>
    <row r="5315">
      <c r="A5315" s="24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5" t="n">
        <v>3.793776</v>
      </c>
    </row>
    <row r="5316">
      <c r="A5316" s="24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5" t="n">
        <v>5.108412</v>
      </c>
    </row>
    <row r="5317">
      <c r="A5317" s="24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5" t="n">
        <v>2.843016</v>
      </c>
    </row>
    <row r="5318">
      <c r="A5318" s="24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5" t="n">
        <v>2.506562</v>
      </c>
    </row>
    <row r="5319">
      <c r="A5319" s="24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5" t="n">
        <v>2.085626</v>
      </c>
    </row>
    <row r="5320">
      <c r="A5320" s="24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5" t="n">
        <v>1.509243</v>
      </c>
    </row>
    <row r="5321">
      <c r="A5321" s="24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5" t="n">
        <v>1.534627</v>
      </c>
    </row>
    <row r="5322">
      <c r="A5322" s="24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5" t="n">
        <v>1.06171</v>
      </c>
    </row>
    <row r="5323">
      <c r="A5323" s="24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5" t="n">
        <v>1.124969</v>
      </c>
    </row>
    <row r="5324">
      <c r="A5324" s="24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5" t="n">
        <v>0.810138</v>
      </c>
    </row>
    <row r="5325">
      <c r="A5325" s="24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5" t="n">
        <v>3.749881</v>
      </c>
    </row>
    <row r="5326">
      <c r="A5326" s="24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5" t="n">
        <v>4.762468</v>
      </c>
    </row>
    <row r="5327">
      <c r="A5327" s="24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5" t="n">
        <v>2.802854</v>
      </c>
    </row>
    <row r="5328">
      <c r="A5328" s="24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5" t="n">
        <v>1.924072</v>
      </c>
    </row>
    <row r="5329">
      <c r="A5329" s="24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5" t="n">
        <v>2.050676</v>
      </c>
    </row>
    <row r="5330">
      <c r="A5330" s="24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5" t="n">
        <v>0.919168</v>
      </c>
    </row>
    <row r="5331">
      <c r="A5331" s="24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5" t="n">
        <v>1.500912</v>
      </c>
    </row>
    <row r="5332">
      <c r="A5332" s="24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5" t="n">
        <v>0.542863</v>
      </c>
    </row>
    <row r="5333">
      <c r="A5333" s="24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5" t="n">
        <v>1.076209</v>
      </c>
    </row>
    <row r="5334">
      <c r="A5334" s="24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5" t="n">
        <v>0.39293</v>
      </c>
    </row>
    <row r="5335">
      <c r="A5335" s="24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5" t="n">
        <v>0.771862</v>
      </c>
    </row>
    <row r="5336">
      <c r="A5336" s="24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5" t="n">
        <v>0.340875</v>
      </c>
    </row>
    <row r="5337">
      <c r="A5337" s="24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5" t="n">
        <v>0.564865</v>
      </c>
    </row>
    <row r="5338">
      <c r="A5338" s="24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5" t="n">
        <v>0.279354</v>
      </c>
    </row>
    <row r="5339">
      <c r="A5339" s="24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5" t="n">
        <v>0.514941</v>
      </c>
    </row>
    <row r="5340">
      <c r="A5340" s="24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5" t="n">
        <v>0.208181</v>
      </c>
    </row>
    <row r="5341">
      <c r="A5341" s="24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5" t="n">
        <v>0.406145</v>
      </c>
    </row>
    <row r="5342">
      <c r="A5342" s="24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5" t="n">
        <v>0.233197</v>
      </c>
    </row>
    <row r="5343">
      <c r="A5343" s="24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5" t="n">
        <v>0.251638</v>
      </c>
    </row>
    <row r="5344">
      <c r="A5344" s="24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5" t="n">
        <v>0.261721</v>
      </c>
    </row>
    <row r="5345">
      <c r="A5345" s="24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5" t="n">
        <v>0.121989</v>
      </c>
    </row>
    <row r="5346">
      <c r="A5346" s="24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5" t="n">
        <v>0.27011</v>
      </c>
    </row>
    <row r="5347">
      <c r="A5347" s="24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5" t="n">
        <v>0.06737899999999999</v>
      </c>
    </row>
    <row r="5348">
      <c r="A5348" s="24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5" t="n">
        <v>0.237771</v>
      </c>
    </row>
    <row r="5349">
      <c r="A5349" s="24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5" t="n">
        <v>0.055419</v>
      </c>
    </row>
    <row r="5350">
      <c r="A5350" s="24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5" t="n">
        <v>0.181958</v>
      </c>
    </row>
    <row r="5351">
      <c r="A5351" s="24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5" t="n">
        <v>0.051103</v>
      </c>
    </row>
    <row r="5352">
      <c r="A5352" s="24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5" t="n">
        <v>0.144584</v>
      </c>
    </row>
    <row r="5353">
      <c r="A5353" s="24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5" t="n">
        <v>0.056196</v>
      </c>
    </row>
    <row r="5354">
      <c r="A5354" s="24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5" t="n">
        <v>0.105317</v>
      </c>
    </row>
    <row r="5355">
      <c r="A5355" s="24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5" t="n">
        <v>0.061985</v>
      </c>
    </row>
    <row r="5356">
      <c r="A5356" s="24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5" t="n">
        <v>0.06854</v>
      </c>
    </row>
    <row r="5357">
      <c r="A5357" s="24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5" t="n">
        <v>0.066083</v>
      </c>
    </row>
    <row r="5358">
      <c r="A5358" s="24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5" t="n">
        <v>0.041586</v>
      </c>
    </row>
    <row r="5359">
      <c r="A5359" s="24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5" t="n">
        <v>0.06798999999999999</v>
      </c>
    </row>
    <row r="5360">
      <c r="A5360" s="24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5" t="n">
        <v>0.019268</v>
      </c>
    </row>
    <row r="5361">
      <c r="A5361" s="24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5" t="n">
        <v>0.065329</v>
      </c>
    </row>
    <row r="5362">
      <c r="A5362" s="24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5" t="n">
        <v>0.015918</v>
      </c>
    </row>
    <row r="5363">
      <c r="A5363" s="24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5" t="n">
        <v>0.053803</v>
      </c>
    </row>
    <row r="5364">
      <c r="A5364" s="24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5" t="n">
        <v>0.014779</v>
      </c>
    </row>
    <row r="5365">
      <c r="A5365" s="24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5" t="n">
        <v>0.040231</v>
      </c>
    </row>
    <row r="5366">
      <c r="A5366" s="24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5" t="n">
        <v>0.014857</v>
      </c>
    </row>
    <row r="5367">
      <c r="A5367" s="24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5" t="n">
        <v>0.02993</v>
      </c>
    </row>
    <row r="5368">
      <c r="A5368" s="24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5" t="n">
        <v>0.015572</v>
      </c>
    </row>
    <row r="5369">
      <c r="A5369" s="24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5" t="n">
        <v>0.024175</v>
      </c>
    </row>
    <row r="5370">
      <c r="A5370" s="24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5" t="n">
        <v>0.016325</v>
      </c>
    </row>
    <row r="5371">
      <c r="A5371" s="24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5" t="n">
        <v>0.017023</v>
      </c>
    </row>
    <row r="5372">
      <c r="A5372" s="24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5" t="n">
        <v>0.016941</v>
      </c>
    </row>
    <row r="5373">
      <c r="A5373" s="24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5" t="n">
        <v>0.009644</v>
      </c>
    </row>
    <row r="5374">
      <c r="A5374" s="24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5" t="n">
        <v>0.017478</v>
      </c>
    </row>
    <row r="5375">
      <c r="A5375" s="24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5" t="n">
        <v>0.004607</v>
      </c>
    </row>
    <row r="5376">
      <c r="A5376" s="24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5" t="n">
        <v>0.016953</v>
      </c>
    </row>
    <row r="5377">
      <c r="A5377" s="24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5" t="n">
        <v>0.003807</v>
      </c>
    </row>
    <row r="5378">
      <c r="A5378" s="24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5" t="n">
        <v>0.013246</v>
      </c>
    </row>
    <row r="5379">
      <c r="A5379" s="24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5" t="n">
        <v>0.003551</v>
      </c>
    </row>
    <row r="5380">
      <c r="A5380" s="24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5" t="n">
        <v>0.010397</v>
      </c>
    </row>
    <row r="5381">
      <c r="A5381" s="24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5" t="n">
        <v>0.003625</v>
      </c>
    </row>
    <row r="5382">
      <c r="A5382" s="24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5" t="n">
        <v>0.007618</v>
      </c>
    </row>
    <row r="5383">
      <c r="A5383" s="24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5" t="n">
        <v>0.003597</v>
      </c>
    </row>
    <row r="5384">
      <c r="A5384" s="24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5" t="n">
        <v>0.005322</v>
      </c>
    </row>
    <row r="5385">
      <c r="A5385" s="24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5" t="n">
        <v>0.003675</v>
      </c>
    </row>
    <row r="5386">
      <c r="A5386" s="24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5" t="n">
        <v>0.003547</v>
      </c>
    </row>
    <row r="5387">
      <c r="A5387" s="24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5" t="n">
        <v>0.003771</v>
      </c>
    </row>
    <row r="5388">
      <c r="A5388" s="24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5" t="n">
        <v>0.002299</v>
      </c>
    </row>
    <row r="5389">
      <c r="A5389" s="24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5" t="n">
        <v>0.003856</v>
      </c>
    </row>
    <row r="5390">
      <c r="A5390" s="24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5" t="n">
        <v>0.001102</v>
      </c>
    </row>
    <row r="5391">
      <c r="A5391" s="24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5" t="n">
        <v>0.003796</v>
      </c>
    </row>
    <row r="5392">
      <c r="A5392" s="24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5" t="n">
        <v>0.000911</v>
      </c>
    </row>
    <row r="5393">
      <c r="A5393" s="24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5" t="n">
        <v>0.003013</v>
      </c>
    </row>
    <row r="5394">
      <c r="A5394" s="24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5" t="n">
        <v>0.000753</v>
      </c>
    </row>
    <row r="5395">
      <c r="A5395" s="24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5" t="n">
        <v>0.002318</v>
      </c>
    </row>
    <row r="5396">
      <c r="A5396" s="24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5" t="n">
        <v>0.00069</v>
      </c>
    </row>
    <row r="5397">
      <c r="A5397" s="24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5" t="n">
        <v>0.001841</v>
      </c>
    </row>
    <row r="5398">
      <c r="A5398" s="24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5" t="n">
        <v>0.000688</v>
      </c>
    </row>
    <row r="5399">
      <c r="A5399" s="24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5" t="n">
        <v>0.001366</v>
      </c>
    </row>
    <row r="5400">
      <c r="A5400" s="24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5" t="n">
        <v>0.000715</v>
      </c>
    </row>
    <row r="5401">
      <c r="A5401" s="24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5" t="n">
        <v>0.000923</v>
      </c>
    </row>
    <row r="5402">
      <c r="A5402" s="24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5" t="n">
        <v>0.000742</v>
      </c>
    </row>
    <row r="5403">
      <c r="A5403" s="24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5" t="n">
        <v>0.000629</v>
      </c>
    </row>
    <row r="5404">
      <c r="A5404" s="24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5" t="n">
        <v>0.000738</v>
      </c>
    </row>
    <row r="5405">
      <c r="A5405" s="24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5" t="n">
        <v>0.000348</v>
      </c>
    </row>
    <row r="5406">
      <c r="A5406" s="24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5" t="n">
        <v>0.000722</v>
      </c>
    </row>
    <row r="5407">
      <c r="A5407" s="24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5" t="n">
        <v>0.000218</v>
      </c>
    </row>
    <row r="5408">
      <c r="A5408" s="24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5" t="n">
        <v>0.000646</v>
      </c>
    </row>
    <row r="5409">
      <c r="A5409" s="24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5" t="n">
        <v>0.00018</v>
      </c>
    </row>
    <row r="5410">
      <c r="A5410" s="24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5" t="n">
        <v>0.0005419999999999999</v>
      </c>
    </row>
    <row r="5411">
      <c r="A5411" s="24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5" t="n">
        <v>0.000162</v>
      </c>
    </row>
    <row r="5412">
      <c r="A5412" s="24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5" t="n">
        <v>0.000412</v>
      </c>
    </row>
    <row r="5413">
      <c r="A5413" s="24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5" t="n">
        <v>0.00015</v>
      </c>
    </row>
    <row r="5414">
      <c r="A5414" s="24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5" t="n">
        <v>0.000305</v>
      </c>
    </row>
    <row r="5415">
      <c r="A5415" s="24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5" t="n">
        <v>0.000145</v>
      </c>
    </row>
    <row r="5416">
      <c r="A5416" s="24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5" t="n">
        <v>0.000226</v>
      </c>
    </row>
    <row r="5417">
      <c r="A5417" s="24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5" t="n">
        <v>0.000146</v>
      </c>
    </row>
    <row r="5418">
      <c r="A5418" s="24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5" t="n">
        <v>0.00016</v>
      </c>
    </row>
    <row r="5419">
      <c r="A5419" s="24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5" t="n">
        <v>0.000142</v>
      </c>
    </row>
    <row r="5420">
      <c r="A5420" s="24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5" t="n">
        <v>0.000109</v>
      </c>
    </row>
    <row r="5421">
      <c r="A5421" s="24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5" t="n">
        <v>12.346562</v>
      </c>
    </row>
    <row r="5422">
      <c r="A5422" s="24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5" t="n">
        <v>19.775884</v>
      </c>
    </row>
    <row r="5423">
      <c r="A5423" s="24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5" t="n">
        <v>11.95589</v>
      </c>
    </row>
    <row r="5424">
      <c r="A5424" s="24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5" t="n">
        <v>7.738813</v>
      </c>
    </row>
    <row r="5425">
      <c r="A5425" s="24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5" t="n">
        <v>7.256226</v>
      </c>
    </row>
    <row r="5426">
      <c r="A5426" s="24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5" t="n">
        <v>3.759859</v>
      </c>
    </row>
    <row r="5427">
      <c r="A5427" s="24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5" t="n">
        <v>4.469616</v>
      </c>
    </row>
    <row r="5428">
      <c r="A5428" s="24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5" t="n">
        <v>2.382756</v>
      </c>
    </row>
    <row r="5429">
      <c r="A5429" s="24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5" t="n">
        <v>2.613172</v>
      </c>
    </row>
    <row r="5430">
      <c r="A5430" s="24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5" t="n">
        <v>1.893011</v>
      </c>
    </row>
    <row r="5431">
      <c r="A5431" s="24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5" t="n">
        <v>1.432467</v>
      </c>
    </row>
    <row r="5432">
      <c r="A5432" s="24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5" t="n">
        <v>1.636651</v>
      </c>
    </row>
    <row r="5433">
      <c r="A5433" s="24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5" t="n">
        <v>0.758104</v>
      </c>
    </row>
    <row r="5434">
      <c r="A5434" s="24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5" t="n">
        <v>1.387739</v>
      </c>
    </row>
    <row r="5435">
      <c r="A5435" s="24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5" t="n">
        <v>0.437253</v>
      </c>
    </row>
    <row r="5436">
      <c r="A5436" s="24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5" t="n">
        <v>13.535821</v>
      </c>
    </row>
    <row r="5437">
      <c r="A5437" s="24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5" t="n">
        <v>31.034007</v>
      </c>
    </row>
    <row r="5438">
      <c r="A5438" s="24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5" t="n">
        <v>28.226868</v>
      </c>
    </row>
    <row r="5439">
      <c r="A5439" s="24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5" t="n">
        <v>15.993328</v>
      </c>
    </row>
    <row r="5440">
      <c r="A5440" s="24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5" t="n">
        <v>13.317409</v>
      </c>
    </row>
    <row r="5441">
      <c r="A5441" s="24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5" t="n">
        <v>9.580131</v>
      </c>
    </row>
    <row r="5442">
      <c r="A5442" s="24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5" t="n">
        <v>7.132421</v>
      </c>
    </row>
    <row r="5443">
      <c r="A5443" s="24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5" t="n">
        <v>6.356645</v>
      </c>
    </row>
    <row r="5444">
      <c r="A5444" s="24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5" t="n">
        <v>4.204868</v>
      </c>
    </row>
    <row r="5445">
      <c r="A5445" s="24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5" t="n">
        <v>4.400112</v>
      </c>
    </row>
    <row r="5446">
      <c r="A5446" s="24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5" t="n">
        <v>2.748838</v>
      </c>
    </row>
    <row r="5447">
      <c r="A5447" s="24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5" t="n">
        <v>3.101125</v>
      </c>
    </row>
    <row r="5448">
      <c r="A5448" s="24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5" t="n">
        <v>16.068639</v>
      </c>
    </row>
    <row r="5449">
      <c r="A5449" s="24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5" t="n">
        <v>26.171771</v>
      </c>
    </row>
    <row r="5450">
      <c r="A5450" s="24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5" t="n">
        <v>17.139276</v>
      </c>
    </row>
    <row r="5451">
      <c r="A5451" s="24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5" t="n">
        <v>11.354364</v>
      </c>
    </row>
    <row r="5452">
      <c r="A5452" s="24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5" t="n">
        <v>10.263675</v>
      </c>
    </row>
    <row r="5453">
      <c r="A5453" s="24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5" t="n">
        <v>6.120767</v>
      </c>
    </row>
    <row r="5454">
      <c r="A5454" s="24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5" t="n">
        <v>6.46129</v>
      </c>
    </row>
    <row r="5455">
      <c r="A5455" s="24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5" t="n">
        <v>4.001671</v>
      </c>
    </row>
    <row r="5456">
      <c r="A5456" s="24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5" t="n">
        <v>4.064448</v>
      </c>
    </row>
    <row r="5457">
      <c r="A5457" s="24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5" t="n">
        <v>3.02763</v>
      </c>
    </row>
    <row r="5458">
      <c r="A5458" s="24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5" t="n">
        <v>2.560194</v>
      </c>
    </row>
    <row r="5459">
      <c r="A5459" s="24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5" t="n">
        <v>8.398339999999999</v>
      </c>
    </row>
    <row r="5460">
      <c r="A5460" s="24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5" t="n">
        <v>10.171108</v>
      </c>
    </row>
    <row r="5461">
      <c r="A5461" s="24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5" t="n">
        <v>6.321618</v>
      </c>
    </row>
    <row r="5462">
      <c r="A5462" s="24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5" t="n">
        <v>4.895374</v>
      </c>
    </row>
    <row r="5463">
      <c r="A5463" s="24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5" t="n">
        <v>17.79958</v>
      </c>
    </row>
    <row r="5464">
      <c r="A5464" s="24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5" t="n">
        <v>21.411251</v>
      </c>
    </row>
    <row r="5465">
      <c r="A5465" s="24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5" t="n">
        <v>17.8757</v>
      </c>
    </row>
    <row r="5466">
      <c r="A5466" s="24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5" t="n">
        <v>14.588651</v>
      </c>
    </row>
    <row r="5467">
      <c r="A5467" s="24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5" t="n">
        <v>11.63192</v>
      </c>
    </row>
    <row r="5468">
      <c r="A5468" s="24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5" t="n">
        <v>20.012619</v>
      </c>
    </row>
    <row r="5469">
      <c r="A5469" s="24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5" t="n">
        <v>26.095941</v>
      </c>
    </row>
    <row r="5470">
      <c r="A5470" s="24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5" t="n">
        <v>13.973593</v>
      </c>
    </row>
    <row r="5471">
      <c r="A5471" s="24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5" t="n">
        <v>11.081019</v>
      </c>
    </row>
    <row r="5472">
      <c r="A5472" s="24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5" t="n">
        <v>21.867861</v>
      </c>
    </row>
    <row r="5473">
      <c r="A5473" s="24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5" t="n">
        <v>22.150701</v>
      </c>
    </row>
    <row r="5474">
      <c r="A5474" s="24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5" t="n">
        <v>16.077338</v>
      </c>
    </row>
    <row r="5475">
      <c r="A5475" s="24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5" t="n">
        <v>9.105165</v>
      </c>
    </row>
    <row r="5476">
      <c r="A5476" s="24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5" t="n">
        <v>11.064596</v>
      </c>
    </row>
    <row r="5477">
      <c r="A5477" s="24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5" t="n">
        <v>4.9378</v>
      </c>
    </row>
    <row r="5478">
      <c r="A5478" s="24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5" t="n">
        <v>7.205026</v>
      </c>
    </row>
    <row r="5479">
      <c r="A5479" s="24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5" t="n">
        <v>3.773987</v>
      </c>
    </row>
    <row r="5480">
      <c r="A5480" s="24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5" t="n">
        <v>4.274517</v>
      </c>
    </row>
    <row r="5481">
      <c r="A5481" s="24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5" t="n">
        <v>3.519038</v>
      </c>
    </row>
    <row r="5482">
      <c r="A5482" s="24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5" t="n">
        <v>2.278234</v>
      </c>
    </row>
    <row r="5483">
      <c r="A5483" s="24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5" t="n">
        <v>3.354883</v>
      </c>
    </row>
    <row r="5484">
      <c r="A5484" s="24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5" t="n">
        <v>1.095685</v>
      </c>
    </row>
    <row r="5485">
      <c r="A5485" s="24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5" t="n">
        <v>3.027018</v>
      </c>
    </row>
    <row r="5486">
      <c r="A5486" s="24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5" t="n">
        <v>0.713712</v>
      </c>
    </row>
    <row r="5487">
      <c r="A5487" s="24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5" t="n">
        <v>2.355932</v>
      </c>
    </row>
    <row r="5488">
      <c r="A5488" s="24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5" t="n">
        <v>0.712903</v>
      </c>
    </row>
    <row r="5489">
      <c r="A5489" s="24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5" t="n">
        <v>1.636403</v>
      </c>
    </row>
    <row r="5490">
      <c r="A5490" s="24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5" t="n">
        <v>0.849017</v>
      </c>
    </row>
    <row r="5491">
      <c r="A5491" s="24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5" t="n">
        <v>1.00526</v>
      </c>
    </row>
    <row r="5492">
      <c r="A5492" s="24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5" t="n">
        <v>0.9643</v>
      </c>
    </row>
    <row r="5493">
      <c r="A5493" s="24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5" t="n">
        <v>0.5362710000000001</v>
      </c>
    </row>
    <row r="5494">
      <c r="A5494" s="24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5" t="n">
        <v>8.966165999999999</v>
      </c>
    </row>
    <row r="5495">
      <c r="A5495" s="24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5" t="n">
        <v>11.741525</v>
      </c>
    </row>
    <row r="5496">
      <c r="A5496" s="24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5" t="n">
        <v>6.771164</v>
      </c>
    </row>
    <row r="5497">
      <c r="A5497" s="24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5" t="n">
        <v>4.173247</v>
      </c>
    </row>
    <row r="5498">
      <c r="A5498" s="24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5" t="n">
        <v>4.871495</v>
      </c>
    </row>
    <row r="5499">
      <c r="A5499" s="24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5" t="n">
        <v>1.726071</v>
      </c>
    </row>
    <row r="5500">
      <c r="A5500" s="24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5" t="n">
        <v>3.374371</v>
      </c>
    </row>
    <row r="5501">
      <c r="A5501" s="24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5" t="n">
        <v>1.030033</v>
      </c>
    </row>
    <row r="5502">
      <c r="A5502" s="24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5" t="n">
        <v>4.615668</v>
      </c>
    </row>
    <row r="5503">
      <c r="A5503" s="24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5" t="n">
        <v>4.453425</v>
      </c>
    </row>
    <row r="5504">
      <c r="A5504" s="24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5" t="n">
        <v>15.565959</v>
      </c>
    </row>
    <row r="5505">
      <c r="A5505" s="24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5" t="n">
        <v>29.373984</v>
      </c>
    </row>
    <row r="5506">
      <c r="A5506" s="24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5" t="n">
        <v>33.080311</v>
      </c>
    </row>
    <row r="5507">
      <c r="A5507" s="24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5" t="n">
        <v>27.214064</v>
      </c>
    </row>
    <row r="5508">
      <c r="A5508" s="24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5" t="n">
        <v>18.547371</v>
      </c>
    </row>
    <row r="5509">
      <c r="A5509" s="24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5" t="n">
        <v>13.063254</v>
      </c>
    </row>
    <row r="5510">
      <c r="A5510" s="24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5" t="n">
        <v>11.137041</v>
      </c>
    </row>
    <row r="5511">
      <c r="A5511" s="24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5" t="n">
        <v>7.672259</v>
      </c>
    </row>
    <row r="5512">
      <c r="A5512" s="24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5" t="n">
        <v>6.838928</v>
      </c>
    </row>
    <row r="5513">
      <c r="A5513" s="24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5" t="n">
        <v>5.32072</v>
      </c>
    </row>
    <row r="5514">
      <c r="A5514" s="24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5" t="n">
        <v>4.182291</v>
      </c>
    </row>
    <row r="5515">
      <c r="A5515" s="24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5" t="n">
        <v>4.093243</v>
      </c>
    </row>
    <row r="5516">
      <c r="A5516" s="24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5" t="n">
        <v>2.593378</v>
      </c>
    </row>
    <row r="5517">
      <c r="A5517" s="24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5" t="n">
        <v>3.253703</v>
      </c>
    </row>
    <row r="5518">
      <c r="A5518" s="24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5" t="n">
        <v>1.712747</v>
      </c>
    </row>
    <row r="5519">
      <c r="A5519" s="24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5" t="n">
        <v>2.546854</v>
      </c>
    </row>
    <row r="5520">
      <c r="A5520" s="24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5" t="n">
        <v>3.196036</v>
      </c>
    </row>
    <row r="5521">
      <c r="A5521" s="24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5" t="n">
        <v>4.655773</v>
      </c>
    </row>
    <row r="5522">
      <c r="A5522" s="24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5" t="n">
        <v>2.490628</v>
      </c>
    </row>
    <row r="5523">
      <c r="A5523" s="24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5" t="n">
        <v>2.338892</v>
      </c>
    </row>
    <row r="5524">
      <c r="A5524" s="24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5" t="n">
        <v>1.977844</v>
      </c>
    </row>
    <row r="5525">
      <c r="A5525" s="24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5" t="n">
        <v>1.328371</v>
      </c>
    </row>
    <row r="5526">
      <c r="A5526" s="24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5" t="n">
        <v>2.379001</v>
      </c>
    </row>
    <row r="5527">
      <c r="A5527" s="24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5" t="n">
        <v>1.943187</v>
      </c>
    </row>
    <row r="5528">
      <c r="A5528" s="24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5" t="n">
        <v>1.850639</v>
      </c>
    </row>
    <row r="5529">
      <c r="A5529" s="24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5" t="n">
        <v>16.213685</v>
      </c>
    </row>
    <row r="5530">
      <c r="A5530" s="24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5" t="n">
        <v>38.826057</v>
      </c>
    </row>
    <row r="5531">
      <c r="A5531" s="24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5" t="n">
        <v>50.338701</v>
      </c>
    </row>
    <row r="5532">
      <c r="A5532" s="24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5" t="n">
        <v>57.690684</v>
      </c>
    </row>
    <row r="5533">
      <c r="A5533" s="24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5" t="n">
        <v>60.796156</v>
      </c>
    </row>
    <row r="5534">
      <c r="A5534" s="24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5" t="n">
        <v>52.386828</v>
      </c>
    </row>
    <row r="5535">
      <c r="A5535" s="24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5" t="n">
        <v>39.029572</v>
      </c>
    </row>
    <row r="5536">
      <c r="A5536" s="24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5" t="n">
        <v>28.21117</v>
      </c>
    </row>
    <row r="5537">
      <c r="A5537" s="24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5" t="n">
        <v>22.571586</v>
      </c>
    </row>
    <row r="5538">
      <c r="A5538" s="24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5" t="n">
        <v>17.105439</v>
      </c>
    </row>
    <row r="5539">
      <c r="A5539" s="24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5" t="n">
        <v>13.983139</v>
      </c>
    </row>
    <row r="5540">
      <c r="A5540" s="24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5" t="n">
        <v>11.361077</v>
      </c>
    </row>
    <row r="5541">
      <c r="A5541" s="24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5" t="n">
        <v>9.156533</v>
      </c>
    </row>
    <row r="5542">
      <c r="A5542" s="24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5" t="n">
        <v>8.536014</v>
      </c>
    </row>
    <row r="5543">
      <c r="A5543" s="24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5" t="n">
        <v>7.033568</v>
      </c>
    </row>
    <row r="5544">
      <c r="A5544" s="24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5" t="n">
        <v>9.990019999999999</v>
      </c>
    </row>
    <row r="5545">
      <c r="A5545" s="24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5" t="n">
        <v>14.792286</v>
      </c>
    </row>
    <row r="5546">
      <c r="A5546" s="24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5" t="n">
        <v>28.76755</v>
      </c>
    </row>
    <row r="5547">
      <c r="A5547" s="24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5" t="n">
        <v>30.153209</v>
      </c>
    </row>
    <row r="5548">
      <c r="A5548" s="24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5" t="n">
        <v>20.587659</v>
      </c>
    </row>
    <row r="5549">
      <c r="A5549" s="24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5" t="n">
        <v>16.485015</v>
      </c>
    </row>
    <row r="5550">
      <c r="A5550" s="24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5" t="n">
        <v>13.704837</v>
      </c>
    </row>
    <row r="5551">
      <c r="A5551" s="24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5" t="n">
        <v>8.702996000000001</v>
      </c>
    </row>
    <row r="5552">
      <c r="A5552" s="24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5" t="n">
        <v>9.091447000000001</v>
      </c>
    </row>
    <row r="5553">
      <c r="A5553" s="24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5" t="n">
        <v>13.887285</v>
      </c>
    </row>
    <row r="5554">
      <c r="A5554" s="24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5" t="n">
        <v>17.362459</v>
      </c>
    </row>
    <row r="5555">
      <c r="A5555" s="24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5" t="n">
        <v>24.221072</v>
      </c>
    </row>
    <row r="5556">
      <c r="A5556" s="24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5" t="n">
        <v>35.03786</v>
      </c>
    </row>
    <row r="5557">
      <c r="A5557" s="24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5" t="n">
        <v>35.293901</v>
      </c>
    </row>
    <row r="5558">
      <c r="A5558" s="24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5" t="n">
        <v>25.738551</v>
      </c>
    </row>
    <row r="5559">
      <c r="A5559" s="24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5" t="n">
        <v>21.549112</v>
      </c>
    </row>
    <row r="5560">
      <c r="A5560" s="24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5" t="n">
        <v>12.869942</v>
      </c>
    </row>
    <row r="5561">
      <c r="A5561" s="24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5" t="n">
        <v>18.313363</v>
      </c>
    </row>
    <row r="5562">
      <c r="A5562" s="24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5" t="n">
        <v>15.74966</v>
      </c>
    </row>
    <row r="5563">
      <c r="A5563" s="24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5" t="n">
        <v>13.224081</v>
      </c>
    </row>
    <row r="5564">
      <c r="A5564" s="24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5" t="n">
        <v>22.095647</v>
      </c>
    </row>
    <row r="5565">
      <c r="A5565" s="24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5" t="n">
        <v>29.437512</v>
      </c>
    </row>
    <row r="5566">
      <c r="A5566" s="24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5" t="n">
        <v>20.217694</v>
      </c>
    </row>
    <row r="5567">
      <c r="A5567" s="24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5" t="n">
        <v>24.803941</v>
      </c>
    </row>
    <row r="5568">
      <c r="A5568" s="24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5" t="n">
        <v>36.229133</v>
      </c>
    </row>
    <row r="5569">
      <c r="A5569" s="24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5" t="n">
        <v>25.040367</v>
      </c>
    </row>
    <row r="5570">
      <c r="A5570" s="24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5" t="n">
        <v>19.891477</v>
      </c>
    </row>
    <row r="5571">
      <c r="A5571" s="24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5" t="n">
        <v>13.689421</v>
      </c>
    </row>
    <row r="5572">
      <c r="A5572" s="24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5" t="n">
        <v>12.178044</v>
      </c>
    </row>
    <row r="5573">
      <c r="A5573" s="24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5" t="n">
        <v>10.039559</v>
      </c>
    </row>
    <row r="5574">
      <c r="A5574" s="24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5" t="n">
        <v>14.080573</v>
      </c>
    </row>
    <row r="5575">
      <c r="A5575" s="24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5" t="n">
        <v>21.251303</v>
      </c>
    </row>
    <row r="5576">
      <c r="A5576" s="24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5" t="n">
        <v>22.246572</v>
      </c>
    </row>
    <row r="5577">
      <c r="A5577" s="24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5" t="n">
        <v>30.005496</v>
      </c>
    </row>
    <row r="5578">
      <c r="A5578" s="24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5" t="n">
        <v>32.401906</v>
      </c>
    </row>
    <row r="5579">
      <c r="A5579" s="24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5" t="n">
        <v>20.605307</v>
      </c>
    </row>
    <row r="5580">
      <c r="A5580" s="24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5" t="n">
        <v>14.606159</v>
      </c>
    </row>
    <row r="5581">
      <c r="A5581" s="24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5" t="n">
        <v>14.907762</v>
      </c>
    </row>
    <row r="5582">
      <c r="A5582" s="24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5" t="n">
        <v>7.911053</v>
      </c>
    </row>
    <row r="5583">
      <c r="A5583" s="24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5" t="n">
        <v>11.067265</v>
      </c>
    </row>
    <row r="5584">
      <c r="A5584" s="24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5" t="n">
        <v>15.437039</v>
      </c>
    </row>
    <row r="5585">
      <c r="A5585" s="24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5" t="n">
        <v>34.425063</v>
      </c>
    </row>
    <row r="5586">
      <c r="A5586" s="24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5" t="n">
        <v>37.205542</v>
      </c>
    </row>
    <row r="5587">
      <c r="A5587" s="24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5" t="n">
        <v>28.04787</v>
      </c>
    </row>
    <row r="5588">
      <c r="A5588" s="24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5" t="n">
        <v>21.524973</v>
      </c>
    </row>
    <row r="5589">
      <c r="A5589" s="24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5" t="n">
        <v>15.96592</v>
      </c>
    </row>
    <row r="5590">
      <c r="A5590" s="24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5" t="n">
        <v>21.812868</v>
      </c>
    </row>
    <row r="5591">
      <c r="A5591" s="24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5" t="n">
        <v>23.130016</v>
      </c>
    </row>
    <row r="5592">
      <c r="A5592" s="24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5" t="n">
        <v>25.066824</v>
      </c>
    </row>
    <row r="5593">
      <c r="A5593" s="24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5" t="n">
        <v>25.589557</v>
      </c>
    </row>
    <row r="5594">
      <c r="A5594" s="24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5" t="n">
        <v>17.824179</v>
      </c>
    </row>
    <row r="5595">
      <c r="A5595" s="24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5" t="n">
        <v>11.683518</v>
      </c>
    </row>
    <row r="5596">
      <c r="A5596" s="24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5" t="n">
        <v>17.293023</v>
      </c>
    </row>
    <row r="5597">
      <c r="A5597" s="24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5" t="n">
        <v>28.702636</v>
      </c>
    </row>
    <row r="5598">
      <c r="A5598" s="24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5" t="n">
        <v>44.086068</v>
      </c>
    </row>
    <row r="5599">
      <c r="A5599" s="24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5" t="n">
        <v>34.18371</v>
      </c>
    </row>
    <row r="5600">
      <c r="A5600" s="24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5" t="n">
        <v>23.237595</v>
      </c>
    </row>
    <row r="5601">
      <c r="A5601" s="24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5" t="n">
        <v>18.555757</v>
      </c>
    </row>
    <row r="5602">
      <c r="A5602" s="24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5" t="n">
        <v>13.482396</v>
      </c>
    </row>
    <row r="5603">
      <c r="A5603" s="24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5" t="n">
        <v>11.853106</v>
      </c>
    </row>
    <row r="5604">
      <c r="A5604" s="24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5" t="n">
        <v>8.435648</v>
      </c>
    </row>
    <row r="5605">
      <c r="A5605" s="24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5" t="n">
        <v>21.715496</v>
      </c>
    </row>
    <row r="5606">
      <c r="A5606" s="24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5" t="n">
        <v>24.838504</v>
      </c>
    </row>
    <row r="5607">
      <c r="A5607" s="24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5" t="n">
        <v>15.830357</v>
      </c>
    </row>
    <row r="5608">
      <c r="A5608" s="24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5" t="n">
        <v>11.552054</v>
      </c>
    </row>
    <row r="5609">
      <c r="A5609" s="24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5" t="n">
        <v>12.060616</v>
      </c>
    </row>
    <row r="5610">
      <c r="A5610" s="24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5" t="n">
        <v>9.949801000000001</v>
      </c>
    </row>
    <row r="5611">
      <c r="A5611" s="24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5" t="n">
        <v>12.709213</v>
      </c>
    </row>
    <row r="5612">
      <c r="A5612" s="24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5" t="n">
        <v>8.355741999999999</v>
      </c>
    </row>
    <row r="5613">
      <c r="A5613" s="24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5" t="n">
        <v>8.174302000000001</v>
      </c>
    </row>
    <row r="5614">
      <c r="A5614" s="24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5" t="n">
        <v>12.340436</v>
      </c>
    </row>
    <row r="5615">
      <c r="A5615" s="24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5" t="n">
        <v>12.300877</v>
      </c>
    </row>
    <row r="5616">
      <c r="A5616" s="24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5" t="n">
        <v>21.89154</v>
      </c>
    </row>
    <row r="5617">
      <c r="A5617" s="24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5" t="n">
        <v>27.556859</v>
      </c>
    </row>
    <row r="5618">
      <c r="A5618" s="24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5" t="n">
        <v>22.934047</v>
      </c>
    </row>
    <row r="5619">
      <c r="A5619" s="24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5" t="n">
        <v>18.879835</v>
      </c>
    </row>
    <row r="5620">
      <c r="A5620" s="24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5" t="n">
        <v>22.871073</v>
      </c>
    </row>
    <row r="5621">
      <c r="A5621" s="24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5" t="n">
        <v>11.716351</v>
      </c>
    </row>
    <row r="5622">
      <c r="A5622" s="24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5" t="n">
        <v>11.790654</v>
      </c>
    </row>
    <row r="5623">
      <c r="A5623" s="24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5" t="n">
        <v>9.665297000000001</v>
      </c>
    </row>
    <row r="5624">
      <c r="A5624" s="24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5" t="n">
        <v>11.530997</v>
      </c>
    </row>
    <row r="5625">
      <c r="A5625" s="24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5" t="n">
        <v>15.323741</v>
      </c>
    </row>
    <row r="5626">
      <c r="A5626" s="24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5" t="n">
        <v>16.037177</v>
      </c>
    </row>
    <row r="5627">
      <c r="A5627" s="24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5" t="n">
        <v>30.226894</v>
      </c>
    </row>
    <row r="5628">
      <c r="A5628" s="24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5" t="n">
        <v>35.102524</v>
      </c>
    </row>
    <row r="5629">
      <c r="A5629" s="24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5" t="n">
        <v>26.462391</v>
      </c>
    </row>
    <row r="5630">
      <c r="A5630" s="24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5" t="n">
        <v>21.538893</v>
      </c>
    </row>
    <row r="5631">
      <c r="A5631" s="24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5" t="n">
        <v>22.25221</v>
      </c>
    </row>
    <row r="5632">
      <c r="A5632" s="24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5" t="n">
        <v>19.889392</v>
      </c>
    </row>
    <row r="5633">
      <c r="A5633" s="24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5" t="n">
        <v>24.466649</v>
      </c>
    </row>
    <row r="5634">
      <c r="A5634" s="24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5" t="n">
        <v>17.441472</v>
      </c>
    </row>
    <row r="5635">
      <c r="A5635" s="24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5" t="n">
        <v>15.491539</v>
      </c>
    </row>
    <row r="5636">
      <c r="A5636" s="24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5" t="n">
        <v>30.123818</v>
      </c>
    </row>
    <row r="5637">
      <c r="A5637" s="24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5" t="n">
        <v>32.858508</v>
      </c>
    </row>
    <row r="5638">
      <c r="A5638" s="24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5" t="n">
        <v>22.561131</v>
      </c>
    </row>
    <row r="5639">
      <c r="A5639" s="24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5" t="n">
        <v>15.444128</v>
      </c>
    </row>
    <row r="5640">
      <c r="A5640" s="24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5" t="n">
        <v>14.277807</v>
      </c>
    </row>
    <row r="5641">
      <c r="A5641" s="24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5" t="n">
        <v>8.994232</v>
      </c>
    </row>
    <row r="5642">
      <c r="A5642" s="24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5" t="n">
        <v>9.279574</v>
      </c>
    </row>
    <row r="5643">
      <c r="A5643" s="24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5" t="n">
        <v>6.287887</v>
      </c>
    </row>
    <row r="5644">
      <c r="A5644" s="24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5" t="n">
        <v>5.976041</v>
      </c>
    </row>
    <row r="5645">
      <c r="A5645" s="24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5" t="n">
        <v>4.965204</v>
      </c>
    </row>
    <row r="5646">
      <c r="A5646" s="24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5" t="n">
        <v>3.844872</v>
      </c>
    </row>
    <row r="5647">
      <c r="A5647" s="24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5" t="n">
        <v>4.099885</v>
      </c>
    </row>
    <row r="5648">
      <c r="A5648" s="24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5" t="n">
        <v>2.554445</v>
      </c>
    </row>
    <row r="5649">
      <c r="A5649" s="24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5" t="n">
        <v>3.354718</v>
      </c>
    </row>
    <row r="5650">
      <c r="A5650" s="24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5" t="n">
        <v>1.840093</v>
      </c>
    </row>
    <row r="5651">
      <c r="A5651" s="24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5" t="n">
        <v>2.644692</v>
      </c>
    </row>
    <row r="5652">
      <c r="A5652" s="24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5" t="n">
        <v>4.396537</v>
      </c>
    </row>
    <row r="5653">
      <c r="A5653" s="24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5" t="n">
        <v>6.138191</v>
      </c>
    </row>
    <row r="5654">
      <c r="A5654" s="24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5" t="n">
        <v>3.455292</v>
      </c>
    </row>
    <row r="5655">
      <c r="A5655" s="24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5" t="n">
        <v>2.880917</v>
      </c>
    </row>
    <row r="5656">
      <c r="A5656" s="24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5" t="n">
        <v>2.71658</v>
      </c>
    </row>
    <row r="5657">
      <c r="A5657" s="24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5" t="n">
        <v>8.977838999999999</v>
      </c>
    </row>
    <row r="5658">
      <c r="A5658" s="24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5" t="n">
        <v>27.597956</v>
      </c>
    </row>
    <row r="5659">
      <c r="A5659" s="24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5" t="n">
        <v>28.182099</v>
      </c>
    </row>
    <row r="5660">
      <c r="A5660" s="24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5" t="n">
        <v>17.1064</v>
      </c>
    </row>
    <row r="5661">
      <c r="A5661" s="24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5" t="n">
        <v>16.847863</v>
      </c>
    </row>
    <row r="5662">
      <c r="A5662" s="24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5" t="n">
        <v>17.04191</v>
      </c>
    </row>
    <row r="5663">
      <c r="A5663" s="24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5" t="n">
        <v>9.763031</v>
      </c>
    </row>
    <row r="5664">
      <c r="A5664" s="24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5" t="n">
        <v>22.113954</v>
      </c>
    </row>
    <row r="5665">
      <c r="A5665" s="24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5" t="n">
        <v>29.205883</v>
      </c>
    </row>
    <row r="5666">
      <c r="A5666" s="24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5" t="n">
        <v>21.106648</v>
      </c>
    </row>
    <row r="5667">
      <c r="A5667" s="24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5" t="n">
        <v>26.787106</v>
      </c>
    </row>
    <row r="5668">
      <c r="A5668" s="24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5" t="n">
        <v>34.129415</v>
      </c>
    </row>
    <row r="5669">
      <c r="A5669" s="24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5" t="n">
        <v>22.769998</v>
      </c>
    </row>
    <row r="5670">
      <c r="A5670" s="24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5" t="n">
        <v>16.551173</v>
      </c>
    </row>
    <row r="5671">
      <c r="A5671" s="24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5" t="n">
        <v>13.956973</v>
      </c>
    </row>
    <row r="5672">
      <c r="A5672" s="24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5" t="n">
        <v>15.033948</v>
      </c>
    </row>
    <row r="5673">
      <c r="A5673" s="24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5" t="n">
        <v>17.230383</v>
      </c>
    </row>
    <row r="5674">
      <c r="A5674" s="24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5" t="n">
        <v>10.184666</v>
      </c>
    </row>
    <row r="5675">
      <c r="A5675" s="24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5" t="n">
        <v>9.100939</v>
      </c>
    </row>
    <row r="5676">
      <c r="A5676" s="24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5" t="n">
        <v>7.197632</v>
      </c>
    </row>
    <row r="5677">
      <c r="A5677" s="24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5" t="n">
        <v>5.516339</v>
      </c>
    </row>
    <row r="5678">
      <c r="A5678" s="24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5" t="n">
        <v>5.238854</v>
      </c>
    </row>
    <row r="5679">
      <c r="A5679" s="24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5" t="n">
        <v>3.766266</v>
      </c>
    </row>
    <row r="5680">
      <c r="A5680" s="24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5" t="n">
        <v>3.805641</v>
      </c>
    </row>
    <row r="5681">
      <c r="A5681" s="24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5" t="n">
        <v>2.841595</v>
      </c>
    </row>
    <row r="5682">
      <c r="A5682" s="24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5" t="n">
        <v>17.298786</v>
      </c>
    </row>
    <row r="5683">
      <c r="A5683" s="24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5" t="n">
        <v>37.916225</v>
      </c>
    </row>
    <row r="5684">
      <c r="A5684" s="24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5" t="n">
        <v>35.936984</v>
      </c>
    </row>
    <row r="5685">
      <c r="A5685" s="24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5" t="n">
        <v>23.087641</v>
      </c>
    </row>
    <row r="5686">
      <c r="A5686" s="24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5" t="n">
        <v>19.153353</v>
      </c>
    </row>
    <row r="5687">
      <c r="A5687" s="24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5" t="n">
        <v>15.205143</v>
      </c>
    </row>
    <row r="5688">
      <c r="A5688" s="24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5" t="n">
        <v>15.731347</v>
      </c>
    </row>
    <row r="5689">
      <c r="A5689" s="24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5" t="n">
        <v>16.403986</v>
      </c>
    </row>
    <row r="5690">
      <c r="A5690" s="24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5" t="n">
        <v>20.536616</v>
      </c>
    </row>
    <row r="5691">
      <c r="A5691" s="24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5" t="n">
        <v>38.84858</v>
      </c>
    </row>
    <row r="5692">
      <c r="A5692" s="24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5" t="n">
        <v>53.42902</v>
      </c>
    </row>
    <row r="5693">
      <c r="A5693" s="24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5" t="n">
        <v>102.986511</v>
      </c>
    </row>
    <row r="5694">
      <c r="A5694" s="24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5" t="n">
        <v>231.758283</v>
      </c>
    </row>
    <row r="5695">
      <c r="A5695" s="24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5" t="n">
        <v>271.921988</v>
      </c>
    </row>
    <row r="5696">
      <c r="A5696" s="24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5" t="n">
        <v>154.826361</v>
      </c>
    </row>
    <row r="5697">
      <c r="A5697" s="24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5" t="n">
        <v>82.51107</v>
      </c>
    </row>
    <row r="5698">
      <c r="A5698" s="24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5" t="n">
        <v>78.638358</v>
      </c>
    </row>
    <row r="5699">
      <c r="A5699" s="24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5" t="n">
        <v>61.362803</v>
      </c>
    </row>
    <row r="5700">
      <c r="A5700" s="24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5" t="n">
        <v>51.716896</v>
      </c>
    </row>
    <row r="5701">
      <c r="A5701" s="24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5" t="n">
        <v>37.983007</v>
      </c>
    </row>
    <row r="5702">
      <c r="A5702" s="24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5" t="n">
        <v>27.163689</v>
      </c>
    </row>
    <row r="5703">
      <c r="A5703" s="24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5" t="n">
        <v>39.977393</v>
      </c>
    </row>
    <row r="5704">
      <c r="A5704" s="24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5" t="n">
        <v>52.943142</v>
      </c>
    </row>
    <row r="5705">
      <c r="A5705" s="24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5" t="n">
        <v>62.920933</v>
      </c>
    </row>
    <row r="5706">
      <c r="A5706" s="24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5" t="n">
        <v>51.836555</v>
      </c>
    </row>
    <row r="5707">
      <c r="A5707" s="24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5" t="n">
        <v>40.180715</v>
      </c>
    </row>
    <row r="5708">
      <c r="A5708" s="24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5" t="n">
        <v>29.128806</v>
      </c>
    </row>
    <row r="5709">
      <c r="A5709" s="24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5" t="n">
        <v>24.41554</v>
      </c>
    </row>
    <row r="5710">
      <c r="A5710" s="24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5" t="n">
        <v>18.982541</v>
      </c>
    </row>
    <row r="5711">
      <c r="A5711" s="24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5" t="n">
        <v>15.520208</v>
      </c>
    </row>
    <row r="5712">
      <c r="A5712" s="24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5" t="n">
        <v>13.70155</v>
      </c>
    </row>
    <row r="5713">
      <c r="A5713" s="24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5" t="n">
        <v>10.234089</v>
      </c>
    </row>
    <row r="5714">
      <c r="A5714" s="24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5" t="n">
        <v>10.444156</v>
      </c>
    </row>
    <row r="5715">
      <c r="A5715" s="24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5" t="n">
        <v>7.0886</v>
      </c>
    </row>
    <row r="5716">
      <c r="A5716" s="24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5" t="n">
        <v>8.083579</v>
      </c>
    </row>
    <row r="5717">
      <c r="A5717" s="24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5" t="n">
        <v>5.253282</v>
      </c>
    </row>
    <row r="5718">
      <c r="A5718" s="24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5" t="n">
        <v>6.194603</v>
      </c>
    </row>
    <row r="5719">
      <c r="A5719" s="24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5" t="n">
        <v>4.197626</v>
      </c>
    </row>
    <row r="5720">
      <c r="A5720" s="24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5" t="n">
        <v>4.636133</v>
      </c>
    </row>
    <row r="5721">
      <c r="A5721" s="24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5" t="n">
        <v>3.573246</v>
      </c>
    </row>
    <row r="5722">
      <c r="A5722" s="24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5" t="n">
        <v>3.370222</v>
      </c>
    </row>
    <row r="5723">
      <c r="A5723" s="24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5" t="n">
        <v>3.157799</v>
      </c>
    </row>
    <row r="5724">
      <c r="A5724" s="24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5" t="n">
        <v>2.383469</v>
      </c>
    </row>
    <row r="5725">
      <c r="A5725" s="24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5" t="n">
        <v>2.819426</v>
      </c>
    </row>
    <row r="5726">
      <c r="A5726" s="24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5" t="n">
        <v>1.657092</v>
      </c>
    </row>
    <row r="5727">
      <c r="A5727" s="24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5" t="n">
        <v>2.490023</v>
      </c>
    </row>
    <row r="5728">
      <c r="A5728" s="24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5" t="n">
        <v>1.159779</v>
      </c>
    </row>
    <row r="5729">
      <c r="A5729" s="24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5" t="n">
        <v>2.144022</v>
      </c>
    </row>
    <row r="5730">
      <c r="A5730" s="24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5" t="n">
        <v>0.8501919999999999</v>
      </c>
    </row>
    <row r="5731">
      <c r="A5731" s="24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5" t="n">
        <v>1.781759</v>
      </c>
    </row>
    <row r="5732">
      <c r="A5732" s="24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5" t="n">
        <v>0.682534</v>
      </c>
    </row>
    <row r="5733">
      <c r="A5733" s="24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5" t="n">
        <v>7.494573</v>
      </c>
    </row>
    <row r="5734">
      <c r="A5734" s="24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5" t="n">
        <v>9.939662999999999</v>
      </c>
    </row>
    <row r="5735">
      <c r="A5735" s="24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5" t="n">
        <v>6.426279</v>
      </c>
    </row>
    <row r="5736">
      <c r="A5736" s="24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5" t="n">
        <v>15.719602</v>
      </c>
    </row>
    <row r="5737">
      <c r="A5737" s="24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5" t="n">
        <v>32.231901</v>
      </c>
    </row>
    <row r="5738">
      <c r="A5738" s="24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5" t="n">
        <v>29.735281</v>
      </c>
    </row>
    <row r="5739">
      <c r="A5739" s="24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5" t="n">
        <v>33.832262</v>
      </c>
    </row>
    <row r="5740">
      <c r="A5740" s="24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5" t="n">
        <v>35.746765</v>
      </c>
    </row>
    <row r="5741">
      <c r="A5741" s="24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5" t="n">
        <v>38.574949</v>
      </c>
    </row>
    <row r="5742">
      <c r="A5742" s="24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5" t="n">
        <v>54.187379</v>
      </c>
    </row>
    <row r="5743">
      <c r="A5743" s="24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5" t="n">
        <v>56.927275</v>
      </c>
    </row>
    <row r="5744">
      <c r="A5744" s="24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5" t="n">
        <v>42.447668</v>
      </c>
    </row>
    <row r="5745">
      <c r="A5745" s="24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5" t="n">
        <v>31.448227</v>
      </c>
    </row>
    <row r="5746">
      <c r="A5746" s="24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5" t="n">
        <v>22.710195</v>
      </c>
    </row>
    <row r="5747">
      <c r="A5747" s="24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5" t="n">
        <v>19.100576</v>
      </c>
    </row>
    <row r="5748">
      <c r="A5748" s="24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5" t="n">
        <v>14.238662</v>
      </c>
    </row>
    <row r="5749">
      <c r="A5749" s="24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5" t="n">
        <v>11.906634</v>
      </c>
    </row>
    <row r="5750">
      <c r="A5750" s="24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5" t="n">
        <v>16.340371</v>
      </c>
    </row>
    <row r="5751">
      <c r="A5751" s="24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5" t="n">
        <v>16.469758</v>
      </c>
    </row>
    <row r="5752">
      <c r="A5752" s="24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5" t="n">
        <v>19.110514</v>
      </c>
    </row>
    <row r="5753">
      <c r="A5753" s="24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5" t="n">
        <v>17.997451</v>
      </c>
    </row>
    <row r="5754">
      <c r="A5754" s="24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5" t="n">
        <v>14.589326</v>
      </c>
    </row>
    <row r="5755">
      <c r="A5755" s="24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5" t="n">
        <v>9.157182000000001</v>
      </c>
    </row>
    <row r="5756">
      <c r="A5756" s="24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5" t="n">
        <v>16.003497</v>
      </c>
    </row>
    <row r="5757">
      <c r="A5757" s="24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5" t="n">
        <v>13.495435</v>
      </c>
    </row>
    <row r="5758">
      <c r="A5758" s="24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5" t="n">
        <v>13.90547</v>
      </c>
    </row>
    <row r="5759">
      <c r="A5759" s="24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5" t="n">
        <v>17.430901</v>
      </c>
    </row>
    <row r="5760">
      <c r="A5760" s="24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5" t="n">
        <v>19.732706</v>
      </c>
    </row>
    <row r="5761">
      <c r="A5761" s="24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5" t="n">
        <v>13.287341</v>
      </c>
    </row>
    <row r="5762">
      <c r="A5762" s="24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5" t="n">
        <v>16.48873</v>
      </c>
    </row>
    <row r="5763">
      <c r="A5763" s="24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5" t="n">
        <v>20.640513</v>
      </c>
    </row>
    <row r="5764">
      <c r="A5764" s="24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5" t="n">
        <v>13.833779</v>
      </c>
    </row>
    <row r="5765">
      <c r="A5765" s="24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5" t="n">
        <v>11.829484</v>
      </c>
    </row>
    <row r="5766">
      <c r="A5766" s="24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5" t="n">
        <v>21.387764</v>
      </c>
    </row>
    <row r="5767">
      <c r="A5767" s="24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5" t="n">
        <v>31.986873</v>
      </c>
    </row>
    <row r="5768">
      <c r="A5768" s="24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5" t="n">
        <v>21.868438</v>
      </c>
    </row>
    <row r="5769">
      <c r="A5769" s="24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5" t="n">
        <v>16.709284</v>
      </c>
    </row>
    <row r="5770">
      <c r="A5770" s="24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5" t="n">
        <v>12.93114</v>
      </c>
    </row>
    <row r="5771">
      <c r="A5771" s="24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5" t="n">
        <v>9.698658</v>
      </c>
    </row>
    <row r="5772">
      <c r="A5772" s="24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5" t="n">
        <v>8.220924</v>
      </c>
    </row>
    <row r="5773">
      <c r="A5773" s="24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5" t="n">
        <v>6.417291</v>
      </c>
    </row>
    <row r="5774">
      <c r="A5774" s="24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5" t="n">
        <v>11.500263</v>
      </c>
    </row>
    <row r="5775">
      <c r="A5775" s="24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5" t="n">
        <v>13.187491</v>
      </c>
    </row>
    <row r="5776">
      <c r="A5776" s="24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5" t="n">
        <v>8.25609</v>
      </c>
    </row>
    <row r="5777">
      <c r="A5777" s="24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5" t="n">
        <v>6.43236</v>
      </c>
    </row>
    <row r="5778">
      <c r="A5778" s="24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5" t="n">
        <v>17.608726</v>
      </c>
    </row>
    <row r="5779">
      <c r="A5779" s="24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5" t="n">
        <v>25.446684</v>
      </c>
    </row>
    <row r="5780">
      <c r="A5780" s="24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5" t="n">
        <v>20.015838</v>
      </c>
    </row>
    <row r="5781">
      <c r="A5781" s="24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5" t="n">
        <v>12.148769</v>
      </c>
    </row>
    <row r="5782">
      <c r="A5782" s="24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5" t="n">
        <v>11.692986</v>
      </c>
    </row>
    <row r="5783">
      <c r="A5783" s="24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5" t="n">
        <v>22.887811</v>
      </c>
    </row>
    <row r="5784">
      <c r="A5784" s="24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5" t="n">
        <v>43.64699</v>
      </c>
    </row>
    <row r="5785">
      <c r="A5785" s="24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5" t="n">
        <v>35.253435</v>
      </c>
    </row>
    <row r="5786">
      <c r="A5786" s="24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5" t="n">
        <v>22.116234</v>
      </c>
    </row>
    <row r="5787">
      <c r="A5787" s="24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5" t="n">
        <v>19.922822</v>
      </c>
    </row>
    <row r="5788">
      <c r="A5788" s="24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5" t="n">
        <v>15.719244</v>
      </c>
    </row>
    <row r="5789">
      <c r="A5789" s="24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5" t="n">
        <v>11.889099</v>
      </c>
    </row>
    <row r="5790">
      <c r="A5790" s="24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5" t="n">
        <v>9.726304000000001</v>
      </c>
    </row>
    <row r="5791">
      <c r="A5791" s="24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5" t="n">
        <v>7.694048</v>
      </c>
    </row>
    <row r="5792">
      <c r="A5792" s="24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5" t="n">
        <v>6.524873</v>
      </c>
    </row>
    <row r="5793">
      <c r="A5793" s="24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5" t="n">
        <v>5.332525</v>
      </c>
    </row>
    <row r="5794">
      <c r="A5794" s="24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5" t="n">
        <v>4.621277</v>
      </c>
    </row>
    <row r="5795">
      <c r="A5795" s="24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5" t="n">
        <v>3.884044</v>
      </c>
    </row>
    <row r="5796">
      <c r="A5796" s="24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5" t="n">
        <v>3.399782</v>
      </c>
    </row>
    <row r="5797">
      <c r="A5797" s="24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5" t="n">
        <v>2.941774</v>
      </c>
    </row>
    <row r="5798">
      <c r="A5798" s="24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5" t="n">
        <v>2.561305</v>
      </c>
    </row>
    <row r="5799">
      <c r="A5799" s="24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5" t="n">
        <v>2.30087</v>
      </c>
    </row>
    <row r="5800">
      <c r="A5800" s="24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5" t="n">
        <v>1.951836</v>
      </c>
    </row>
    <row r="5801">
      <c r="A5801" s="24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5" t="n">
        <v>1.84898</v>
      </c>
    </row>
    <row r="5802">
      <c r="A5802" s="24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5" t="n">
        <v>1.490419</v>
      </c>
    </row>
    <row r="5803">
      <c r="A5803" s="24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5" t="n">
        <v>1.518951</v>
      </c>
    </row>
    <row r="5804">
      <c r="A5804" s="24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5" t="n">
        <v>1.133798</v>
      </c>
    </row>
    <row r="5805">
      <c r="A5805" s="24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5" t="n">
        <v>1.267847</v>
      </c>
    </row>
    <row r="5806">
      <c r="A5806" s="24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5" t="n">
        <v>0.857959</v>
      </c>
    </row>
    <row r="5807">
      <c r="A5807" s="24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5" t="n">
        <v>1.067193</v>
      </c>
    </row>
    <row r="5808">
      <c r="A5808" s="24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5" t="n">
        <v>0.648207</v>
      </c>
    </row>
    <row r="5809">
      <c r="A5809" s="24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5" t="n">
        <v>0.898176</v>
      </c>
    </row>
    <row r="5810">
      <c r="A5810" s="24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5" t="n">
        <v>4.854708</v>
      </c>
    </row>
    <row r="5811">
      <c r="A5811" s="24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5" t="n">
        <v>6.979164</v>
      </c>
    </row>
    <row r="5812">
      <c r="A5812" s="24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5" t="n">
        <v>3.569724</v>
      </c>
    </row>
    <row r="5813">
      <c r="A5813" s="24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5" t="n">
        <v>2.834899</v>
      </c>
    </row>
    <row r="5814">
      <c r="A5814" s="24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5" t="n">
        <v>2.499696</v>
      </c>
    </row>
    <row r="5815">
      <c r="A5815" s="24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5" t="n">
        <v>1.437032</v>
      </c>
    </row>
    <row r="5816">
      <c r="A5816" s="24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5" t="n">
        <v>1.698456</v>
      </c>
    </row>
    <row r="5817">
      <c r="A5817" s="24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5" t="n">
        <v>0.960464</v>
      </c>
    </row>
    <row r="5818">
      <c r="A5818" s="24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5" t="n">
        <v>1.08273</v>
      </c>
    </row>
    <row r="5819">
      <c r="A5819" s="24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5" t="n">
        <v>0.787699</v>
      </c>
    </row>
    <row r="5820">
      <c r="A5820" s="24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5" t="n">
        <v>4.984027</v>
      </c>
    </row>
    <row r="5821">
      <c r="A5821" s="24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5" t="n">
        <v>7.790935</v>
      </c>
    </row>
    <row r="5822">
      <c r="A5822" s="24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5" t="n">
        <v>7.954489</v>
      </c>
    </row>
    <row r="5823">
      <c r="A5823" s="24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5" t="n">
        <v>22.269029</v>
      </c>
    </row>
    <row r="5824">
      <c r="A5824" s="24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5" t="n">
        <v>31.685821</v>
      </c>
    </row>
    <row r="5825">
      <c r="A5825" s="24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5" t="n">
        <v>22.238897</v>
      </c>
    </row>
    <row r="5826">
      <c r="A5826" s="24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5" t="n">
        <v>15.049272</v>
      </c>
    </row>
    <row r="5827">
      <c r="A5827" s="24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5" t="n">
        <v>12.028992</v>
      </c>
    </row>
    <row r="5828">
      <c r="A5828" s="24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5" t="n">
        <v>8.310460000000001</v>
      </c>
    </row>
    <row r="5829">
      <c r="A5829" s="24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5" t="n">
        <v>7.229278</v>
      </c>
    </row>
    <row r="5830">
      <c r="A5830" s="24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5" t="n">
        <v>5.289434</v>
      </c>
    </row>
    <row r="5831">
      <c r="A5831" s="24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5" t="n">
        <v>4.513783</v>
      </c>
    </row>
    <row r="5832">
      <c r="A5832" s="24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5" t="n">
        <v>3.758057</v>
      </c>
    </row>
    <row r="5833">
      <c r="A5833" s="24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5" t="n">
        <v>3.788992</v>
      </c>
    </row>
    <row r="5834">
      <c r="A5834" s="24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5" t="n">
        <v>4.799846</v>
      </c>
    </row>
    <row r="5835">
      <c r="A5835" s="24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5" t="n">
        <v>6.96412</v>
      </c>
    </row>
    <row r="5836">
      <c r="A5836" s="24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5" t="n">
        <v>8.155118999999999</v>
      </c>
    </row>
    <row r="5837">
      <c r="A5837" s="24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5" t="n">
        <v>4.645096</v>
      </c>
    </row>
    <row r="5838">
      <c r="A5838" s="24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5" t="n">
        <v>4.06109</v>
      </c>
    </row>
    <row r="5839">
      <c r="A5839" s="24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5" t="n">
        <v>3.173306</v>
      </c>
    </row>
    <row r="5840">
      <c r="A5840" s="24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5" t="n">
        <v>2.449356</v>
      </c>
    </row>
    <row r="5841">
      <c r="A5841" s="24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5" t="n">
        <v>2.213225</v>
      </c>
    </row>
    <row r="5842">
      <c r="A5842" s="24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5" t="n">
        <v>1.708537</v>
      </c>
    </row>
    <row r="5843">
      <c r="A5843" s="24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5" t="n">
        <v>1.55074</v>
      </c>
    </row>
    <row r="5844">
      <c r="A5844" s="24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5" t="n">
        <v>2.838317</v>
      </c>
    </row>
    <row r="5845">
      <c r="A5845" s="24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5" t="n">
        <v>10.450653</v>
      </c>
    </row>
    <row r="5846">
      <c r="A5846" s="24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5" t="n">
        <v>12.945569</v>
      </c>
    </row>
    <row r="5847">
      <c r="A5847" s="24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5" t="n">
        <v>7.758681</v>
      </c>
    </row>
    <row r="5848">
      <c r="A5848" s="24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5" t="n">
        <v>5.760625</v>
      </c>
    </row>
    <row r="5849">
      <c r="A5849" s="24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5" t="n">
        <v>19.995558</v>
      </c>
    </row>
    <row r="5850">
      <c r="A5850" s="24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5" t="n">
        <v>38.214764</v>
      </c>
    </row>
    <row r="5851">
      <c r="A5851" s="24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5" t="n">
        <v>45.501422</v>
      </c>
    </row>
    <row r="5852">
      <c r="A5852" s="24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5" t="n">
        <v>51.226591</v>
      </c>
    </row>
    <row r="5853">
      <c r="A5853" s="24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5" t="n">
        <v>56.202137</v>
      </c>
    </row>
    <row r="5854">
      <c r="A5854" s="24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5" t="n">
        <v>44.591606</v>
      </c>
    </row>
    <row r="5855">
      <c r="A5855" s="24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5" t="n">
        <v>43.152966</v>
      </c>
    </row>
    <row r="5856">
      <c r="A5856" s="24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5" t="n">
        <v>38.015254</v>
      </c>
    </row>
    <row r="5857">
      <c r="A5857" s="24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5" t="n">
        <v>25.792677</v>
      </c>
    </row>
    <row r="5858">
      <c r="A5858" s="24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5" t="n">
        <v>20.1236</v>
      </c>
    </row>
    <row r="5859">
      <c r="A5859" s="24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5" t="n">
        <v>20.219282</v>
      </c>
    </row>
    <row r="5860">
      <c r="A5860" s="24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5" t="n">
        <v>17.64599</v>
      </c>
    </row>
    <row r="5861">
      <c r="A5861" s="24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5" t="n">
        <v>13.726898</v>
      </c>
    </row>
    <row r="5862">
      <c r="A5862" s="24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5" t="n">
        <v>10.308486</v>
      </c>
    </row>
    <row r="5863">
      <c r="A5863" s="24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5" t="n">
        <v>9.694336</v>
      </c>
    </row>
    <row r="5864">
      <c r="A5864" s="24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5" t="n">
        <v>7.491459</v>
      </c>
    </row>
    <row r="5865">
      <c r="A5865" s="24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5" t="n">
        <v>6.707027</v>
      </c>
    </row>
    <row r="5866">
      <c r="A5866" s="24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5" t="n">
        <v>5.487613</v>
      </c>
    </row>
    <row r="5867">
      <c r="A5867" s="24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5" t="n">
        <v>4.681473</v>
      </c>
    </row>
    <row r="5868">
      <c r="A5868" s="24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5" t="n">
        <v>4.300694</v>
      </c>
    </row>
    <row r="5869">
      <c r="A5869" s="24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5" t="n">
        <v>3.354211</v>
      </c>
    </row>
    <row r="5870">
      <c r="A5870" s="24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5" t="n">
        <v>3.434696</v>
      </c>
    </row>
    <row r="5871">
      <c r="A5871" s="24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5" t="n">
        <v>4.359083</v>
      </c>
    </row>
    <row r="5872">
      <c r="A5872" s="24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5" t="n">
        <v>5.365469</v>
      </c>
    </row>
    <row r="5873">
      <c r="A5873" s="24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5" t="n">
        <v>3.3281</v>
      </c>
    </row>
    <row r="5874">
      <c r="A5874" s="24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5" t="n">
        <v>5.738757</v>
      </c>
    </row>
    <row r="5875">
      <c r="A5875" s="24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5" t="n">
        <v>12.865532</v>
      </c>
    </row>
    <row r="5876">
      <c r="A5876" s="24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5" t="n">
        <v>28.173642</v>
      </c>
    </row>
    <row r="5877">
      <c r="A5877" s="24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5" t="n">
        <v>31.463569</v>
      </c>
    </row>
    <row r="5878">
      <c r="A5878" s="24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5" t="n">
        <v>19.810691</v>
      </c>
    </row>
    <row r="5879">
      <c r="A5879" s="24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5" t="n">
        <v>26.270893</v>
      </c>
    </row>
    <row r="5880">
      <c r="A5880" s="24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5" t="n">
        <v>29.560789</v>
      </c>
    </row>
    <row r="5881">
      <c r="A5881" s="24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5" t="n">
        <v>22.633463</v>
      </c>
    </row>
    <row r="5882">
      <c r="A5882" s="24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5" t="n">
        <v>21.494807</v>
      </c>
    </row>
    <row r="5883">
      <c r="A5883" s="24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5" t="n">
        <v>27.716477</v>
      </c>
    </row>
    <row r="5884">
      <c r="A5884" s="24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5" t="n">
        <v>30.406517</v>
      </c>
    </row>
    <row r="5885">
      <c r="A5885" s="24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5" t="n">
        <v>22.399277</v>
      </c>
    </row>
    <row r="5886">
      <c r="A5886" s="24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5" t="n">
        <v>13.925702</v>
      </c>
    </row>
    <row r="5887">
      <c r="A5887" s="24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5" t="n">
        <v>23.424732</v>
      </c>
    </row>
    <row r="5888">
      <c r="A5888" s="24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5" t="n">
        <v>36.144264</v>
      </c>
    </row>
    <row r="5889">
      <c r="A5889" s="24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5" t="n">
        <v>42.383363</v>
      </c>
    </row>
    <row r="5890">
      <c r="A5890" s="24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5" t="n">
        <v>38.431792</v>
      </c>
    </row>
    <row r="5891">
      <c r="A5891" s="24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5" t="n">
        <v>35.759483</v>
      </c>
    </row>
    <row r="5892">
      <c r="A5892" s="24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5" t="n">
        <v>25.23378</v>
      </c>
    </row>
    <row r="5893">
      <c r="A5893" s="24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5" t="n">
        <v>18.361753</v>
      </c>
    </row>
    <row r="5894">
      <c r="A5894" s="24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5" t="n">
        <v>17.849071</v>
      </c>
    </row>
    <row r="5895">
      <c r="A5895" s="24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5" t="n">
        <v>10.540402</v>
      </c>
    </row>
    <row r="5896">
      <c r="A5896" s="24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5" t="n">
        <v>11.892074</v>
      </c>
    </row>
    <row r="5897">
      <c r="A5897" s="24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5" t="n">
        <v>7.001676</v>
      </c>
    </row>
    <row r="5898">
      <c r="A5898" s="24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5" t="n">
        <v>16.001971</v>
      </c>
    </row>
    <row r="5899">
      <c r="A5899" s="24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5" t="n">
        <v>16.732082</v>
      </c>
    </row>
    <row r="5900">
      <c r="A5900" s="24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5" t="n">
        <v>11.197618</v>
      </c>
    </row>
    <row r="5901">
      <c r="A5901" s="24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5" t="n">
        <v>8.485867000000001</v>
      </c>
    </row>
    <row r="5902">
      <c r="A5902" s="24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5" t="n">
        <v>8.19425</v>
      </c>
    </row>
    <row r="5903">
      <c r="A5903" s="24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5" t="n">
        <v>21.442648</v>
      </c>
    </row>
    <row r="5904">
      <c r="A5904" s="24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5" t="n">
        <v>29.938036</v>
      </c>
    </row>
    <row r="5905">
      <c r="A5905" s="24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5" t="n">
        <v>19.788479</v>
      </c>
    </row>
    <row r="5906">
      <c r="A5906" s="24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5" t="n">
        <v>13.182145</v>
      </c>
    </row>
    <row r="5907">
      <c r="A5907" s="24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5" t="n">
        <v>13.537074</v>
      </c>
    </row>
    <row r="5908">
      <c r="A5908" s="24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5" t="n">
        <v>9.684155000000001</v>
      </c>
    </row>
    <row r="5909">
      <c r="A5909" s="24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5" t="n">
        <v>17.766905</v>
      </c>
    </row>
    <row r="5910">
      <c r="A5910" s="24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5" t="n">
        <v>26.311486</v>
      </c>
    </row>
    <row r="5911">
      <c r="A5911" s="24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5" t="n">
        <v>35.632772</v>
      </c>
    </row>
    <row r="5912">
      <c r="A5912" s="24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5" t="n">
        <v>26.773315</v>
      </c>
    </row>
    <row r="5913">
      <c r="A5913" s="24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5" t="n">
        <v>18.902797</v>
      </c>
    </row>
    <row r="5914">
      <c r="A5914" s="24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5" t="n">
        <v>14.572663</v>
      </c>
    </row>
    <row r="5915">
      <c r="A5915" s="24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5" t="n">
        <v>21.87028</v>
      </c>
    </row>
    <row r="5916">
      <c r="A5916" s="24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5" t="n">
        <v>31.636282</v>
      </c>
    </row>
    <row r="5917">
      <c r="A5917" s="24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5" t="n">
        <v>39.736673</v>
      </c>
    </row>
    <row r="5918">
      <c r="A5918" s="24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5" t="n">
        <v>38.362896</v>
      </c>
    </row>
    <row r="5919">
      <c r="A5919" s="24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5" t="n">
        <v>24.659473</v>
      </c>
    </row>
    <row r="5920">
      <c r="A5920" s="24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5" t="n">
        <v>18.268024</v>
      </c>
    </row>
    <row r="5921">
      <c r="A5921" s="24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5" t="n">
        <v>15.822155</v>
      </c>
    </row>
    <row r="5922">
      <c r="A5922" s="24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5" t="n">
        <v>23.982786</v>
      </c>
    </row>
    <row r="5923">
      <c r="A5923" s="24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5" t="n">
        <v>36.311036</v>
      </c>
    </row>
    <row r="5924">
      <c r="A5924" s="24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5" t="n">
        <v>26.7671</v>
      </c>
    </row>
    <row r="5925">
      <c r="A5925" s="24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5" t="n">
        <v>18.13785</v>
      </c>
    </row>
    <row r="5926">
      <c r="A5926" s="24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5" t="n">
        <v>15.995074</v>
      </c>
    </row>
    <row r="5927">
      <c r="A5927" s="24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5" t="n">
        <v>10.671698</v>
      </c>
    </row>
    <row r="5928">
      <c r="A5928" s="24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5" t="n">
        <v>10.512971</v>
      </c>
    </row>
    <row r="5929">
      <c r="A5929" s="24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5" t="n">
        <v>7.023044</v>
      </c>
    </row>
    <row r="5930">
      <c r="A5930" s="24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5" t="n">
        <v>7.193914</v>
      </c>
    </row>
    <row r="5931">
      <c r="A5931" s="24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5" t="n">
        <v>5.10717</v>
      </c>
    </row>
    <row r="5932">
      <c r="A5932" s="24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5" t="n">
        <v>4.993022</v>
      </c>
    </row>
    <row r="5933">
      <c r="A5933" s="24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5" t="n">
        <v>16.098492</v>
      </c>
    </row>
    <row r="5934">
      <c r="A5934" s="24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5" t="n">
        <v>21.849656</v>
      </c>
    </row>
    <row r="5935">
      <c r="A5935" s="24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5" t="n">
        <v>14.534234</v>
      </c>
    </row>
    <row r="5936">
      <c r="A5936" s="24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5" t="n">
        <v>17.4847</v>
      </c>
    </row>
    <row r="5937">
      <c r="A5937" s="24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5" t="n">
        <v>32.224164</v>
      </c>
    </row>
    <row r="5938">
      <c r="A5938" s="24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5" t="n">
        <v>33.170783</v>
      </c>
    </row>
    <row r="5939">
      <c r="A5939" s="24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5" t="n">
        <v>26.989685</v>
      </c>
    </row>
    <row r="5940">
      <c r="A5940" s="24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5" t="n">
        <v>28.861905</v>
      </c>
    </row>
    <row r="5941">
      <c r="A5941" s="24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5" t="n">
        <v>36.485222</v>
      </c>
    </row>
    <row r="5942">
      <c r="A5942" s="24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5" t="n">
        <v>33.817447</v>
      </c>
    </row>
    <row r="5943">
      <c r="A5943" s="24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5" t="n">
        <v>32.862588</v>
      </c>
    </row>
    <row r="5944">
      <c r="A5944" s="24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5" t="n">
        <v>30.267105</v>
      </c>
    </row>
    <row r="5945">
      <c r="A5945" s="24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5" t="n">
        <v>24.246511</v>
      </c>
    </row>
    <row r="5946">
      <c r="A5946" s="24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5" t="n">
        <v>19.436334</v>
      </c>
    </row>
    <row r="5947">
      <c r="A5947" s="24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5" t="n">
        <v>12.687485</v>
      </c>
    </row>
    <row r="5948">
      <c r="A5948" s="24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5" t="n">
        <v>16.873095</v>
      </c>
    </row>
    <row r="5949">
      <c r="A5949" s="24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5" t="n">
        <v>28.752044</v>
      </c>
    </row>
    <row r="5950">
      <c r="A5950" s="24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5" t="n">
        <v>34.08483</v>
      </c>
    </row>
    <row r="5951">
      <c r="A5951" s="24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5" t="n">
        <v>22.222816</v>
      </c>
    </row>
    <row r="5952">
      <c r="A5952" s="24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5" t="n">
        <v>18.045205</v>
      </c>
    </row>
    <row r="5953">
      <c r="A5953" s="24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5" t="n">
        <v>14.925974</v>
      </c>
    </row>
    <row r="5954">
      <c r="A5954" s="24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5" t="n">
        <v>16.088102</v>
      </c>
    </row>
    <row r="5955">
      <c r="A5955" s="24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5" t="n">
        <v>19.655863</v>
      </c>
    </row>
    <row r="5956">
      <c r="A5956" s="24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5" t="n">
        <v>10.82008</v>
      </c>
    </row>
    <row r="5957">
      <c r="A5957" s="24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5" t="n">
        <v>10.487419</v>
      </c>
    </row>
    <row r="5958">
      <c r="A5958" s="24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5" t="n">
        <v>7.817289</v>
      </c>
    </row>
    <row r="5959">
      <c r="A5959" s="24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5" t="n">
        <v>6.244702</v>
      </c>
    </row>
    <row r="5960">
      <c r="A5960" s="24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5" t="n">
        <v>5.954307</v>
      </c>
    </row>
    <row r="5961">
      <c r="A5961" s="24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5" t="n">
        <v>5.468898</v>
      </c>
    </row>
    <row r="5962">
      <c r="A5962" s="24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5" t="n">
        <v>6.606495</v>
      </c>
    </row>
    <row r="5963">
      <c r="A5963" s="24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5" t="n">
        <v>3.893335</v>
      </c>
    </row>
    <row r="5964">
      <c r="A5964" s="24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5" t="n">
        <v>4.248846</v>
      </c>
    </row>
    <row r="5965">
      <c r="A5965" s="24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5" t="n">
        <v>5.144416</v>
      </c>
    </row>
    <row r="5966">
      <c r="A5966" s="24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5" t="n">
        <v>6.247694</v>
      </c>
    </row>
    <row r="5967">
      <c r="A5967" s="24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5" t="n">
        <v>3.856422</v>
      </c>
    </row>
    <row r="5968">
      <c r="A5968" s="24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5" t="n">
        <v>3.405826</v>
      </c>
    </row>
    <row r="5969">
      <c r="A5969" s="24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5" t="n">
        <v>14.627577</v>
      </c>
    </row>
    <row r="5970">
      <c r="A5970" s="24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5" t="n">
        <v>31.388421</v>
      </c>
    </row>
    <row r="5971">
      <c r="A5971" s="24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5" t="n">
        <v>43.138552</v>
      </c>
    </row>
    <row r="5972">
      <c r="A5972" s="24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5" t="n">
        <v>52.326919</v>
      </c>
    </row>
    <row r="5973">
      <c r="A5973" s="24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5" t="n">
        <v>45.305593</v>
      </c>
    </row>
    <row r="5974">
      <c r="A5974" s="24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5" t="n">
        <v>28.187657</v>
      </c>
    </row>
    <row r="5975">
      <c r="A5975" s="24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5" t="n">
        <v>25.237863</v>
      </c>
    </row>
    <row r="5976">
      <c r="A5976" s="24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5" t="n">
        <v>33.789652</v>
      </c>
    </row>
    <row r="5977">
      <c r="A5977" s="24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5" t="n">
        <v>42.481588</v>
      </c>
    </row>
    <row r="5978">
      <c r="A5978" s="24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5" t="n">
        <v>47.074719</v>
      </c>
    </row>
    <row r="5979">
      <c r="A5979" s="24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5" t="n">
        <v>51.090191</v>
      </c>
    </row>
    <row r="5980">
      <c r="A5980" s="24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5" t="n">
        <v>49.248345</v>
      </c>
    </row>
    <row r="5981">
      <c r="A5981" s="24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5" t="n">
        <v>35.327683</v>
      </c>
    </row>
    <row r="5982">
      <c r="A5982" s="24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5" t="n">
        <v>27.044109</v>
      </c>
    </row>
    <row r="5983">
      <c r="A5983" s="24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5" t="n">
        <v>36.078038</v>
      </c>
    </row>
    <row r="5984">
      <c r="A5984" s="24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5" t="n">
        <v>53.249231</v>
      </c>
    </row>
    <row r="5985">
      <c r="A5985" s="24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5" t="n">
        <v>59.246273</v>
      </c>
    </row>
    <row r="5986">
      <c r="A5986" s="24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5" t="n">
        <v>48.449366</v>
      </c>
    </row>
    <row r="5987">
      <c r="A5987" s="24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5" t="n">
        <v>35.03111</v>
      </c>
    </row>
    <row r="5988">
      <c r="A5988" s="24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5" t="n">
        <v>37.159263</v>
      </c>
    </row>
    <row r="5989">
      <c r="A5989" s="24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5" t="n">
        <v>41.049714</v>
      </c>
    </row>
    <row r="5990">
      <c r="A5990" s="24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5" t="n">
        <v>26.094428</v>
      </c>
    </row>
    <row r="5991">
      <c r="A5991" s="24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5" t="n">
        <v>22.177501</v>
      </c>
    </row>
    <row r="5992">
      <c r="A5992" s="24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5" t="n">
        <v>17.244505</v>
      </c>
    </row>
    <row r="5993">
      <c r="A5993" s="24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5" t="n">
        <v>26.397197</v>
      </c>
    </row>
    <row r="5994">
      <c r="A5994" s="24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5" t="n">
        <v>45.567832</v>
      </c>
    </row>
    <row r="5995">
      <c r="A5995" s="24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5" t="n">
        <v>43.823593</v>
      </c>
    </row>
    <row r="5996">
      <c r="A5996" s="24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5" t="n">
        <v>32.138715</v>
      </c>
    </row>
    <row r="5997">
      <c r="A5997" s="24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5" t="n">
        <v>23.471852</v>
      </c>
    </row>
    <row r="5998">
      <c r="A5998" s="24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5" t="n">
        <v>32.79614</v>
      </c>
    </row>
    <row r="5999">
      <c r="A5999" s="24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5" t="n">
        <v>48.758211</v>
      </c>
    </row>
    <row r="6000">
      <c r="A6000" s="24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5" t="n">
        <v>51.930074</v>
      </c>
    </row>
    <row r="6001">
      <c r="A6001" s="24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5" t="n">
        <v>39.751554</v>
      </c>
    </row>
    <row r="6002">
      <c r="A6002" s="24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5" t="n">
        <v>29.757004</v>
      </c>
    </row>
    <row r="6003">
      <c r="A6003" s="24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5" t="n">
        <v>26.329313</v>
      </c>
    </row>
    <row r="6004">
      <c r="A6004" s="24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5" t="n">
        <v>39.42384</v>
      </c>
    </row>
    <row r="6005">
      <c r="A6005" s="24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5" t="n">
        <v>53.214574</v>
      </c>
    </row>
    <row r="6006">
      <c r="A6006" s="24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5" t="n">
        <v>50.858862</v>
      </c>
    </row>
    <row r="6007">
      <c r="A6007" s="24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5" t="n">
        <v>37.804141</v>
      </c>
    </row>
    <row r="6008">
      <c r="A6008" s="24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5" t="n">
        <v>29.575848</v>
      </c>
    </row>
    <row r="6009">
      <c r="A6009" s="24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5" t="n">
        <v>35.238368</v>
      </c>
    </row>
    <row r="6010">
      <c r="A6010" s="24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5" t="n">
        <v>51.494094</v>
      </c>
    </row>
    <row r="6011">
      <c r="A6011" s="24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5" t="n">
        <v>60.905639</v>
      </c>
    </row>
    <row r="6012">
      <c r="A6012" s="24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5" t="n">
        <v>52.262238</v>
      </c>
    </row>
    <row r="6013">
      <c r="A6013" s="24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5" t="n">
        <v>53.438395</v>
      </c>
    </row>
    <row r="6014">
      <c r="A6014" s="24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5" t="n">
        <v>64.409543</v>
      </c>
    </row>
    <row r="6015">
      <c r="A6015" s="24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5" t="n">
        <v>69.743574</v>
      </c>
    </row>
    <row r="6016">
      <c r="A6016" s="24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5" t="n">
        <v>69.86527</v>
      </c>
    </row>
    <row r="6017">
      <c r="A6017" s="24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5" t="n">
        <v>76.789529</v>
      </c>
    </row>
    <row r="6018">
      <c r="A6018" s="24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5" t="n">
        <v>69.29834200000001</v>
      </c>
    </row>
    <row r="6019">
      <c r="A6019" s="24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5" t="n">
        <v>54.463545</v>
      </c>
    </row>
    <row r="6020">
      <c r="A6020" s="24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5" t="n">
        <v>39.976975</v>
      </c>
    </row>
    <row r="6021">
      <c r="A6021" s="24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5" t="n">
        <v>40.675628</v>
      </c>
    </row>
    <row r="6022">
      <c r="A6022" s="24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5" t="n">
        <v>47.897351</v>
      </c>
    </row>
    <row r="6023">
      <c r="A6023" s="24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5" t="n">
        <v>52.248963</v>
      </c>
    </row>
    <row r="6024">
      <c r="A6024" s="24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5" t="n">
        <v>61.889249</v>
      </c>
    </row>
    <row r="6025">
      <c r="A6025" s="24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5" t="n">
        <v>68.471279</v>
      </c>
    </row>
    <row r="6026">
      <c r="A6026" s="24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5" t="n">
        <v>73.054005</v>
      </c>
    </row>
    <row r="6027">
      <c r="A6027" s="24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5" t="n">
        <v>65.72969999999999</v>
      </c>
    </row>
    <row r="6028">
      <c r="A6028" s="24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5" t="n">
        <v>65.123582</v>
      </c>
    </row>
    <row r="6029">
      <c r="A6029" s="24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5" t="n">
        <v>58.770703</v>
      </c>
    </row>
    <row r="6030">
      <c r="A6030" s="24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5" t="n">
        <v>57.446603</v>
      </c>
    </row>
    <row r="6031">
      <c r="A6031" s="24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5" t="n">
        <v>68.399143</v>
      </c>
    </row>
    <row r="6032">
      <c r="A6032" s="24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5" t="n">
        <v>72.582262</v>
      </c>
    </row>
    <row r="6033">
      <c r="A6033" s="24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5" t="n">
        <v>72.252028</v>
      </c>
    </row>
    <row r="6034">
      <c r="A6034" s="24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5" t="n">
        <v>77.17265999999999</v>
      </c>
    </row>
    <row r="6035">
      <c r="A6035" s="24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5" t="n">
        <v>59.15311</v>
      </c>
    </row>
    <row r="6036">
      <c r="A6036" s="24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5" t="n">
        <v>43.465355</v>
      </c>
    </row>
    <row r="6037">
      <c r="A6037" s="24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5" t="n">
        <v>34.551096</v>
      </c>
    </row>
    <row r="6038">
      <c r="A6038" s="24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5" t="n">
        <v>27.22749</v>
      </c>
    </row>
    <row r="6039">
      <c r="A6039" s="24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5" t="n">
        <v>26.314953</v>
      </c>
    </row>
    <row r="6040">
      <c r="A6040" s="24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5" t="n">
        <v>22.779931</v>
      </c>
    </row>
    <row r="6041">
      <c r="A6041" s="24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5" t="n">
        <v>19.006563</v>
      </c>
    </row>
    <row r="6042">
      <c r="A6042" s="24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5" t="n">
        <v>29.235311</v>
      </c>
    </row>
    <row r="6043">
      <c r="A6043" s="24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5" t="n">
        <v>51.989299</v>
      </c>
    </row>
    <row r="6044">
      <c r="A6044" s="24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5" t="n">
        <v>57.874197</v>
      </c>
    </row>
    <row r="6045">
      <c r="A6045" s="24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5" t="n">
        <v>64.254159</v>
      </c>
    </row>
    <row r="6046">
      <c r="A6046" s="24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5" t="n">
        <v>72.74895600000001</v>
      </c>
    </row>
    <row r="6047">
      <c r="A6047" s="24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5" t="n">
        <v>81.267859</v>
      </c>
    </row>
    <row r="6048">
      <c r="A6048" s="24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5" t="n">
        <v>79.20998299999999</v>
      </c>
    </row>
    <row r="6049">
      <c r="A6049" s="24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5" t="n">
        <v>113.39306</v>
      </c>
    </row>
    <row r="6050">
      <c r="A6050" s="24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5" t="n">
        <v>230.76328</v>
      </c>
    </row>
    <row r="6051">
      <c r="A6051" s="24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5" t="n">
        <v>278.765836</v>
      </c>
    </row>
    <row r="6052">
      <c r="A6052" s="24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5" t="n">
        <v>173.158189</v>
      </c>
    </row>
    <row r="6053">
      <c r="A6053" s="24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5" t="n">
        <v>144.434836</v>
      </c>
    </row>
    <row r="6054">
      <c r="A6054" s="24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5" t="n">
        <v>189.821586</v>
      </c>
    </row>
    <row r="6055">
      <c r="A6055" s="24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5" t="n">
        <v>127.869694</v>
      </c>
    </row>
    <row r="6056">
      <c r="A6056" s="24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5" t="n">
        <v>83.122733</v>
      </c>
    </row>
    <row r="6057">
      <c r="A6057" s="24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5" t="n">
        <v>76.049913</v>
      </c>
    </row>
    <row r="6058">
      <c r="A6058" s="24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5" t="n">
        <v>48.775112</v>
      </c>
    </row>
    <row r="6059">
      <c r="A6059" s="24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5" t="n">
        <v>41.017331</v>
      </c>
    </row>
    <row r="6060">
      <c r="A6060" s="24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5" t="n">
        <v>33.159403</v>
      </c>
    </row>
    <row r="6061">
      <c r="A6061" s="24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5" t="n">
        <v>24.24049</v>
      </c>
    </row>
    <row r="6062">
      <c r="A6062" s="24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5" t="n">
        <v>23.616078</v>
      </c>
    </row>
    <row r="6063">
      <c r="A6063" s="24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5" t="n">
        <v>16.179138</v>
      </c>
    </row>
    <row r="6064">
      <c r="A6064" s="24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5" t="n">
        <v>16.953262</v>
      </c>
    </row>
    <row r="6065">
      <c r="A6065" s="24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5" t="n">
        <v>11.984201</v>
      </c>
    </row>
    <row r="6066">
      <c r="A6066" s="24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5" t="n">
        <v>12.144882</v>
      </c>
    </row>
    <row r="6067">
      <c r="A6067" s="24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5" t="n">
        <v>9.562258</v>
      </c>
    </row>
    <row r="6068">
      <c r="A6068" s="24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5" t="n">
        <v>16.799273</v>
      </c>
    </row>
    <row r="6069">
      <c r="A6069" s="24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5" t="n">
        <v>19.498385</v>
      </c>
    </row>
    <row r="6070">
      <c r="A6070" s="24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5" t="n">
        <v>24.889644</v>
      </c>
    </row>
    <row r="6071">
      <c r="A6071" s="24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5" t="n">
        <v>44.435603</v>
      </c>
    </row>
    <row r="6072">
      <c r="A6072" s="24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5" t="n">
        <v>52.083678</v>
      </c>
    </row>
    <row r="6073">
      <c r="A6073" s="24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5" t="n">
        <v>41.580274</v>
      </c>
    </row>
    <row r="6074">
      <c r="A6074" s="24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5" t="n">
        <v>28.588022</v>
      </c>
    </row>
    <row r="6075">
      <c r="A6075" s="24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5" t="n">
        <v>22.217146</v>
      </c>
    </row>
    <row r="6076">
      <c r="A6076" s="24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5" t="n">
        <v>17.857677</v>
      </c>
    </row>
    <row r="6077">
      <c r="A6077" s="24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5" t="n">
        <v>13.876886</v>
      </c>
    </row>
    <row r="6078">
      <c r="A6078" s="24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5" t="n">
        <v>11.58066</v>
      </c>
    </row>
    <row r="6079">
      <c r="A6079" s="24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5" t="n">
        <v>14.965112</v>
      </c>
    </row>
    <row r="6080">
      <c r="A6080" s="24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5" t="n">
        <v>30.239765</v>
      </c>
    </row>
    <row r="6081">
      <c r="A6081" s="24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5" t="n">
        <v>48.506489</v>
      </c>
    </row>
    <row r="6082">
      <c r="A6082" s="24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5" t="n">
        <v>55.338183</v>
      </c>
    </row>
    <row r="6083">
      <c r="A6083" s="24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5" t="n">
        <v>48.360941</v>
      </c>
    </row>
    <row r="6084">
      <c r="A6084" s="24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5" t="n">
        <v>32.368151</v>
      </c>
    </row>
    <row r="6085">
      <c r="A6085" s="24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5" t="n">
        <v>25.494568</v>
      </c>
    </row>
    <row r="6086">
      <c r="A6086" s="24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5" t="n">
        <v>20.031392</v>
      </c>
    </row>
    <row r="6087">
      <c r="A6087" s="24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5" t="n">
        <v>15.203255</v>
      </c>
    </row>
    <row r="6088">
      <c r="A6088" s="24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5" t="n">
        <v>13.297979</v>
      </c>
    </row>
    <row r="6089">
      <c r="A6089" s="24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5" t="n">
        <v>9.992824000000001</v>
      </c>
    </row>
    <row r="6090">
      <c r="A6090" s="24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5" t="n">
        <v>9.233349</v>
      </c>
    </row>
    <row r="6091">
      <c r="A6091" s="24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5" t="n">
        <v>7.066869</v>
      </c>
    </row>
    <row r="6092">
      <c r="A6092" s="24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5" t="n">
        <v>6.663608</v>
      </c>
    </row>
    <row r="6093">
      <c r="A6093" s="24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5" t="n">
        <v>5.231178</v>
      </c>
    </row>
    <row r="6094">
      <c r="A6094" s="24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5" t="n">
        <v>4.994048</v>
      </c>
    </row>
    <row r="6095">
      <c r="A6095" s="24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5" t="n">
        <v>3.963255</v>
      </c>
    </row>
    <row r="6096">
      <c r="A6096" s="24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5" t="n">
        <v>3.875803</v>
      </c>
    </row>
    <row r="6097">
      <c r="A6097" s="24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5" t="n">
        <v>3.03211</v>
      </c>
    </row>
    <row r="6098">
      <c r="A6098" s="24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5" t="n">
        <v>3.091383</v>
      </c>
    </row>
    <row r="6099">
      <c r="A6099" s="24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5" t="n">
        <v>2.333184</v>
      </c>
    </row>
    <row r="6100">
      <c r="A6100" s="24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5" t="n">
        <v>2.505146</v>
      </c>
    </row>
    <row r="6101">
      <c r="A6101" s="24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5" t="n">
        <v>1.812841</v>
      </c>
    </row>
    <row r="6102">
      <c r="A6102" s="24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5" t="n">
        <v>2.035908</v>
      </c>
    </row>
    <row r="6103">
      <c r="A6103" s="24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5" t="n">
        <v>1.435464</v>
      </c>
    </row>
    <row r="6104">
      <c r="A6104" s="24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5" t="n">
        <v>1.638851</v>
      </c>
    </row>
    <row r="6105">
      <c r="A6105" s="24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5" t="n">
        <v>1.170858</v>
      </c>
    </row>
    <row r="6106">
      <c r="A6106" s="24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5" t="n">
        <v>1.292456</v>
      </c>
    </row>
    <row r="6107">
      <c r="A6107" s="24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5" t="n">
        <v>9.7334</v>
      </c>
    </row>
    <row r="6108">
      <c r="A6108" s="24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5" t="n">
        <v>13.479291</v>
      </c>
    </row>
    <row r="6109">
      <c r="A6109" s="24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5" t="n">
        <v>7.252413</v>
      </c>
    </row>
    <row r="6110">
      <c r="A6110" s="24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5" t="n">
        <v>14.742563</v>
      </c>
    </row>
    <row r="6111">
      <c r="A6111" s="24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5" t="n">
        <v>24.098061</v>
      </c>
    </row>
    <row r="6112">
      <c r="A6112" s="24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5" t="n">
        <v>23.940565</v>
      </c>
    </row>
    <row r="6113">
      <c r="A6113" s="24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5" t="n">
        <v>36.232875</v>
      </c>
    </row>
    <row r="6114">
      <c r="A6114" s="24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5" t="n">
        <v>36.357438</v>
      </c>
    </row>
    <row r="6115">
      <c r="A6115" s="24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5" t="n">
        <v>25.299345</v>
      </c>
    </row>
    <row r="6116">
      <c r="A6116" s="24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5" t="n">
        <v>25.17698</v>
      </c>
    </row>
    <row r="6117">
      <c r="A6117" s="24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5" t="n">
        <v>29.556359</v>
      </c>
    </row>
    <row r="6118">
      <c r="A6118" s="24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5" t="n">
        <v>24.102553</v>
      </c>
    </row>
    <row r="6119">
      <c r="A6119" s="24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5" t="n">
        <v>17.219995</v>
      </c>
    </row>
    <row r="6120">
      <c r="A6120" s="24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5" t="n">
        <v>23.245792</v>
      </c>
    </row>
    <row r="6121">
      <c r="A6121" s="24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5" t="n">
        <v>28.723128</v>
      </c>
    </row>
    <row r="6122">
      <c r="A6122" s="24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5" t="n">
        <v>28.125055</v>
      </c>
    </row>
    <row r="6123">
      <c r="A6123" s="24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5" t="n">
        <v>26.407275</v>
      </c>
    </row>
    <row r="6124">
      <c r="A6124" s="24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5" t="n">
        <v>18.234537</v>
      </c>
    </row>
    <row r="6125">
      <c r="A6125" s="24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5" t="n">
        <v>17.086884</v>
      </c>
    </row>
    <row r="6126">
      <c r="A6126" s="24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5" t="n">
        <v>33.36234</v>
      </c>
    </row>
    <row r="6127">
      <c r="A6127" s="24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5" t="n">
        <v>37.730063</v>
      </c>
    </row>
    <row r="6128">
      <c r="A6128" s="24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5" t="n">
        <v>28.724084</v>
      </c>
    </row>
    <row r="6129">
      <c r="A6129" s="24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5" t="n">
        <v>21.643139</v>
      </c>
    </row>
    <row r="6130">
      <c r="A6130" s="24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5" t="n">
        <v>20.444743</v>
      </c>
    </row>
    <row r="6131">
      <c r="A6131" s="24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5" t="n">
        <v>13.75536</v>
      </c>
    </row>
    <row r="6132">
      <c r="A6132" s="24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5" t="n">
        <v>11.499992</v>
      </c>
    </row>
    <row r="6133">
      <c r="A6133" s="24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5" t="n">
        <v>9.708175000000001</v>
      </c>
    </row>
    <row r="6134">
      <c r="A6134" s="24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5" t="n">
        <v>6.987633</v>
      </c>
    </row>
    <row r="6135">
      <c r="A6135" s="24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5" t="n">
        <v>17.765789</v>
      </c>
    </row>
    <row r="6136">
      <c r="A6136" s="24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5" t="n">
        <v>22.184926</v>
      </c>
    </row>
    <row r="6137">
      <c r="A6137" s="24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5" t="n">
        <v>28.256998</v>
      </c>
    </row>
    <row r="6138">
      <c r="A6138" s="24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5" t="n">
        <v>27.168611</v>
      </c>
    </row>
    <row r="6139">
      <c r="A6139" s="24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5" t="n">
        <v>18.984101</v>
      </c>
    </row>
    <row r="6140">
      <c r="A6140" s="24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5" t="n">
        <v>12.223508</v>
      </c>
    </row>
    <row r="6141">
      <c r="A6141" s="24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5" t="n">
        <v>12.621015</v>
      </c>
    </row>
    <row r="6142">
      <c r="A6142" s="24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5" t="n">
        <v>7.178192</v>
      </c>
    </row>
    <row r="6143">
      <c r="A6143" s="24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5" t="n">
        <v>8.075993</v>
      </c>
    </row>
    <row r="6144">
      <c r="A6144" s="24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5" t="n">
        <v>5.467322</v>
      </c>
    </row>
    <row r="6145">
      <c r="A6145" s="24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5" t="n">
        <v>4.821137</v>
      </c>
    </row>
    <row r="6146">
      <c r="A6146" s="24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5" t="n">
        <v>4.785879</v>
      </c>
    </row>
    <row r="6147">
      <c r="A6147" s="24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5" t="n">
        <v>2.707217</v>
      </c>
    </row>
    <row r="6148">
      <c r="A6148" s="24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5" t="n">
        <v>4.254737</v>
      </c>
    </row>
    <row r="6149">
      <c r="A6149" s="24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5" t="n">
        <v>1.516952</v>
      </c>
    </row>
    <row r="6150">
      <c r="A6150" s="24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5" t="n">
        <v>3.611119</v>
      </c>
    </row>
    <row r="6151">
      <c r="A6151" s="24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5" t="n">
        <v>0.988764</v>
      </c>
    </row>
    <row r="6152">
      <c r="A6152" s="24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5" t="n">
        <v>2.852232</v>
      </c>
    </row>
    <row r="6153">
      <c r="A6153" s="24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5" t="n">
        <v>0.954299</v>
      </c>
    </row>
    <row r="6154">
      <c r="A6154" s="24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5" t="n">
        <v>1.997673</v>
      </c>
    </row>
    <row r="6155">
      <c r="A6155" s="24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5" t="n">
        <v>1.140321</v>
      </c>
    </row>
    <row r="6156">
      <c r="A6156" s="24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5" t="n">
        <v>1.208506</v>
      </c>
    </row>
    <row r="6157">
      <c r="A6157" s="24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5" t="n">
        <v>1.302807</v>
      </c>
    </row>
    <row r="6158">
      <c r="A6158" s="24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5" t="n">
        <v>10.289542</v>
      </c>
    </row>
    <row r="6159">
      <c r="A6159" s="24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5" t="n">
        <v>15.069252</v>
      </c>
    </row>
    <row r="6160">
      <c r="A6160" s="24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5" t="n">
        <v>7.36163</v>
      </c>
    </row>
    <row r="6161">
      <c r="A6161" s="24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5" t="n">
        <v>6.119621</v>
      </c>
    </row>
    <row r="6162">
      <c r="A6162" s="24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5" t="n">
        <v>16.214119</v>
      </c>
    </row>
    <row r="6163">
      <c r="A6163" s="24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5" t="n">
        <v>20.613393</v>
      </c>
    </row>
    <row r="6164">
      <c r="A6164" s="24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5" t="n">
        <v>13.248361</v>
      </c>
    </row>
    <row r="6165">
      <c r="A6165" s="24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5" t="n">
        <v>8.941806</v>
      </c>
    </row>
    <row r="6166">
      <c r="A6166" s="24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5" t="n">
        <v>8.124276</v>
      </c>
    </row>
    <row r="6167">
      <c r="A6167" s="24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5" t="n">
        <v>5.015937</v>
      </c>
    </row>
    <row r="6168">
      <c r="A6168" s="24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5" t="n">
        <v>4.913065</v>
      </c>
    </row>
    <row r="6169">
      <c r="A6169" s="24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5" t="n">
        <v>3.618346</v>
      </c>
    </row>
    <row r="6170">
      <c r="A6170" s="24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5" t="n">
        <v>3.579004</v>
      </c>
    </row>
    <row r="6171">
      <c r="A6171" s="24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5" t="n">
        <v>4.062149</v>
      </c>
    </row>
    <row r="6172">
      <c r="A6172" s="24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5" t="n">
        <v>2.143633</v>
      </c>
    </row>
    <row r="6173">
      <c r="A6173" s="24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5" t="n">
        <v>2.835335</v>
      </c>
    </row>
    <row r="6174">
      <c r="A6174" s="24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5" t="n">
        <v>13.225418</v>
      </c>
    </row>
    <row r="6175">
      <c r="A6175" s="24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5" t="n">
        <v>19.356338</v>
      </c>
    </row>
    <row r="6176">
      <c r="A6176" s="24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5" t="n">
        <v>10.23673</v>
      </c>
    </row>
    <row r="6177">
      <c r="A6177" s="24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5" t="n">
        <v>7.697251</v>
      </c>
    </row>
    <row r="6178">
      <c r="A6178" s="24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5" t="n">
        <v>7.117758</v>
      </c>
    </row>
    <row r="6179">
      <c r="A6179" s="24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5" t="n">
        <v>3.620862</v>
      </c>
    </row>
    <row r="6180">
      <c r="A6180" s="24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5" t="n">
        <v>4.969893</v>
      </c>
    </row>
    <row r="6181">
      <c r="A6181" s="24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5" t="n">
        <v>8.919784</v>
      </c>
    </row>
    <row r="6182">
      <c r="A6182" s="24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5" t="n">
        <v>14.709858</v>
      </c>
    </row>
    <row r="6183">
      <c r="A6183" s="24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5" t="n">
        <v>13.221503</v>
      </c>
    </row>
    <row r="6184">
      <c r="A6184" s="24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5" t="n">
        <v>13.065861</v>
      </c>
    </row>
    <row r="6185">
      <c r="A6185" s="24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5" t="n">
        <v>21.43691</v>
      </c>
    </row>
    <row r="6186">
      <c r="A6186" s="24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5" t="n">
        <v>24.381257</v>
      </c>
    </row>
    <row r="6187">
      <c r="A6187" s="24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5" t="n">
        <v>15.39577</v>
      </c>
    </row>
    <row r="6188">
      <c r="A6188" s="24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5" t="n">
        <v>10.075775</v>
      </c>
    </row>
    <row r="6189">
      <c r="A6189" s="24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5" t="n">
        <v>10.290147</v>
      </c>
    </row>
    <row r="6190">
      <c r="A6190" s="24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5" t="n">
        <v>5.38691</v>
      </c>
    </row>
    <row r="6191">
      <c r="A6191" s="24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5" t="n">
        <v>16.54032</v>
      </c>
    </row>
    <row r="6192">
      <c r="A6192" s="24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5" t="n">
        <v>18.143325</v>
      </c>
    </row>
    <row r="6193">
      <c r="A6193" s="24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5" t="n">
        <v>11.152092</v>
      </c>
    </row>
    <row r="6194">
      <c r="A6194" s="24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5" t="n">
        <v>8.459762</v>
      </c>
    </row>
    <row r="6195">
      <c r="A6195" s="24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5" t="n">
        <v>7.134667</v>
      </c>
    </row>
    <row r="6196">
      <c r="A6196" s="24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5" t="n">
        <v>5.162009</v>
      </c>
    </row>
    <row r="6197">
      <c r="A6197" s="24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5" t="n">
        <v>4.463578</v>
      </c>
    </row>
    <row r="6198">
      <c r="A6198" s="24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5" t="n">
        <v>3.832095</v>
      </c>
    </row>
    <row r="6199">
      <c r="A6199" s="24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5" t="n">
        <v>2.737607</v>
      </c>
    </row>
    <row r="6200">
      <c r="A6200" s="24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5" t="n">
        <v>8.446652</v>
      </c>
    </row>
    <row r="6201">
      <c r="A6201" s="24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5" t="n">
        <v>12.471424</v>
      </c>
    </row>
    <row r="6202">
      <c r="A6202" s="24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5" t="n">
        <v>12.084892</v>
      </c>
    </row>
    <row r="6203">
      <c r="A6203" s="24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5" t="n">
        <v>8.414633</v>
      </c>
    </row>
    <row r="6204">
      <c r="A6204" s="24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5" t="n">
        <v>20.191916</v>
      </c>
    </row>
    <row r="6205">
      <c r="A6205" s="24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5" t="n">
        <v>37.592084</v>
      </c>
    </row>
    <row r="6206">
      <c r="A6206" s="24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5" t="n">
        <v>48.972318</v>
      </c>
    </row>
    <row r="6207">
      <c r="A6207" s="24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5" t="n">
        <v>46.896064</v>
      </c>
    </row>
    <row r="6208">
      <c r="A6208" s="24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5" t="n">
        <v>34.210151</v>
      </c>
    </row>
    <row r="6209">
      <c r="A6209" s="24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5" t="n">
        <v>23.818173</v>
      </c>
    </row>
    <row r="6210">
      <c r="A6210" s="24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5" t="n">
        <v>18.753482</v>
      </c>
    </row>
    <row r="6211">
      <c r="A6211" s="24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5" t="n">
        <v>14.637236</v>
      </c>
    </row>
    <row r="6212">
      <c r="A6212" s="24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5" t="n">
        <v>10.980384</v>
      </c>
    </row>
    <row r="6213">
      <c r="A6213" s="24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5" t="n">
        <v>10.077545</v>
      </c>
    </row>
    <row r="6214">
      <c r="A6214" s="24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5" t="n">
        <v>6.741772</v>
      </c>
    </row>
    <row r="6215">
      <c r="A6215" s="24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5" t="n">
        <v>7.375288</v>
      </c>
    </row>
    <row r="6216">
      <c r="A6216" s="24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5" t="n">
        <v>4.426402</v>
      </c>
    </row>
    <row r="6217">
      <c r="A6217" s="24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5" t="n">
        <v>10.424806</v>
      </c>
    </row>
    <row r="6218">
      <c r="A6218" s="24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5" t="n">
        <v>10.258859</v>
      </c>
    </row>
    <row r="6219">
      <c r="A6219" s="24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5" t="n">
        <v>7.626258</v>
      </c>
    </row>
    <row r="6220">
      <c r="A6220" s="24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5" t="n">
        <v>5.119592</v>
      </c>
    </row>
    <row r="6221">
      <c r="A6221" s="24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5" t="n">
        <v>5.307475</v>
      </c>
    </row>
    <row r="6222">
      <c r="A6222" s="24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5" t="n">
        <v>3.393475</v>
      </c>
    </row>
    <row r="6223">
      <c r="A6223" s="24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5" t="n">
        <v>8.938496000000001</v>
      </c>
    </row>
    <row r="6224">
      <c r="A6224" s="24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5" t="n">
        <v>11.76767</v>
      </c>
    </row>
    <row r="6225">
      <c r="A6225" s="24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5" t="n">
        <v>7.724304</v>
      </c>
    </row>
    <row r="6226">
      <c r="A6226" s="24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5" t="n">
        <v>6.249409</v>
      </c>
    </row>
    <row r="6227">
      <c r="A6227" s="24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5" t="n">
        <v>14.998607</v>
      </c>
    </row>
    <row r="6228">
      <c r="A6228" s="24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5" t="n">
        <v>31.853668</v>
      </c>
    </row>
    <row r="6229">
      <c r="A6229" s="24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5" t="n">
        <v>37.062612</v>
      </c>
    </row>
    <row r="6230">
      <c r="A6230" s="24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5" t="n">
        <v>46.165038</v>
      </c>
    </row>
    <row r="6231">
      <c r="A6231" s="24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5" t="n">
        <v>56.517622</v>
      </c>
    </row>
    <row r="6232">
      <c r="A6232" s="24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5" t="n">
        <v>53.463178</v>
      </c>
    </row>
    <row r="6233">
      <c r="A6233" s="24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5" t="n">
        <v>40.459595</v>
      </c>
    </row>
    <row r="6234">
      <c r="A6234" s="24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5" t="n">
        <v>33.063966</v>
      </c>
    </row>
    <row r="6235">
      <c r="A6235" s="24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5" t="n">
        <v>22.96279</v>
      </c>
    </row>
    <row r="6236">
      <c r="A6236" s="24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5" t="n">
        <v>19.118963</v>
      </c>
    </row>
    <row r="6237">
      <c r="A6237" s="24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5" t="n">
        <v>14.353853</v>
      </c>
    </row>
    <row r="6238">
      <c r="A6238" s="24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5" t="n">
        <v>12.114841</v>
      </c>
    </row>
    <row r="6239">
      <c r="A6239" s="24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5" t="n">
        <v>11.560171</v>
      </c>
    </row>
    <row r="6240">
      <c r="A6240" s="24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5" t="n">
        <v>21.471165</v>
      </c>
    </row>
    <row r="6241">
      <c r="A6241" s="24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5" t="n">
        <v>23.592335</v>
      </c>
    </row>
    <row r="6242">
      <c r="A6242" s="24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5" t="n">
        <v>14.432961</v>
      </c>
    </row>
    <row r="6243">
      <c r="A6243" s="24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5" t="n">
        <v>11.674458</v>
      </c>
    </row>
    <row r="6244">
      <c r="A6244" s="24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5" t="n">
        <v>9.822324999999999</v>
      </c>
    </row>
    <row r="6245">
      <c r="A6245" s="24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5" t="n">
        <v>7.129324</v>
      </c>
    </row>
    <row r="6246">
      <c r="A6246" s="24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5" t="n">
        <v>6.685553</v>
      </c>
    </row>
    <row r="6247">
      <c r="A6247" s="24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5" t="n">
        <v>5.209583</v>
      </c>
    </row>
    <row r="6248">
      <c r="A6248" s="24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5" t="n">
        <v>4.406477</v>
      </c>
    </row>
    <row r="6249">
      <c r="A6249" s="24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5" t="n">
        <v>4.270845</v>
      </c>
    </row>
    <row r="6250">
      <c r="A6250" s="24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5" t="n">
        <v>2.838058</v>
      </c>
    </row>
    <row r="6251">
      <c r="A6251" s="24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5" t="n">
        <v>6.65478</v>
      </c>
    </row>
    <row r="6252">
      <c r="A6252" s="24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5" t="n">
        <v>6.774702</v>
      </c>
    </row>
    <row r="6253">
      <c r="A6253" s="24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5" t="n">
        <v>6.14482</v>
      </c>
    </row>
    <row r="6254">
      <c r="A6254" s="24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5" t="n">
        <v>3.281605</v>
      </c>
    </row>
    <row r="6255">
      <c r="A6255" s="24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5" t="n">
        <v>5.876471</v>
      </c>
    </row>
    <row r="6256">
      <c r="A6256" s="24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5" t="n">
        <v>5.077586</v>
      </c>
    </row>
    <row r="6257">
      <c r="A6257" s="24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5" t="n">
        <v>9.008552</v>
      </c>
    </row>
    <row r="6258">
      <c r="A6258" s="24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5" t="n">
        <v>23.601042</v>
      </c>
    </row>
    <row r="6259">
      <c r="A6259" s="24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5" t="n">
        <v>43.05688</v>
      </c>
    </row>
    <row r="6260">
      <c r="A6260" s="24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5" t="n">
        <v>46.941454</v>
      </c>
    </row>
    <row r="6261">
      <c r="A6261" s="24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5" t="n">
        <v>36.686493</v>
      </c>
    </row>
    <row r="6262">
      <c r="A6262" s="24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5" t="n">
        <v>25.114924</v>
      </c>
    </row>
    <row r="6263">
      <c r="A6263" s="24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5" t="n">
        <v>18.551336</v>
      </c>
    </row>
    <row r="6264">
      <c r="A6264" s="24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5" t="n">
        <v>15.604267</v>
      </c>
    </row>
    <row r="6265">
      <c r="A6265" s="24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5" t="n">
        <v>10.581373</v>
      </c>
    </row>
    <row r="6266">
      <c r="A6266" s="24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5" t="n">
        <v>10.271451</v>
      </c>
    </row>
    <row r="6267">
      <c r="A6267" s="24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5" t="n">
        <v>6.775286</v>
      </c>
    </row>
    <row r="6268">
      <c r="A6268" s="24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5" t="n">
        <v>6.950485</v>
      </c>
    </row>
    <row r="6269">
      <c r="A6269" s="24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5" t="n">
        <v>4.810478</v>
      </c>
    </row>
    <row r="6270">
      <c r="A6270" s="24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5" t="n">
        <v>4.797253</v>
      </c>
    </row>
    <row r="6271">
      <c r="A6271" s="24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5" t="n">
        <v>16.096702</v>
      </c>
    </row>
    <row r="6272">
      <c r="A6272" s="24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5" t="n">
        <v>23.60801</v>
      </c>
    </row>
    <row r="6273">
      <c r="A6273" s="24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5" t="n">
        <v>17.87807</v>
      </c>
    </row>
    <row r="6274">
      <c r="A6274" s="24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5" t="n">
        <v>14.060385</v>
      </c>
    </row>
    <row r="6275">
      <c r="A6275" s="24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5" t="n">
        <v>13.141024</v>
      </c>
    </row>
    <row r="6276">
      <c r="A6276" s="24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5" t="n">
        <v>12.580395</v>
      </c>
    </row>
    <row r="6277">
      <c r="A6277" s="24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5" t="n">
        <v>17.502598</v>
      </c>
    </row>
    <row r="6278">
      <c r="A6278" s="24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5" t="n">
        <v>13.443579</v>
      </c>
    </row>
    <row r="6279">
      <c r="A6279" s="24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5" t="n">
        <v>11.984202</v>
      </c>
    </row>
    <row r="6280">
      <c r="A6280" s="24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5" t="n">
        <v>14.473633</v>
      </c>
    </row>
    <row r="6281">
      <c r="A6281" s="24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5" t="n">
        <v>25.860382</v>
      </c>
    </row>
    <row r="6282">
      <c r="A6282" s="24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5" t="n">
        <v>39.6545</v>
      </c>
    </row>
    <row r="6283">
      <c r="A6283" s="24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5" t="n">
        <v>34.94814</v>
      </c>
    </row>
    <row r="6284">
      <c r="A6284" s="24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5" t="n">
        <v>22.366692</v>
      </c>
    </row>
    <row r="6285">
      <c r="A6285" s="24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5" t="n">
        <v>16.872556</v>
      </c>
    </row>
    <row r="6286">
      <c r="A6286" s="24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5" t="n">
        <v>19.534143</v>
      </c>
    </row>
    <row r="6287">
      <c r="A6287" s="24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5" t="n">
        <v>18.723985</v>
      </c>
    </row>
    <row r="6288">
      <c r="A6288" s="24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5" t="n">
        <v>18.40908</v>
      </c>
    </row>
    <row r="6289">
      <c r="A6289" s="24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5" t="n">
        <v>21.224258</v>
      </c>
    </row>
    <row r="6290">
      <c r="A6290" s="24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5" t="n">
        <v>21.940927</v>
      </c>
    </row>
    <row r="6291">
      <c r="A6291" s="24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5" t="n">
        <v>13.049435</v>
      </c>
    </row>
    <row r="6292">
      <c r="A6292" s="24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5" t="n">
        <v>11.396245</v>
      </c>
    </row>
    <row r="6293">
      <c r="A6293" s="24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5" t="n">
        <v>9.011001</v>
      </c>
    </row>
    <row r="6294">
      <c r="A6294" s="24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5" t="n">
        <v>7.58523</v>
      </c>
    </row>
    <row r="6295">
      <c r="A6295" s="24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5" t="n">
        <v>18.652858</v>
      </c>
    </row>
    <row r="6296">
      <c r="A6296" s="24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5" t="n">
        <v>29.774425</v>
      </c>
    </row>
    <row r="6297">
      <c r="A6297" s="24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5" t="n">
        <v>39.044141</v>
      </c>
    </row>
    <row r="6298">
      <c r="A6298" s="24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5" t="n">
        <v>33.738716</v>
      </c>
    </row>
    <row r="6299">
      <c r="A6299" s="24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5" t="n">
        <v>29.081097</v>
      </c>
    </row>
    <row r="6300">
      <c r="A6300" s="24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5" t="n">
        <v>23.013183</v>
      </c>
    </row>
    <row r="6301">
      <c r="A6301" s="24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5" t="n">
        <v>18.288286</v>
      </c>
    </row>
    <row r="6302">
      <c r="A6302" s="24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5" t="n">
        <v>12.089774</v>
      </c>
    </row>
    <row r="6303">
      <c r="A6303" s="24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5" t="n">
        <v>11.83883</v>
      </c>
    </row>
    <row r="6304">
      <c r="A6304" s="24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5" t="n">
        <v>7.755346</v>
      </c>
    </row>
    <row r="6305">
      <c r="A6305" s="24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5" t="n">
        <v>8.254219000000001</v>
      </c>
    </row>
    <row r="6306">
      <c r="A6306" s="24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5" t="n">
        <v>22.983911</v>
      </c>
    </row>
    <row r="6307">
      <c r="A6307" s="24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5" t="n">
        <v>42.862423</v>
      </c>
    </row>
    <row r="6308">
      <c r="A6308" s="24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5" t="n">
        <v>42.86531</v>
      </c>
    </row>
    <row r="6309">
      <c r="A6309" s="24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5" t="n">
        <v>30.031003</v>
      </c>
    </row>
    <row r="6310">
      <c r="A6310" s="24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5" t="n">
        <v>25.359982</v>
      </c>
    </row>
    <row r="6311">
      <c r="A6311" s="24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5" t="n">
        <v>18.479708</v>
      </c>
    </row>
    <row r="6312">
      <c r="A6312" s="24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5" t="n">
        <v>15.875297</v>
      </c>
    </row>
    <row r="6313">
      <c r="A6313" s="24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5" t="n">
        <v>10.805422</v>
      </c>
    </row>
    <row r="6314">
      <c r="A6314" s="24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5" t="n">
        <v>10.364418</v>
      </c>
    </row>
    <row r="6315">
      <c r="A6315" s="24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5" t="n">
        <v>7.25083</v>
      </c>
    </row>
    <row r="6316">
      <c r="A6316" s="24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5" t="n">
        <v>6.901159</v>
      </c>
    </row>
    <row r="6317">
      <c r="A6317" s="24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5" t="n">
        <v>5.420984</v>
      </c>
    </row>
    <row r="6318">
      <c r="A6318" s="24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5" t="n">
        <v>13.917616</v>
      </c>
    </row>
    <row r="6319">
      <c r="A6319" s="24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5" t="n">
        <v>19.094902</v>
      </c>
    </row>
    <row r="6320">
      <c r="A6320" s="24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5" t="n">
        <v>27.313462</v>
      </c>
    </row>
    <row r="6321">
      <c r="A6321" s="24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5" t="n">
        <v>37.003811</v>
      </c>
    </row>
    <row r="6322">
      <c r="A6322" s="24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5" t="n">
        <v>26.880535</v>
      </c>
    </row>
    <row r="6323">
      <c r="A6323" s="24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5" t="n">
        <v>17.411225</v>
      </c>
    </row>
    <row r="6324">
      <c r="A6324" s="24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5" t="n">
        <v>18.322086</v>
      </c>
    </row>
    <row r="6325">
      <c r="A6325" s="24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5" t="n">
        <v>17.856724</v>
      </c>
    </row>
    <row r="6326">
      <c r="A6326" s="24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5" t="n">
        <v>29.148187</v>
      </c>
    </row>
    <row r="6327">
      <c r="A6327" s="24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5" t="n">
        <v>29.085975</v>
      </c>
    </row>
    <row r="6328">
      <c r="A6328" s="24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5" t="n">
        <v>18.157488</v>
      </c>
    </row>
    <row r="6329">
      <c r="A6329" s="24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5" t="n">
        <v>29.203901</v>
      </c>
    </row>
    <row r="6330">
      <c r="A6330" s="24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5" t="n">
        <v>40.287889</v>
      </c>
    </row>
    <row r="6331">
      <c r="A6331" s="24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5" t="n">
        <v>29.896407</v>
      </c>
    </row>
    <row r="6332">
      <c r="A6332" s="24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5" t="n">
        <v>20.438297</v>
      </c>
    </row>
    <row r="6333">
      <c r="A6333" s="24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5" t="n">
        <v>17.267944</v>
      </c>
    </row>
    <row r="6334">
      <c r="A6334" s="24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5" t="n">
        <v>11.968041</v>
      </c>
    </row>
    <row r="6335">
      <c r="A6335" s="24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5" t="n">
        <v>11.08079</v>
      </c>
    </row>
    <row r="6336">
      <c r="A6336" s="24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5" t="n">
        <v>7.875375</v>
      </c>
    </row>
    <row r="6337">
      <c r="A6337" s="24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5" t="n">
        <v>7.424963</v>
      </c>
    </row>
    <row r="6338">
      <c r="A6338" s="24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5" t="n">
        <v>5.715649</v>
      </c>
    </row>
    <row r="6339">
      <c r="A6339" s="24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5" t="n">
        <v>17.388464</v>
      </c>
    </row>
    <row r="6340">
      <c r="A6340" s="24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5" t="n">
        <v>36.908793</v>
      </c>
    </row>
    <row r="6341">
      <c r="A6341" s="24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5" t="n">
        <v>39.01991</v>
      </c>
    </row>
    <row r="6342">
      <c r="A6342" s="24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5" t="n">
        <v>31.255473</v>
      </c>
    </row>
    <row r="6343">
      <c r="A6343" s="24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5" t="n">
        <v>33.277778</v>
      </c>
    </row>
    <row r="6344">
      <c r="A6344" s="24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5" t="n">
        <v>32.050805</v>
      </c>
    </row>
    <row r="6345">
      <c r="A6345" s="24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5" t="n">
        <v>26.202269</v>
      </c>
    </row>
    <row r="6346">
      <c r="A6346" s="24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5" t="n">
        <v>25.064148</v>
      </c>
    </row>
    <row r="6347">
      <c r="A6347" s="24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5" t="n">
        <v>19.354521</v>
      </c>
    </row>
    <row r="6348">
      <c r="A6348" s="24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5" t="n">
        <v>16.267016</v>
      </c>
    </row>
    <row r="6349">
      <c r="A6349" s="24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5" t="n">
        <v>13.699637</v>
      </c>
    </row>
    <row r="6350">
      <c r="A6350" s="24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5" t="n">
        <v>14.98453</v>
      </c>
    </row>
    <row r="6351">
      <c r="A6351" s="24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5" t="n">
        <v>23.486789</v>
      </c>
    </row>
    <row r="6352">
      <c r="A6352" s="24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5" t="n">
        <v>30.023425</v>
      </c>
    </row>
    <row r="6353">
      <c r="A6353" s="24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5" t="n">
        <v>26.208504</v>
      </c>
    </row>
    <row r="6354">
      <c r="A6354" s="24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5" t="n">
        <v>17.84799</v>
      </c>
    </row>
    <row r="6355">
      <c r="A6355" s="24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5" t="n">
        <v>13.347044</v>
      </c>
    </row>
    <row r="6356">
      <c r="A6356" s="24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5" t="n">
        <v>11.5794</v>
      </c>
    </row>
    <row r="6357">
      <c r="A6357" s="24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5" t="n">
        <v>8.064024</v>
      </c>
    </row>
    <row r="6358">
      <c r="A6358" s="24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5" t="n">
        <v>7.810004</v>
      </c>
    </row>
    <row r="6359">
      <c r="A6359" s="24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5" t="n">
        <v>5.636267</v>
      </c>
    </row>
    <row r="6360">
      <c r="A6360" s="24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5" t="n">
        <v>19.179913</v>
      </c>
    </row>
    <row r="6361">
      <c r="A6361" s="24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5" t="n">
        <v>39.394373</v>
      </c>
    </row>
    <row r="6362">
      <c r="A6362" s="24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5" t="n">
        <v>46.148205</v>
      </c>
    </row>
    <row r="6363">
      <c r="A6363" s="24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5" t="n">
        <v>52.682653</v>
      </c>
    </row>
    <row r="6364">
      <c r="A6364" s="24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5" t="n">
        <v>72.31757</v>
      </c>
    </row>
    <row r="6365">
      <c r="A6365" s="24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5" t="n">
        <v>84.881365</v>
      </c>
    </row>
    <row r="6366">
      <c r="A6366" s="24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5" t="n">
        <v>75.320987</v>
      </c>
    </row>
    <row r="6367">
      <c r="A6367" s="24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5" t="n">
        <v>61.021362</v>
      </c>
    </row>
    <row r="6368">
      <c r="A6368" s="24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5" t="n">
        <v>45.886656</v>
      </c>
    </row>
    <row r="6369">
      <c r="A6369" s="24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5" t="n">
        <v>34.110127</v>
      </c>
    </row>
    <row r="6370">
      <c r="A6370" s="24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5" t="n">
        <v>26.224292</v>
      </c>
    </row>
    <row r="6371">
      <c r="A6371" s="24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5" t="n">
        <v>21.472419</v>
      </c>
    </row>
    <row r="6372">
      <c r="A6372" s="24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5" t="n">
        <v>16.484576</v>
      </c>
    </row>
    <row r="6373">
      <c r="A6373" s="24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5" t="n">
        <v>14.441575</v>
      </c>
    </row>
    <row r="6374">
      <c r="A6374" s="24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5" t="n">
        <v>11.250104</v>
      </c>
    </row>
    <row r="6375">
      <c r="A6375" s="24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5" t="n">
        <v>10.088342</v>
      </c>
    </row>
    <row r="6376">
      <c r="A6376" s="24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5" t="n">
        <v>8.240750999999999</v>
      </c>
    </row>
    <row r="6377">
      <c r="A6377" s="24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5" t="n">
        <v>7.200309</v>
      </c>
    </row>
    <row r="6378">
      <c r="A6378" s="24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5" t="n">
        <v>16.309228</v>
      </c>
    </row>
    <row r="6379">
      <c r="A6379" s="24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5" t="n">
        <v>19.384438</v>
      </c>
    </row>
    <row r="6380">
      <c r="A6380" s="24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5" t="n">
        <v>12.381993</v>
      </c>
    </row>
    <row r="6381">
      <c r="A6381" s="24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5" t="n">
        <v>8.863364000000001</v>
      </c>
    </row>
    <row r="6382">
      <c r="A6382" s="24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5" t="n">
        <v>9.181910999999999</v>
      </c>
    </row>
    <row r="6383">
      <c r="A6383" s="24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5" t="n">
        <v>20.370241</v>
      </c>
    </row>
    <row r="6384">
      <c r="A6384" s="24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5" t="n">
        <v>43.066925</v>
      </c>
    </row>
    <row r="6385">
      <c r="A6385" s="24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5" t="n">
        <v>43.519582</v>
      </c>
    </row>
    <row r="6386">
      <c r="A6386" s="24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5" t="n">
        <v>34.852762</v>
      </c>
    </row>
    <row r="6387">
      <c r="A6387" s="24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5" t="n">
        <v>24.762553</v>
      </c>
    </row>
    <row r="6388">
      <c r="A6388" s="24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5" t="n">
        <v>35.957047</v>
      </c>
    </row>
    <row r="6389">
      <c r="A6389" s="24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5" t="n">
        <v>53.628639</v>
      </c>
    </row>
    <row r="6390">
      <c r="A6390" s="24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5" t="n">
        <v>53.257028</v>
      </c>
    </row>
    <row r="6391">
      <c r="A6391" s="24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5" t="n">
        <v>42.41302</v>
      </c>
    </row>
    <row r="6392">
      <c r="A6392" s="24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5" t="n">
        <v>30.035001</v>
      </c>
    </row>
    <row r="6393">
      <c r="A6393" s="24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5" t="n">
        <v>23.133461</v>
      </c>
    </row>
    <row r="6394">
      <c r="A6394" s="24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5" t="n">
        <v>18.88826</v>
      </c>
    </row>
    <row r="6395">
      <c r="A6395" s="24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5" t="n">
        <v>14.196697</v>
      </c>
    </row>
    <row r="6396">
      <c r="A6396" s="24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5" t="n">
        <v>12.493097</v>
      </c>
    </row>
    <row r="6397">
      <c r="A6397" s="24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5" t="n">
        <v>9.672376</v>
      </c>
    </row>
    <row r="6398">
      <c r="A6398" s="24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5" t="n">
        <v>14.670726</v>
      </c>
    </row>
    <row r="6399">
      <c r="A6399" s="24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5" t="n">
        <v>15.965888</v>
      </c>
    </row>
    <row r="6400">
      <c r="A6400" s="24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5" t="n">
        <v>10.421061</v>
      </c>
    </row>
    <row r="6401">
      <c r="A6401" s="24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5" t="n">
        <v>13.996443</v>
      </c>
    </row>
    <row r="6402">
      <c r="A6402" s="24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5" t="n">
        <v>14.866092</v>
      </c>
    </row>
    <row r="6403">
      <c r="A6403" s="24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5" t="n">
        <v>9.641724999999999</v>
      </c>
    </row>
    <row r="6404">
      <c r="A6404" s="24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5" t="n">
        <v>7.825249</v>
      </c>
    </row>
    <row r="6405">
      <c r="A6405" s="24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5" t="n">
        <v>7.03669</v>
      </c>
    </row>
    <row r="6406">
      <c r="A6406" s="24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5" t="n">
        <v>11.924354</v>
      </c>
    </row>
    <row r="6407">
      <c r="A6407" s="24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5" t="n">
        <v>15.597672</v>
      </c>
    </row>
    <row r="6408">
      <c r="A6408" s="24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5" t="n">
        <v>8.474866</v>
      </c>
    </row>
    <row r="6409">
      <c r="A6409" s="24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5" t="n">
        <v>9.875337</v>
      </c>
    </row>
    <row r="6410">
      <c r="A6410" s="24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5" t="n">
        <v>9.282893</v>
      </c>
    </row>
    <row r="6411">
      <c r="A6411" s="24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5" t="n">
        <v>6.110138</v>
      </c>
    </row>
    <row r="6412">
      <c r="A6412" s="24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5" t="n">
        <v>11.706634</v>
      </c>
    </row>
    <row r="6413">
      <c r="A6413" s="24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5" t="n">
        <v>13.007345</v>
      </c>
    </row>
    <row r="6414">
      <c r="A6414" s="24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5" t="n">
        <v>8.121579000000001</v>
      </c>
    </row>
    <row r="6415">
      <c r="A6415" s="24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5" t="n">
        <v>6.243101</v>
      </c>
    </row>
    <row r="6416">
      <c r="A6416" s="24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5" t="n">
        <v>5.614115</v>
      </c>
    </row>
    <row r="6417">
      <c r="A6417" s="24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5" t="n">
        <v>10.918185</v>
      </c>
    </row>
    <row r="6418">
      <c r="A6418" s="24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5" t="n">
        <v>14.215211</v>
      </c>
    </row>
    <row r="6419">
      <c r="A6419" s="24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5" t="n">
        <v>7.891322</v>
      </c>
    </row>
    <row r="6420">
      <c r="A6420" s="24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5" t="n">
        <v>6.338705</v>
      </c>
    </row>
    <row r="6421">
      <c r="A6421" s="24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5" t="n">
        <v>5.694974</v>
      </c>
    </row>
    <row r="6422">
      <c r="A6422" s="24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5" t="n">
        <v>3.395499</v>
      </c>
    </row>
    <row r="6423">
      <c r="A6423" s="24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5" t="n">
        <v>4.065592</v>
      </c>
    </row>
    <row r="6424">
      <c r="A6424" s="24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5" t="n">
        <v>2.276203</v>
      </c>
    </row>
    <row r="6425">
      <c r="A6425" s="24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5" t="n">
        <v>2.751597</v>
      </c>
    </row>
    <row r="6426">
      <c r="A6426" s="24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5" t="n">
        <v>1.864257</v>
      </c>
    </row>
    <row r="6427">
      <c r="A6427" s="24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5" t="n">
        <v>1.761678</v>
      </c>
    </row>
    <row r="6428">
      <c r="A6428" s="24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5" t="n">
        <v>1.676132</v>
      </c>
    </row>
    <row r="6429">
      <c r="A6429" s="24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5" t="n">
        <v>1.081285</v>
      </c>
    </row>
    <row r="6430">
      <c r="A6430" s="24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5" t="n">
        <v>1.514535</v>
      </c>
    </row>
    <row r="6431">
      <c r="A6431" s="24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5" t="n">
        <v>0.661601</v>
      </c>
    </row>
    <row r="6432">
      <c r="A6432" s="24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5" t="n">
        <v>1.318965</v>
      </c>
    </row>
    <row r="6433">
      <c r="A6433" s="24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5" t="n">
        <v>0.436891</v>
      </c>
    </row>
    <row r="6434">
      <c r="A6434" s="24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5" t="n">
        <v>1.089756</v>
      </c>
    </row>
    <row r="6435">
      <c r="A6435" s="24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5" t="n">
        <v>9.195758</v>
      </c>
    </row>
    <row r="6436">
      <c r="A6436" s="24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5" t="n">
        <v>23.35973</v>
      </c>
    </row>
    <row r="6437">
      <c r="A6437" s="24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5" t="n">
        <v>20.872606</v>
      </c>
    </row>
    <row r="6438">
      <c r="A6438" s="24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5" t="n">
        <v>12.331572</v>
      </c>
    </row>
    <row r="6439">
      <c r="A6439" s="24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5" t="n">
        <v>9.789864</v>
      </c>
    </row>
    <row r="6440">
      <c r="A6440" s="24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5" t="n">
        <v>7.290981</v>
      </c>
    </row>
    <row r="6441">
      <c r="A6441" s="24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5" t="n">
        <v>5.385865</v>
      </c>
    </row>
    <row r="6442">
      <c r="A6442" s="24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5" t="n">
        <v>4.684235</v>
      </c>
    </row>
    <row r="6443">
      <c r="A6443" s="24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5" t="n">
        <v>3.366671</v>
      </c>
    </row>
    <row r="6444">
      <c r="A6444" s="24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5" t="n">
        <v>3.088165</v>
      </c>
    </row>
    <row r="6445">
      <c r="A6445" s="24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5" t="n">
        <v>2.3697</v>
      </c>
    </row>
    <row r="6446">
      <c r="A6446" s="24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5" t="n">
        <v>2.056365</v>
      </c>
    </row>
    <row r="6447">
      <c r="A6447" s="24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5" t="n">
        <v>1.818721</v>
      </c>
    </row>
    <row r="6448">
      <c r="A6448" s="24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5" t="n">
        <v>1.386761</v>
      </c>
    </row>
    <row r="6449">
      <c r="A6449" s="24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5" t="n">
        <v>1.457746</v>
      </c>
    </row>
    <row r="6450">
      <c r="A6450" s="24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5" t="n">
        <v>5.129434</v>
      </c>
    </row>
    <row r="6451">
      <c r="A6451" s="24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5" t="n">
        <v>19.467645</v>
      </c>
    </row>
    <row r="6452">
      <c r="A6452" s="24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5" t="n">
        <v>21.373668</v>
      </c>
    </row>
    <row r="6453">
      <c r="A6453" s="24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5" t="n">
        <v>12.067035</v>
      </c>
    </row>
    <row r="6454">
      <c r="A6454" s="24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5" t="n">
        <v>8.927602</v>
      </c>
    </row>
    <row r="6455">
      <c r="A6455" s="24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5" t="n">
        <v>7.811264</v>
      </c>
    </row>
    <row r="6456">
      <c r="A6456" s="24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5" t="n">
        <v>8.526208</v>
      </c>
    </row>
    <row r="6457">
      <c r="A6457" s="24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5" t="n">
        <v>10.862691</v>
      </c>
    </row>
    <row r="6458">
      <c r="A6458" s="24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5" t="n">
        <v>5.803295</v>
      </c>
    </row>
    <row r="6459">
      <c r="A6459" s="24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5" t="n">
        <v>8.206128</v>
      </c>
    </row>
    <row r="6460">
      <c r="A6460" s="24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5" t="n">
        <v>8.447718</v>
      </c>
    </row>
    <row r="6461">
      <c r="A6461" s="24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5" t="n">
        <v>5.520561</v>
      </c>
    </row>
    <row r="6462">
      <c r="A6462" s="24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5" t="n">
        <v>5.55756</v>
      </c>
    </row>
    <row r="6463">
      <c r="A6463" s="24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5" t="n">
        <v>3.561259</v>
      </c>
    </row>
    <row r="6464">
      <c r="A6464" s="24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5" t="n">
        <v>3.369295</v>
      </c>
    </row>
    <row r="6465">
      <c r="A6465" s="24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5" t="n">
        <v>2.41997</v>
      </c>
    </row>
    <row r="6466">
      <c r="A6466" s="24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5" t="n">
        <v>2.289308</v>
      </c>
    </row>
    <row r="6467">
      <c r="A6467" s="24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5" t="n">
        <v>1.712372</v>
      </c>
    </row>
    <row r="6468">
      <c r="A6468" s="24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5" t="n">
        <v>1.659015</v>
      </c>
    </row>
    <row r="6469">
      <c r="A6469" s="24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5" t="n">
        <v>1.267696</v>
      </c>
    </row>
    <row r="6470">
      <c r="A6470" s="24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5" t="n">
        <v>1.230884</v>
      </c>
    </row>
    <row r="6471">
      <c r="A6471" s="24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5" t="n">
        <v>0.993193</v>
      </c>
    </row>
    <row r="6472">
      <c r="A6472" s="24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5" t="n">
        <v>13.556085</v>
      </c>
    </row>
    <row r="6473">
      <c r="A6473" s="24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5" t="n">
        <v>22.320193</v>
      </c>
    </row>
    <row r="6474">
      <c r="A6474" s="24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5" t="n">
        <v>14.602262</v>
      </c>
    </row>
    <row r="6475">
      <c r="A6475" s="24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5" t="n">
        <v>9.47921</v>
      </c>
    </row>
    <row r="6476">
      <c r="A6476" s="24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5" t="n">
        <v>8.507542000000001</v>
      </c>
    </row>
    <row r="6477">
      <c r="A6477" s="24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5" t="n">
        <v>5.100975</v>
      </c>
    </row>
    <row r="6478">
      <c r="A6478" s="24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5" t="n">
        <v>5.138031</v>
      </c>
    </row>
    <row r="6479">
      <c r="A6479" s="24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5" t="n">
        <v>3.408928</v>
      </c>
    </row>
    <row r="6480">
      <c r="A6480" s="24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5" t="n">
        <v>3.201906</v>
      </c>
    </row>
    <row r="6481">
      <c r="A6481" s="24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5" t="n">
        <v>2.895822</v>
      </c>
    </row>
    <row r="6482">
      <c r="A6482" s="24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5" t="n">
        <v>1.873539</v>
      </c>
    </row>
    <row r="6483">
      <c r="A6483" s="24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5" t="n">
        <v>2.279776</v>
      </c>
    </row>
    <row r="6484">
      <c r="A6484" s="24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5" t="n">
        <v>1.114801</v>
      </c>
    </row>
    <row r="6485">
      <c r="A6485" s="24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5" t="n">
        <v>1.824342</v>
      </c>
    </row>
    <row r="6486">
      <c r="A6486" s="24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5" t="n">
        <v>0.738456</v>
      </c>
    </row>
    <row r="6487">
      <c r="A6487" s="24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5" t="n">
        <v>1.406987</v>
      </c>
    </row>
    <row r="6488">
      <c r="A6488" s="24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5" t="n">
        <v>0.592735</v>
      </c>
    </row>
    <row r="6489">
      <c r="A6489" s="24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5" t="n">
        <v>1.016843</v>
      </c>
    </row>
    <row r="6490">
      <c r="A6490" s="24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5" t="n">
        <v>0.567739</v>
      </c>
    </row>
    <row r="6491">
      <c r="A6491" s="24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5" t="n">
        <v>0.67267</v>
      </c>
    </row>
    <row r="6492">
      <c r="A6492" s="24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5" t="n">
        <v>0.587553</v>
      </c>
    </row>
    <row r="6493">
      <c r="A6493" s="24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5" t="n">
        <v>0.393579</v>
      </c>
    </row>
    <row r="6494">
      <c r="A6494" s="24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5" t="n">
        <v>0.60538</v>
      </c>
    </row>
    <row r="6495">
      <c r="A6495" s="24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5" t="n">
        <v>0.189163</v>
      </c>
    </row>
    <row r="6496">
      <c r="A6496" s="24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5" t="n">
        <v>0.611326</v>
      </c>
    </row>
    <row r="6497">
      <c r="A6497" s="24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5" t="n">
        <v>0.14921</v>
      </c>
    </row>
    <row r="6498">
      <c r="A6498" s="24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5" t="n">
        <v>0.5222059999999999</v>
      </c>
    </row>
    <row r="6499">
      <c r="A6499" s="24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5" t="n">
        <v>0.140495</v>
      </c>
    </row>
    <row r="6500">
      <c r="A6500" s="24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5" t="n">
        <v>0.393641</v>
      </c>
    </row>
    <row r="6501">
      <c r="A6501" s="24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5" t="n">
        <v>0.16464</v>
      </c>
    </row>
    <row r="6502">
      <c r="A6502" s="24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5" t="n">
        <v>0.248986</v>
      </c>
    </row>
    <row r="6503">
      <c r="A6503" s="24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5" t="n">
        <v>9.414218999999999</v>
      </c>
    </row>
    <row r="6504">
      <c r="A6504" s="24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5" t="n">
        <v>20.052814</v>
      </c>
    </row>
    <row r="6505">
      <c r="A6505" s="24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5" t="n">
        <v>26.956061</v>
      </c>
    </row>
    <row r="6506">
      <c r="A6506" s="24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5" t="n">
        <v>25.488955</v>
      </c>
    </row>
    <row r="6507">
      <c r="A6507" s="24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5" t="n">
        <v>17.089104</v>
      </c>
    </row>
    <row r="6508">
      <c r="A6508" s="24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5" t="n">
        <v>11.339725</v>
      </c>
    </row>
    <row r="6509">
      <c r="A6509" s="24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5" t="n">
        <v>10.343244</v>
      </c>
    </row>
    <row r="6510">
      <c r="A6510" s="24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5" t="n">
        <v>6.129167</v>
      </c>
    </row>
    <row r="6511">
      <c r="A6511" s="24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5" t="n">
        <v>6.43923</v>
      </c>
    </row>
    <row r="6512">
      <c r="A6512" s="24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5" t="n">
        <v>4.047353</v>
      </c>
    </row>
    <row r="6513">
      <c r="A6513" s="24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5" t="n">
        <v>3.94351</v>
      </c>
    </row>
    <row r="6514">
      <c r="A6514" s="24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5" t="n">
        <v>3.1068</v>
      </c>
    </row>
    <row r="6515">
      <c r="A6515" s="24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5" t="n">
        <v>2.387811</v>
      </c>
    </row>
    <row r="6516">
      <c r="A6516" s="24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5" t="n">
        <v>2.535298</v>
      </c>
    </row>
    <row r="6517">
      <c r="A6517" s="24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5" t="n">
        <v>1.486559</v>
      </c>
    </row>
    <row r="6518">
      <c r="A6518" s="24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5" t="n">
        <v>2.055341</v>
      </c>
    </row>
    <row r="6519">
      <c r="A6519" s="24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5" t="n">
        <v>1.019461</v>
      </c>
    </row>
    <row r="6520">
      <c r="A6520" s="24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5" t="n">
        <v>7.910413</v>
      </c>
    </row>
    <row r="6521">
      <c r="A6521" s="24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5" t="n">
        <v>18.627568</v>
      </c>
    </row>
    <row r="6522">
      <c r="A6522" s="24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5" t="n">
        <v>18.346261</v>
      </c>
    </row>
    <row r="6523">
      <c r="A6523" s="24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5" t="n">
        <v>10.378418</v>
      </c>
    </row>
    <row r="6524">
      <c r="A6524" s="24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5" t="n">
        <v>11.162403</v>
      </c>
    </row>
    <row r="6525">
      <c r="A6525" s="24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5" t="n">
        <v>10.376569</v>
      </c>
    </row>
    <row r="6526">
      <c r="A6526" s="24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5" t="n">
        <v>7.101026</v>
      </c>
    </row>
    <row r="6527">
      <c r="A6527" s="24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5" t="n">
        <v>7.53311</v>
      </c>
    </row>
    <row r="6528">
      <c r="A6528" s="24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5" t="n">
        <v>5.712751</v>
      </c>
    </row>
    <row r="6529">
      <c r="A6529" s="24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5" t="n">
        <v>4.588792</v>
      </c>
    </row>
    <row r="6530">
      <c r="A6530" s="24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5" t="n">
        <v>3.472066</v>
      </c>
    </row>
    <row r="6531">
      <c r="A6531" s="24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5" t="n">
        <v>3.059504</v>
      </c>
    </row>
    <row r="6532">
      <c r="A6532" s="24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5" t="n">
        <v>2.311025</v>
      </c>
    </row>
    <row r="6533">
      <c r="A6533" s="24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5" t="n">
        <v>13.587179</v>
      </c>
    </row>
    <row r="6534">
      <c r="A6534" s="24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5" t="n">
        <v>24.663461</v>
      </c>
    </row>
    <row r="6535">
      <c r="A6535" s="24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5" t="n">
        <v>19.503299</v>
      </c>
    </row>
    <row r="6536">
      <c r="A6536" s="24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5" t="n">
        <v>11.96039</v>
      </c>
    </row>
    <row r="6537">
      <c r="A6537" s="24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5" t="n">
        <v>10.304319</v>
      </c>
    </row>
    <row r="6538">
      <c r="A6538" s="24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5" t="n">
        <v>6.843496</v>
      </c>
    </row>
    <row r="6539">
      <c r="A6539" s="24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5" t="n">
        <v>6.045806</v>
      </c>
    </row>
    <row r="6540">
      <c r="A6540" s="24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5" t="n">
        <v>4.566122</v>
      </c>
    </row>
    <row r="6541">
      <c r="A6541" s="24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5" t="n">
        <v>3.695214</v>
      </c>
    </row>
    <row r="6542">
      <c r="A6542" s="24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5" t="n">
        <v>3.354795</v>
      </c>
    </row>
    <row r="6543">
      <c r="A6543" s="24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5" t="n">
        <v>2.340135</v>
      </c>
    </row>
    <row r="6544">
      <c r="A6544" s="24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5" t="n">
        <v>2.586519</v>
      </c>
    </row>
    <row r="6545">
      <c r="A6545" s="24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5" t="n">
        <v>1.560148</v>
      </c>
    </row>
    <row r="6546">
      <c r="A6546" s="24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5" t="n">
        <v>2.017141</v>
      </c>
    </row>
    <row r="6547">
      <c r="A6547" s="24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5" t="n">
        <v>2.316158</v>
      </c>
    </row>
    <row r="6548">
      <c r="A6548" s="24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5" t="n">
        <v>3.26148</v>
      </c>
    </row>
    <row r="6549">
      <c r="A6549" s="24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5" t="n">
        <v>1.754423</v>
      </c>
    </row>
    <row r="6550">
      <c r="A6550" s="24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5" t="n">
        <v>1.778377</v>
      </c>
    </row>
    <row r="6551">
      <c r="A6551" s="24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5" t="n">
        <v>1.350405</v>
      </c>
    </row>
    <row r="6552">
      <c r="A6552" s="24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5" t="n">
        <v>1.112298</v>
      </c>
    </row>
    <row r="6553">
      <c r="A6553" s="24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5" t="n">
        <v>1.065631</v>
      </c>
    </row>
    <row r="6554">
      <c r="A6554" s="24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5" t="n">
        <v>0.760038</v>
      </c>
    </row>
    <row r="6555">
      <c r="A6555" s="24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5" t="n">
        <v>0.846876</v>
      </c>
    </row>
    <row r="6556">
      <c r="A6556" s="24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5" t="n">
        <v>15.513924</v>
      </c>
    </row>
    <row r="6557">
      <c r="A6557" s="24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5" t="n">
        <v>34.964413</v>
      </c>
    </row>
    <row r="6558">
      <c r="A6558" s="24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5" t="n">
        <v>29.092745</v>
      </c>
    </row>
    <row r="6559">
      <c r="A6559" s="24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5" t="n">
        <v>16.92723</v>
      </c>
    </row>
    <row r="6560">
      <c r="A6560" s="24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5" t="n">
        <v>14.268596</v>
      </c>
    </row>
    <row r="6561">
      <c r="A6561" s="24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5" t="n">
        <v>10.189674</v>
      </c>
    </row>
    <row r="6562">
      <c r="A6562" s="24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5" t="n">
        <v>7.745819</v>
      </c>
    </row>
    <row r="6563">
      <c r="A6563" s="24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5" t="n">
        <v>6.726793</v>
      </c>
    </row>
    <row r="6564">
      <c r="A6564" s="24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5" t="n">
        <v>19.462479</v>
      </c>
    </row>
    <row r="6565">
      <c r="A6565" s="24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5" t="n">
        <v>40.515133</v>
      </c>
    </row>
    <row r="6566">
      <c r="A6566" s="24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5" t="n">
        <v>40.440136</v>
      </c>
    </row>
    <row r="6567">
      <c r="A6567" s="24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5" t="n">
        <v>29.508995</v>
      </c>
    </row>
    <row r="6568">
      <c r="A6568" s="24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5" t="n">
        <v>27.599624</v>
      </c>
    </row>
    <row r="6569">
      <c r="A6569" s="24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5" t="n">
        <v>32.840987</v>
      </c>
    </row>
    <row r="6570">
      <c r="A6570" s="24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5" t="n">
        <v>29.834931</v>
      </c>
    </row>
    <row r="6571">
      <c r="A6571" s="24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5" t="n">
        <v>20.583685</v>
      </c>
    </row>
    <row r="6572">
      <c r="A6572" s="24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5" t="n">
        <v>16.256532</v>
      </c>
    </row>
    <row r="6573">
      <c r="A6573" s="24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5" t="n">
        <v>21.891187</v>
      </c>
    </row>
    <row r="6574">
      <c r="A6574" s="24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5" t="n">
        <v>23.285497</v>
      </c>
    </row>
    <row r="6575">
      <c r="A6575" s="24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5" t="n">
        <v>25.291125</v>
      </c>
    </row>
    <row r="6576">
      <c r="A6576" s="24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5" t="n">
        <v>25.696022</v>
      </c>
    </row>
    <row r="6577">
      <c r="A6577" s="24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5" t="n">
        <v>18.915764</v>
      </c>
    </row>
    <row r="6578">
      <c r="A6578" s="24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5" t="n">
        <v>13.188553</v>
      </c>
    </row>
    <row r="6579">
      <c r="A6579" s="24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5" t="n">
        <v>13.093792</v>
      </c>
    </row>
    <row r="6580">
      <c r="A6580" s="24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5" t="n">
        <v>7.448268</v>
      </c>
    </row>
    <row r="6581">
      <c r="A6581" s="24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5" t="n">
        <v>8.711795</v>
      </c>
    </row>
    <row r="6582">
      <c r="A6582" s="24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5" t="n">
        <v>5.446872</v>
      </c>
    </row>
    <row r="6583">
      <c r="A6583" s="24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5" t="n">
        <v>5.4812</v>
      </c>
    </row>
    <row r="6584">
      <c r="A6584" s="24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5" t="n">
        <v>4.653464</v>
      </c>
    </row>
    <row r="6585">
      <c r="A6585" s="24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5" t="n">
        <v>3.305331</v>
      </c>
    </row>
    <row r="6586">
      <c r="A6586" s="24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5" t="n">
        <v>4.106641</v>
      </c>
    </row>
    <row r="6587">
      <c r="A6587" s="24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5" t="n">
        <v>2.00971</v>
      </c>
    </row>
    <row r="6588">
      <c r="A6588" s="24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5" t="n">
        <v>3.499094</v>
      </c>
    </row>
    <row r="6589">
      <c r="A6589" s="24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5" t="n">
        <v>1.358973</v>
      </c>
    </row>
    <row r="6590">
      <c r="A6590" s="24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5" t="n">
        <v>2.801386</v>
      </c>
    </row>
    <row r="6591">
      <c r="A6591" s="24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5" t="n">
        <v>7.348575</v>
      </c>
    </row>
    <row r="6592">
      <c r="A6592" s="24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5" t="n">
        <v>12.71445</v>
      </c>
    </row>
    <row r="6593">
      <c r="A6593" s="24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5" t="n">
        <v>8.114198</v>
      </c>
    </row>
    <row r="6594">
      <c r="A6594" s="24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5" t="n">
        <v>5.874782</v>
      </c>
    </row>
    <row r="6595">
      <c r="A6595" s="24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5" t="n">
        <v>16.911304</v>
      </c>
    </row>
    <row r="6596">
      <c r="A6596" s="24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5" t="n">
        <v>34.392905</v>
      </c>
    </row>
    <row r="6597">
      <c r="A6597" s="24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5" t="n">
        <v>32.885909</v>
      </c>
    </row>
    <row r="6598">
      <c r="A6598" s="24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5" t="n">
        <v>18.459986</v>
      </c>
    </row>
    <row r="6599">
      <c r="A6599" s="24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5" t="n">
        <v>15.843225</v>
      </c>
    </row>
    <row r="6600">
      <c r="A6600" s="24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5" t="n">
        <v>11.116532</v>
      </c>
    </row>
    <row r="6601">
      <c r="A6601" s="24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5" t="n">
        <v>8.863064</v>
      </c>
    </row>
    <row r="6602">
      <c r="A6602" s="24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5" t="n">
        <v>9.261222999999999</v>
      </c>
    </row>
    <row r="6603">
      <c r="A6603" s="24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5" t="n">
        <v>8.368349</v>
      </c>
    </row>
    <row r="6604">
      <c r="A6604" s="24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5" t="n">
        <v>6.376877</v>
      </c>
    </row>
    <row r="6605">
      <c r="A6605" s="24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5" t="n">
        <v>15.138317</v>
      </c>
    </row>
    <row r="6606">
      <c r="A6606" s="24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5" t="n">
        <v>26.448666</v>
      </c>
    </row>
    <row r="6607">
      <c r="A6607" s="24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5" t="n">
        <v>22.79994</v>
      </c>
    </row>
    <row r="6608">
      <c r="A6608" s="24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5" t="n">
        <v>19.427487</v>
      </c>
    </row>
    <row r="6609">
      <c r="A6609" s="24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5" t="n">
        <v>23.076917</v>
      </c>
    </row>
    <row r="6610">
      <c r="A6610" s="24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5" t="n">
        <v>18.993674</v>
      </c>
    </row>
    <row r="6611">
      <c r="A6611" s="24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5" t="n">
        <v>26.528964</v>
      </c>
    </row>
    <row r="6612">
      <c r="A6612" s="24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5" t="n">
        <v>31.934171</v>
      </c>
    </row>
    <row r="6613">
      <c r="A6613" s="24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5" t="n">
        <v>22.146684</v>
      </c>
    </row>
    <row r="6614">
      <c r="A6614" s="24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5" t="n">
        <v>15.100415</v>
      </c>
    </row>
    <row r="6615">
      <c r="A6615" s="24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5" t="n">
        <v>13.661152</v>
      </c>
    </row>
    <row r="6616">
      <c r="A6616" s="24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5" t="n">
        <v>8.844075999999999</v>
      </c>
    </row>
    <row r="6617">
      <c r="A6617" s="24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5" t="n">
        <v>8.668345</v>
      </c>
    </row>
    <row r="6618">
      <c r="A6618" s="24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5" t="n">
        <v>17.610321</v>
      </c>
    </row>
    <row r="6619">
      <c r="A6619" s="24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5" t="n">
        <v>26.203603</v>
      </c>
    </row>
    <row r="6620">
      <c r="A6620" s="24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5" t="n">
        <v>19.551312</v>
      </c>
    </row>
    <row r="6621">
      <c r="A6621" s="24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5" t="n">
        <v>12.487264</v>
      </c>
    </row>
    <row r="6622">
      <c r="A6622" s="24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5" t="n">
        <v>11.984919</v>
      </c>
    </row>
    <row r="6623">
      <c r="A6623" s="24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5" t="n">
        <v>6.943462</v>
      </c>
    </row>
    <row r="6624">
      <c r="A6624" s="24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5" t="n">
        <v>18.500558</v>
      </c>
    </row>
    <row r="6625">
      <c r="A6625" s="24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5" t="n">
        <v>20.290303</v>
      </c>
    </row>
    <row r="6626">
      <c r="A6626" s="24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5" t="n">
        <v>13.929634</v>
      </c>
    </row>
    <row r="6627">
      <c r="A6627" s="24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5" t="n">
        <v>9.345727</v>
      </c>
    </row>
    <row r="6628">
      <c r="A6628" s="24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5" t="n">
        <v>9.129346</v>
      </c>
    </row>
    <row r="6629">
      <c r="A6629" s="24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5" t="n">
        <v>5.552995</v>
      </c>
    </row>
    <row r="6630">
      <c r="A6630" s="24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5" t="n">
        <v>5.888222</v>
      </c>
    </row>
    <row r="6631">
      <c r="A6631" s="24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5" t="n">
        <v>4.17562</v>
      </c>
    </row>
    <row r="6632">
      <c r="A6632" s="24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5" t="n">
        <v>3.600836</v>
      </c>
    </row>
    <row r="6633">
      <c r="A6633" s="24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5" t="n">
        <v>3.575004</v>
      </c>
    </row>
    <row r="6634">
      <c r="A6634" s="24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5" t="n">
        <v>2.107955</v>
      </c>
    </row>
    <row r="6635">
      <c r="A6635" s="24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5" t="n">
        <v>3.130814</v>
      </c>
    </row>
    <row r="6636">
      <c r="A6636" s="24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5" t="n">
        <v>4.249716</v>
      </c>
    </row>
    <row r="6637">
      <c r="A6637" s="24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5" t="n">
        <v>6.94345</v>
      </c>
    </row>
    <row r="6638">
      <c r="A6638" s="24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5" t="n">
        <v>5.58825</v>
      </c>
    </row>
    <row r="6639">
      <c r="A6639" s="24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5" t="n">
        <v>23.251578</v>
      </c>
    </row>
    <row r="6640">
      <c r="A6640" s="24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5" t="n">
        <v>41.048533</v>
      </c>
    </row>
    <row r="6641">
      <c r="A6641" s="24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5" t="n">
        <v>36.841448</v>
      </c>
    </row>
    <row r="6642">
      <c r="A6642" s="24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5" t="n">
        <v>23.657757</v>
      </c>
    </row>
    <row r="6643">
      <c r="A6643" s="24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5" t="n">
        <v>18.647544</v>
      </c>
    </row>
    <row r="6644">
      <c r="A6644" s="24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5" t="n">
        <v>13.865328</v>
      </c>
    </row>
    <row r="6645">
      <c r="A6645" s="24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5" t="n">
        <v>12.93417</v>
      </c>
    </row>
    <row r="6646">
      <c r="A6646" s="24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5" t="n">
        <v>25.94365</v>
      </c>
    </row>
    <row r="6647">
      <c r="A6647" s="24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5" t="n">
        <v>57.243215</v>
      </c>
    </row>
    <row r="6648">
      <c r="A6648" s="24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5" t="n">
        <v>80.301468</v>
      </c>
    </row>
    <row r="6649">
      <c r="A6649" s="24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5" t="n">
        <v>69.849943</v>
      </c>
    </row>
    <row r="6650">
      <c r="A6650" s="24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5" t="n">
        <v>63.595355</v>
      </c>
    </row>
    <row r="6651">
      <c r="A6651" s="24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5" t="n">
        <v>70.162133</v>
      </c>
    </row>
    <row r="6652">
      <c r="A6652" s="24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5" t="n">
        <v>72.92257600000001</v>
      </c>
    </row>
    <row r="6653">
      <c r="A6653" s="24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5" t="n">
        <v>59.570164</v>
      </c>
    </row>
    <row r="6654">
      <c r="A6654" s="24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5" t="n">
        <v>42.529436</v>
      </c>
    </row>
    <row r="6655">
      <c r="A6655" s="24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5" t="n">
        <v>31.910235</v>
      </c>
    </row>
    <row r="6656">
      <c r="A6656" s="24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5" t="n">
        <v>26.546613</v>
      </c>
    </row>
    <row r="6657">
      <c r="A6657" s="24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5" t="n">
        <v>19.406342</v>
      </c>
    </row>
    <row r="6658">
      <c r="A6658" s="24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5" t="n">
        <v>17.441965</v>
      </c>
    </row>
    <row r="6659">
      <c r="A6659" s="24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5" t="n">
        <v>13.151644</v>
      </c>
    </row>
    <row r="6660">
      <c r="A6660" s="24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5" t="n">
        <v>11.790135</v>
      </c>
    </row>
    <row r="6661">
      <c r="A6661" s="24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5" t="n">
        <v>9.687647</v>
      </c>
    </row>
    <row r="6662">
      <c r="A6662" s="24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5" t="n">
        <v>8.17408</v>
      </c>
    </row>
    <row r="6663">
      <c r="A6663" s="24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5" t="n">
        <v>7.498999</v>
      </c>
    </row>
    <row r="6664">
      <c r="A6664" s="24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5" t="n">
        <v>5.848814</v>
      </c>
    </row>
    <row r="6665">
      <c r="A6665" s="24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5" t="n">
        <v>5.921722</v>
      </c>
    </row>
    <row r="6666">
      <c r="A6666" s="24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5" t="n">
        <v>4.357594</v>
      </c>
    </row>
    <row r="6667">
      <c r="A6667" s="24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5" t="n">
        <v>16.6976</v>
      </c>
    </row>
    <row r="6668">
      <c r="A6668" s="24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5" t="n">
        <v>21.518823</v>
      </c>
    </row>
    <row r="6669">
      <c r="A6669" s="24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5" t="n">
        <v>26.414103</v>
      </c>
    </row>
    <row r="6670">
      <c r="A6670" s="24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5" t="n">
        <v>32.666276</v>
      </c>
    </row>
    <row r="6671">
      <c r="A6671" s="24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5" t="n">
        <v>41.276474</v>
      </c>
    </row>
    <row r="6672">
      <c r="A6672" s="24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5" t="n">
        <v>51.909019</v>
      </c>
    </row>
    <row r="6673">
      <c r="A6673" s="24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5" t="n">
        <v>46.100533</v>
      </c>
    </row>
    <row r="6674">
      <c r="A6674" s="24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5" t="n">
        <v>26.838186</v>
      </c>
    </row>
    <row r="6675">
      <c r="A6675" s="24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5" t="n">
        <v>24.153538</v>
      </c>
    </row>
    <row r="6676">
      <c r="A6676" s="24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5" t="n">
        <v>17.277559</v>
      </c>
    </row>
    <row r="6677">
      <c r="A6677" s="24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5" t="n">
        <v>13.71898</v>
      </c>
    </row>
    <row r="6678">
      <c r="A6678" s="24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5" t="n">
        <v>12.306305</v>
      </c>
    </row>
    <row r="6679">
      <c r="A6679" s="24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5" t="n">
        <v>8.150441000000001</v>
      </c>
    </row>
    <row r="6680">
      <c r="A6680" s="24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5" t="n">
        <v>9.131719</v>
      </c>
    </row>
    <row r="6681">
      <c r="A6681" s="24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5" t="n">
        <v>8.753173</v>
      </c>
    </row>
    <row r="6682">
      <c r="A6682" s="24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5" t="n">
        <v>26.704798</v>
      </c>
    </row>
    <row r="6683">
      <c r="A6683" s="24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5" t="n">
        <v>35.492986</v>
      </c>
    </row>
    <row r="6684">
      <c r="A6684" s="24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5" t="n">
        <v>39.009334</v>
      </c>
    </row>
    <row r="6685">
      <c r="A6685" s="24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5" t="n">
        <v>40.88349</v>
      </c>
    </row>
    <row r="6686">
      <c r="A6686" s="24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5" t="n">
        <v>34.57699</v>
      </c>
    </row>
    <row r="6687">
      <c r="A6687" s="24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5" t="n">
        <v>22.133091</v>
      </c>
    </row>
    <row r="6688">
      <c r="A6688" s="24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5" t="n">
        <v>18.665912</v>
      </c>
    </row>
    <row r="6689">
      <c r="A6689" s="24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5" t="n">
        <v>13.970878</v>
      </c>
    </row>
    <row r="6690">
      <c r="A6690" s="24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5" t="n">
        <v>12.206869</v>
      </c>
    </row>
    <row r="6691">
      <c r="A6691" s="24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5" t="n">
        <v>11.572208</v>
      </c>
    </row>
    <row r="6692">
      <c r="A6692" s="24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5" t="n">
        <v>7.736124</v>
      </c>
    </row>
    <row r="6693">
      <c r="A6693" s="24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5" t="n">
        <v>7.973644</v>
      </c>
    </row>
    <row r="6694">
      <c r="A6694" s="24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5" t="n">
        <v>12.508305</v>
      </c>
    </row>
    <row r="6695">
      <c r="A6695" s="24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5" t="n">
        <v>30.648958</v>
      </c>
    </row>
    <row r="6696">
      <c r="A6696" s="24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5" t="n">
        <v>29.42027</v>
      </c>
    </row>
    <row r="6697">
      <c r="A6697" s="24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5" t="n">
        <v>19.057414</v>
      </c>
    </row>
    <row r="6698">
      <c r="A6698" s="24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5" t="n">
        <v>14.426838</v>
      </c>
    </row>
    <row r="6699">
      <c r="A6699" s="24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5" t="n">
        <v>27.286884</v>
      </c>
    </row>
    <row r="6700">
      <c r="A6700" s="24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5" t="n">
        <v>44.657197</v>
      </c>
    </row>
    <row r="6701">
      <c r="A6701" s="24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5" t="n">
        <v>54.86303</v>
      </c>
    </row>
    <row r="6702">
      <c r="A6702" s="24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5" t="n">
        <v>57.660353</v>
      </c>
    </row>
    <row r="6703">
      <c r="A6703" s="24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5" t="n">
        <v>63.553122</v>
      </c>
    </row>
    <row r="6704">
      <c r="A6704" s="24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5" t="n">
        <v>66.67213</v>
      </c>
    </row>
    <row r="6705">
      <c r="A6705" s="24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5" t="n">
        <v>73.163518</v>
      </c>
    </row>
    <row r="6706">
      <c r="A6706" s="24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5" t="n">
        <v>74.51684299999999</v>
      </c>
    </row>
    <row r="6707">
      <c r="A6707" s="24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5" t="n">
        <v>61.187005</v>
      </c>
    </row>
    <row r="6708">
      <c r="A6708" s="24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5" t="n">
        <v>44.652209</v>
      </c>
    </row>
    <row r="6709">
      <c r="A6709" s="24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5" t="n">
        <v>32.959993</v>
      </c>
    </row>
    <row r="6710">
      <c r="A6710" s="24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5" t="n">
        <v>28.219971</v>
      </c>
    </row>
    <row r="6711">
      <c r="A6711" s="24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5" t="n">
        <v>19.921118</v>
      </c>
    </row>
    <row r="6712">
      <c r="A6712" s="24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5" t="n">
        <v>18.885643</v>
      </c>
    </row>
    <row r="6713">
      <c r="A6713" s="24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5" t="n">
        <v>13.362984</v>
      </c>
    </row>
    <row r="6714">
      <c r="A6714" s="24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5" t="n">
        <v>12.995529</v>
      </c>
    </row>
    <row r="6715">
      <c r="A6715" s="24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5" t="n">
        <v>9.808818</v>
      </c>
    </row>
    <row r="6716">
      <c r="A6716" s="24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5" t="n">
        <v>16.959293</v>
      </c>
    </row>
    <row r="6717">
      <c r="A6717" s="24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5" t="n">
        <v>18.924575</v>
      </c>
    </row>
    <row r="6718">
      <c r="A6718" s="24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5" t="n">
        <v>12.189619</v>
      </c>
    </row>
    <row r="6719">
      <c r="A6719" s="24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5" t="n">
        <v>10.23211</v>
      </c>
    </row>
    <row r="6720">
      <c r="A6720" s="24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5" t="n">
        <v>8.594642</v>
      </c>
    </row>
    <row r="6721">
      <c r="A6721" s="24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5" t="n">
        <v>6.81596</v>
      </c>
    </row>
    <row r="6722">
      <c r="A6722" s="24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5" t="n">
        <v>18.651717</v>
      </c>
    </row>
    <row r="6723">
      <c r="A6723" s="24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5" t="n">
        <v>37.951591</v>
      </c>
    </row>
    <row r="6724">
      <c r="A6724" s="24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5" t="n">
        <v>34.456108</v>
      </c>
    </row>
    <row r="6725">
      <c r="A6725" s="24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5" t="n">
        <v>21.694307</v>
      </c>
    </row>
    <row r="6726">
      <c r="A6726" s="24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5" t="n">
        <v>16.852037</v>
      </c>
    </row>
    <row r="6727">
      <c r="A6727" s="24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5" t="n">
        <v>13.83475</v>
      </c>
    </row>
    <row r="6728">
      <c r="A6728" s="24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5" t="n">
        <v>9.5068</v>
      </c>
    </row>
    <row r="6729">
      <c r="A6729" s="24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5" t="n">
        <v>9.498658000000001</v>
      </c>
    </row>
    <row r="6730">
      <c r="A6730" s="24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5" t="n">
        <v>19.029916</v>
      </c>
    </row>
    <row r="6731">
      <c r="A6731" s="24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5" t="n">
        <v>30.026059</v>
      </c>
    </row>
    <row r="6732">
      <c r="A6732" s="24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5" t="n">
        <v>20.605535</v>
      </c>
    </row>
    <row r="6733">
      <c r="A6733" s="24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5" t="n">
        <v>32.708712</v>
      </c>
    </row>
    <row r="6734">
      <c r="A6734" s="24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5" t="n">
        <v>54.003721</v>
      </c>
    </row>
    <row r="6735">
      <c r="A6735" s="24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5" t="n">
        <v>56.760926</v>
      </c>
    </row>
    <row r="6736">
      <c r="A6736" s="24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5" t="n">
        <v>77.109998</v>
      </c>
    </row>
    <row r="6737">
      <c r="A6737" s="24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5" t="n">
        <v>95.67122000000001</v>
      </c>
    </row>
    <row r="6738">
      <c r="A6738" s="24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5" t="n">
        <v>81.411556</v>
      </c>
    </row>
    <row r="6739">
      <c r="A6739" s="24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5" t="n">
        <v>61.595155</v>
      </c>
    </row>
    <row r="6740">
      <c r="A6740" s="24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5" t="n">
        <v>49.715557</v>
      </c>
    </row>
    <row r="6741">
      <c r="A6741" s="24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5" t="n">
        <v>35.917178</v>
      </c>
    </row>
    <row r="6742">
      <c r="A6742" s="24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5" t="n">
        <v>28.602701</v>
      </c>
    </row>
    <row r="6743">
      <c r="A6743" s="24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5" t="n">
        <v>22.074171</v>
      </c>
    </row>
    <row r="6744">
      <c r="A6744" s="24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5" t="n">
        <v>18.089449</v>
      </c>
    </row>
    <row r="6745">
      <c r="A6745" s="24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5" t="n">
        <v>26.56544</v>
      </c>
    </row>
    <row r="6746">
      <c r="A6746" s="24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5" t="n">
        <v>29.630832</v>
      </c>
    </row>
    <row r="6747">
      <c r="A6747" s="24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5" t="n">
        <v>19.547875</v>
      </c>
    </row>
    <row r="6748">
      <c r="A6748" s="24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5" t="n">
        <v>15.138649</v>
      </c>
    </row>
    <row r="6749">
      <c r="A6749" s="24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5" t="n">
        <v>13.720545</v>
      </c>
    </row>
    <row r="6750">
      <c r="A6750" s="24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5" t="n">
        <v>9.374802000000001</v>
      </c>
    </row>
    <row r="6751">
      <c r="A6751" s="24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5" t="n">
        <v>9.684775999999999</v>
      </c>
    </row>
    <row r="6752">
      <c r="A6752" s="24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5" t="n">
        <v>6.792389</v>
      </c>
    </row>
    <row r="6753">
      <c r="A6753" s="24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5" t="n">
        <v>6.739819</v>
      </c>
    </row>
    <row r="6754">
      <c r="A6754" s="24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5" t="n">
        <v>5.439951</v>
      </c>
    </row>
    <row r="6755">
      <c r="A6755" s="24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5" t="n">
        <v>4.684831</v>
      </c>
    </row>
    <row r="6756">
      <c r="A6756" s="24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5" t="n">
        <v>4.517798</v>
      </c>
    </row>
    <row r="6757">
      <c r="A6757" s="24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5" t="n">
        <v>3.336633</v>
      </c>
    </row>
    <row r="6758">
      <c r="A6758" s="24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5" t="n">
        <v>14.213128</v>
      </c>
    </row>
    <row r="6759">
      <c r="A6759" s="24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5" t="n">
        <v>21.73365</v>
      </c>
    </row>
    <row r="6760">
      <c r="A6760" s="24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5" t="n">
        <v>16.706902</v>
      </c>
    </row>
    <row r="6761">
      <c r="A6761" s="24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5" t="n">
        <v>10.461186</v>
      </c>
    </row>
    <row r="6762">
      <c r="A6762" s="24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5" t="n">
        <v>9.719989</v>
      </c>
    </row>
    <row r="6763">
      <c r="A6763" s="24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5" t="n">
        <v>6.142941</v>
      </c>
    </row>
    <row r="6764">
      <c r="A6764" s="24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5" t="n">
        <v>6.060827</v>
      </c>
    </row>
    <row r="6765">
      <c r="A6765" s="24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5" t="n">
        <v>4.349211</v>
      </c>
    </row>
    <row r="6766">
      <c r="A6766" s="24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5" t="n">
        <v>3.795576</v>
      </c>
    </row>
    <row r="6767">
      <c r="A6767" s="24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5" t="n">
        <v>3.454113</v>
      </c>
    </row>
    <row r="6768">
      <c r="A6768" s="24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5" t="n">
        <v>6.47766</v>
      </c>
    </row>
    <row r="6769">
      <c r="A6769" s="24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5" t="n">
        <v>24.461716</v>
      </c>
    </row>
    <row r="6770">
      <c r="A6770" s="24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5" t="n">
        <v>42.129398</v>
      </c>
    </row>
    <row r="6771">
      <c r="A6771" s="24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5" t="n">
        <v>50.152449</v>
      </c>
    </row>
    <row r="6772">
      <c r="A6772" s="24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5" t="n">
        <v>39.833608</v>
      </c>
    </row>
    <row r="6773">
      <c r="A6773" s="24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5" t="n">
        <v>27.281569</v>
      </c>
    </row>
    <row r="6774">
      <c r="A6774" s="24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5" t="n">
        <v>19.891378</v>
      </c>
    </row>
    <row r="6775">
      <c r="A6775" s="24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5" t="n">
        <v>16.904836</v>
      </c>
    </row>
    <row r="6776">
      <c r="A6776" s="24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5" t="n">
        <v>11.45461</v>
      </c>
    </row>
    <row r="6777">
      <c r="A6777" s="24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5" t="n">
        <v>10.844265</v>
      </c>
    </row>
    <row r="6778">
      <c r="A6778" s="24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5" t="n">
        <v>7.632882</v>
      </c>
    </row>
    <row r="6779">
      <c r="A6779" s="24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5" t="n">
        <v>6.98814</v>
      </c>
    </row>
    <row r="6780">
      <c r="A6780" s="24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5" t="n">
        <v>5.731221</v>
      </c>
    </row>
    <row r="6781">
      <c r="A6781" s="24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5" t="n">
        <v>4.510967</v>
      </c>
    </row>
    <row r="6782">
      <c r="A6782" s="24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5" t="n">
        <v>4.594647</v>
      </c>
    </row>
    <row r="6783">
      <c r="A6783" s="24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5" t="n">
        <v>2.967331</v>
      </c>
    </row>
    <row r="6784">
      <c r="A6784" s="24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5" t="n">
        <v>3.744375</v>
      </c>
    </row>
    <row r="6785">
      <c r="A6785" s="24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5" t="n">
        <v>4.887355</v>
      </c>
    </row>
    <row r="6786">
      <c r="A6786" s="24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5" t="n">
        <v>7.0523</v>
      </c>
    </row>
    <row r="6787">
      <c r="A6787" s="24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5" t="n">
        <v>3.619997</v>
      </c>
    </row>
    <row r="6788">
      <c r="A6788" s="24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5" t="n">
        <v>3.780346</v>
      </c>
    </row>
    <row r="6789">
      <c r="A6789" s="24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5" t="n">
        <v>2.713471</v>
      </c>
    </row>
    <row r="6790">
      <c r="A6790" s="24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5" t="n">
        <v>2.360838</v>
      </c>
    </row>
    <row r="6791">
      <c r="A6791" s="24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5" t="n">
        <v>2.092974</v>
      </c>
    </row>
    <row r="6792">
      <c r="A6792" s="24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5" t="n">
        <v>1.62446</v>
      </c>
    </row>
    <row r="6793">
      <c r="A6793" s="24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5" t="n">
        <v>1.633867</v>
      </c>
    </row>
    <row r="6794">
      <c r="A6794" s="24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5" t="n">
        <v>1.179486</v>
      </c>
    </row>
    <row r="6795">
      <c r="A6795" s="24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5" t="n">
        <v>1.304605</v>
      </c>
    </row>
    <row r="6796">
      <c r="A6796" s="24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5" t="n">
        <v>0.8692</v>
      </c>
    </row>
    <row r="6797">
      <c r="A6797" s="24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5" t="n">
        <v>1.073046</v>
      </c>
    </row>
    <row r="6798">
      <c r="A6798" s="24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5" t="n">
        <v>6.120425</v>
      </c>
    </row>
    <row r="6799">
      <c r="A6799" s="24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5" t="n">
        <v>10.293234</v>
      </c>
    </row>
    <row r="6800">
      <c r="A6800" s="24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5" t="n">
        <v>6.667337</v>
      </c>
    </row>
    <row r="6801">
      <c r="A6801" s="24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5" t="n">
        <v>4.702955</v>
      </c>
    </row>
    <row r="6802">
      <c r="A6802" s="24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5" t="n">
        <v>3.851668</v>
      </c>
    </row>
    <row r="6803">
      <c r="A6803" s="24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5" t="n">
        <v>2.636409</v>
      </c>
    </row>
    <row r="6804">
      <c r="A6804" s="24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5" t="n">
        <v>2.351001</v>
      </c>
    </row>
    <row r="6805">
      <c r="A6805" s="24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5" t="n">
        <v>1.808484</v>
      </c>
    </row>
    <row r="6806">
      <c r="A6806" s="24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5" t="n">
        <v>1.418109</v>
      </c>
    </row>
    <row r="6807">
      <c r="A6807" s="24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5" t="n">
        <v>1.409734</v>
      </c>
    </row>
    <row r="6808">
      <c r="A6808" s="24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5" t="n">
        <v>0.852521</v>
      </c>
    </row>
    <row r="6809">
      <c r="A6809" s="24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5" t="n">
        <v>1.143792</v>
      </c>
    </row>
    <row r="6810">
      <c r="A6810" s="24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5" t="n">
        <v>0.541485</v>
      </c>
    </row>
    <row r="6811">
      <c r="A6811" s="24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5" t="n">
        <v>0.907843</v>
      </c>
    </row>
    <row r="6812">
      <c r="A6812" s="24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5" t="n">
        <v>0.398988</v>
      </c>
    </row>
    <row r="6813">
      <c r="A6813" s="24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5" t="n">
        <v>0.6795870000000001</v>
      </c>
    </row>
    <row r="6814">
      <c r="A6814" s="24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5" t="n">
        <v>0.372915</v>
      </c>
    </row>
    <row r="6815">
      <c r="A6815" s="24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5" t="n">
        <v>0.453311</v>
      </c>
    </row>
    <row r="6816">
      <c r="A6816" s="24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5" t="n">
        <v>0.400115</v>
      </c>
    </row>
    <row r="6817">
      <c r="A6817" s="24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5" t="n">
        <v>0.253969</v>
      </c>
    </row>
    <row r="6818">
      <c r="A6818" s="24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5" t="n">
        <v>0.416218</v>
      </c>
    </row>
    <row r="6819">
      <c r="A6819" s="24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5" t="n">
        <v>0.123455</v>
      </c>
    </row>
    <row r="6820">
      <c r="A6820" s="24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5" t="n">
        <v>0.409841</v>
      </c>
    </row>
    <row r="6821">
      <c r="A6821" s="24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5" t="n">
        <v>0.100931</v>
      </c>
    </row>
    <row r="6822">
      <c r="A6822" s="24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5" t="n">
        <v>0.338527</v>
      </c>
    </row>
    <row r="6823">
      <c r="A6823" s="24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5" t="n">
        <v>0.093138</v>
      </c>
    </row>
    <row r="6824">
      <c r="A6824" s="24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5" t="n">
        <v>0.264912</v>
      </c>
    </row>
    <row r="6825">
      <c r="A6825" s="24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5" t="n">
        <v>0.10258</v>
      </c>
    </row>
    <row r="6826">
      <c r="A6826" s="24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5" t="n">
        <v>0.179719</v>
      </c>
    </row>
    <row r="6827">
      <c r="A6827" s="24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5" t="n">
        <v>0.117395</v>
      </c>
    </row>
    <row r="6828">
      <c r="A6828" s="24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5" t="n">
        <v>0.106017</v>
      </c>
    </row>
    <row r="6829">
      <c r="A6829" s="24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5" t="n">
        <v>0.12637</v>
      </c>
    </row>
    <row r="6830">
      <c r="A6830" s="24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5" t="n">
        <v>0.060436</v>
      </c>
    </row>
    <row r="6831">
      <c r="A6831" s="24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5" t="n">
        <v>0.129636</v>
      </c>
    </row>
    <row r="6832">
      <c r="A6832" s="24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5" t="n">
        <v>0.03484</v>
      </c>
    </row>
    <row r="6833">
      <c r="A6833" s="24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5" t="n">
        <v>0.12146</v>
      </c>
    </row>
    <row r="6834">
      <c r="A6834" s="24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5" t="n">
        <v>0.028777</v>
      </c>
    </row>
    <row r="6835">
      <c r="A6835" s="24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5" t="n">
        <v>0.09571499999999999</v>
      </c>
    </row>
    <row r="6836">
      <c r="A6836" s="24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5" t="n">
        <v>0.029526</v>
      </c>
    </row>
    <row r="6837">
      <c r="A6837" s="24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5" t="n">
        <v>0.070395</v>
      </c>
    </row>
    <row r="6838">
      <c r="A6838" s="24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5" t="n">
        <v>0.033761</v>
      </c>
    </row>
    <row r="6839">
      <c r="A6839" s="24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5" t="n">
        <v>0.044785</v>
      </c>
    </row>
    <row r="6840">
      <c r="A6840" s="24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5" t="n">
        <v>0.038062</v>
      </c>
    </row>
    <row r="6841">
      <c r="A6841" s="24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5" t="n">
        <v>0.025446</v>
      </c>
    </row>
    <row r="6842">
      <c r="A6842" s="24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5" t="n">
        <v>0.041686</v>
      </c>
    </row>
    <row r="6843">
      <c r="A6843" s="24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5" t="n">
        <v>0.012191</v>
      </c>
    </row>
    <row r="6844">
      <c r="A6844" s="24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5" t="n">
        <v>0.041511</v>
      </c>
    </row>
    <row r="6845">
      <c r="A6845" s="24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5" t="n">
        <v>0.010074</v>
      </c>
    </row>
    <row r="6846">
      <c r="A6846" s="24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5" t="n">
        <v>0.031765</v>
      </c>
    </row>
    <row r="6847">
      <c r="A6847" s="24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5" t="n">
        <v>0.010175</v>
      </c>
    </row>
    <row r="6848">
      <c r="A6848" s="24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5" t="n">
        <v>5.911203</v>
      </c>
    </row>
    <row r="6849">
      <c r="A6849" s="24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5" t="n">
        <v>15.66639</v>
      </c>
    </row>
    <row r="6850">
      <c r="A6850" s="24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5" t="n">
        <v>16.230811</v>
      </c>
    </row>
    <row r="6851">
      <c r="A6851" s="24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5" t="n">
        <v>10.531758</v>
      </c>
    </row>
    <row r="6852">
      <c r="A6852" s="24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5" t="n">
        <v>7.796356</v>
      </c>
    </row>
    <row r="6853">
      <c r="A6853" s="24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5" t="n">
        <v>5.714717</v>
      </c>
    </row>
    <row r="6854">
      <c r="A6854" s="24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5" t="n">
        <v>4.293492</v>
      </c>
    </row>
    <row r="6855">
      <c r="A6855" s="24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5" t="n">
        <v>3.5103</v>
      </c>
    </row>
    <row r="6856">
      <c r="A6856" s="24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5" t="n">
        <v>2.613635</v>
      </c>
    </row>
    <row r="6857">
      <c r="A6857" s="24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5" t="n">
        <v>2.302302</v>
      </c>
    </row>
    <row r="6858">
      <c r="A6858" s="24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5" t="n">
        <v>1.731076</v>
      </c>
    </row>
    <row r="6859">
      <c r="A6859" s="24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5" t="n">
        <v>1.576716</v>
      </c>
    </row>
    <row r="6860">
      <c r="A6860" s="24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5" t="n">
        <v>1.232183</v>
      </c>
    </row>
    <row r="6861">
      <c r="A6861" s="24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5" t="n">
        <v>1.114508</v>
      </c>
    </row>
    <row r="6862">
      <c r="A6862" s="24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5" t="n">
        <v>7.840927</v>
      </c>
    </row>
    <row r="6863">
      <c r="A6863" s="24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5" t="n">
        <v>25.6731</v>
      </c>
    </row>
    <row r="6864">
      <c r="A6864" s="24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5" t="n">
        <v>29.771301</v>
      </c>
    </row>
    <row r="6865">
      <c r="A6865" s="24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5" t="n">
        <v>18.636835</v>
      </c>
    </row>
    <row r="6866">
      <c r="A6866" s="24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5" t="n">
        <v>15.498504</v>
      </c>
    </row>
    <row r="6867">
      <c r="A6867" s="24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5" t="n">
        <v>13.733446</v>
      </c>
    </row>
    <row r="6868">
      <c r="A6868" s="24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5" t="n">
        <v>11.934877</v>
      </c>
    </row>
    <row r="6869">
      <c r="A6869" s="24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5" t="n">
        <v>12.271359</v>
      </c>
    </row>
    <row r="6870">
      <c r="A6870" s="24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5" t="n">
        <v>7.901849</v>
      </c>
    </row>
    <row r="6871">
      <c r="A6871" s="24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5" t="n">
        <v>6.344407</v>
      </c>
    </row>
    <row r="6872">
      <c r="A6872" s="24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5" t="n">
        <v>5.499174</v>
      </c>
    </row>
    <row r="6873">
      <c r="A6873" s="24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5" t="n">
        <v>3.745041</v>
      </c>
    </row>
    <row r="6874">
      <c r="A6874" s="24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5" t="n">
        <v>3.915959</v>
      </c>
    </row>
    <row r="6875">
      <c r="A6875" s="24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5" t="n">
        <v>9.439323999999999</v>
      </c>
    </row>
    <row r="6876">
      <c r="A6876" s="24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5" t="n">
        <v>27.861604</v>
      </c>
    </row>
    <row r="6877">
      <c r="A6877" s="24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5" t="n">
        <v>34.586747</v>
      </c>
    </row>
    <row r="6878">
      <c r="A6878" s="24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5" t="n">
        <v>24.673784</v>
      </c>
    </row>
    <row r="6879">
      <c r="A6879" s="24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5" t="n">
        <v>16.773709</v>
      </c>
    </row>
    <row r="6880">
      <c r="A6880" s="24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5" t="n">
        <v>13.434992</v>
      </c>
    </row>
    <row r="6881">
      <c r="A6881" s="24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5" t="n">
        <v>22.14678</v>
      </c>
    </row>
    <row r="6882">
      <c r="A6882" s="24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5" t="n">
        <v>36.00877</v>
      </c>
    </row>
    <row r="6883">
      <c r="A6883" s="24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5" t="n">
        <v>30.979659</v>
      </c>
    </row>
    <row r="6884">
      <c r="A6884" s="24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5" t="n">
        <v>20.100756</v>
      </c>
    </row>
    <row r="6885">
      <c r="A6885" s="24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5" t="n">
        <v>16.586615</v>
      </c>
    </row>
    <row r="6886">
      <c r="A6886" s="24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5" t="n">
        <v>11.793419</v>
      </c>
    </row>
    <row r="6887">
      <c r="A6887" s="24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5" t="n">
        <v>10.01371</v>
      </c>
    </row>
    <row r="6888">
      <c r="A6888" s="24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5" t="n">
        <v>7.746608</v>
      </c>
    </row>
    <row r="6889">
      <c r="A6889" s="24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5" t="n">
        <v>6.502738</v>
      </c>
    </row>
    <row r="6890">
      <c r="A6890" s="24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5" t="n">
        <v>5.457525</v>
      </c>
    </row>
    <row r="6891">
      <c r="A6891" s="24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5" t="n">
        <v>4.467602</v>
      </c>
    </row>
    <row r="6892">
      <c r="A6892" s="24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5" t="n">
        <v>4.027261</v>
      </c>
    </row>
    <row r="6893">
      <c r="A6893" s="24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5" t="n">
        <v>3.217428</v>
      </c>
    </row>
    <row r="6894">
      <c r="A6894" s="24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5" t="n">
        <v>3.059534</v>
      </c>
    </row>
    <row r="6895">
      <c r="A6895" s="24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5" t="n">
        <v>2.410492</v>
      </c>
    </row>
    <row r="6896">
      <c r="A6896" s="24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5" t="n">
        <v>2.364561</v>
      </c>
    </row>
    <row r="6897">
      <c r="A6897" s="24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5" t="n">
        <v>1.86474</v>
      </c>
    </row>
    <row r="6898">
      <c r="A6898" s="24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5" t="n">
        <v>1.844512</v>
      </c>
    </row>
    <row r="6899">
      <c r="A6899" s="24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5" t="n">
        <v>1.478685</v>
      </c>
    </row>
    <row r="6900">
      <c r="A6900" s="24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5" t="n">
        <v>8.416331</v>
      </c>
    </row>
    <row r="6901">
      <c r="A6901" s="24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5" t="n">
        <v>11.153048</v>
      </c>
    </row>
    <row r="6902">
      <c r="A6902" s="24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5" t="n">
        <v>6.224633</v>
      </c>
    </row>
    <row r="6903">
      <c r="A6903" s="24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5" t="n">
        <v>4.527745</v>
      </c>
    </row>
    <row r="6904">
      <c r="A6904" s="24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5" t="n">
        <v>4.384262</v>
      </c>
    </row>
    <row r="6905">
      <c r="A6905" s="24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5" t="n">
        <v>2.322076</v>
      </c>
    </row>
    <row r="6906">
      <c r="A6906" s="24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5" t="n">
        <v>2.980035</v>
      </c>
    </row>
    <row r="6907">
      <c r="A6907" s="24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5" t="n">
        <v>1.606258</v>
      </c>
    </row>
    <row r="6908">
      <c r="A6908" s="24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5" t="n">
        <v>1.880724</v>
      </c>
    </row>
    <row r="6909">
      <c r="A6909" s="24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5" t="n">
        <v>1.383259</v>
      </c>
    </row>
    <row r="6910">
      <c r="A6910" s="24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5" t="n">
        <v>1.110847</v>
      </c>
    </row>
    <row r="6911">
      <c r="A6911" s="24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5" t="n">
        <v>1.261626</v>
      </c>
    </row>
    <row r="6912">
      <c r="A6912" s="24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5" t="n">
        <v>0.639558</v>
      </c>
    </row>
    <row r="6913">
      <c r="A6913" s="24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5" t="n">
        <v>1.110414</v>
      </c>
    </row>
    <row r="6914">
      <c r="A6914" s="24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5" t="n">
        <v>0.398402</v>
      </c>
    </row>
    <row r="6915">
      <c r="A6915" s="24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5" t="n">
        <v>0.911917</v>
      </c>
    </row>
    <row r="6916">
      <c r="A6916" s="24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5" t="n">
        <v>0.309157</v>
      </c>
    </row>
    <row r="6917">
      <c r="A6917" s="24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5" t="n">
        <v>0.6899189999999999</v>
      </c>
    </row>
    <row r="6918">
      <c r="A6918" s="24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5" t="n">
        <v>0.302828</v>
      </c>
    </row>
    <row r="6919">
      <c r="A6919" s="24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5" t="n">
        <v>0.475596</v>
      </c>
    </row>
    <row r="6920">
      <c r="A6920" s="24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5" t="n">
        <v>0.330736</v>
      </c>
    </row>
    <row r="6921">
      <c r="A6921" s="24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5" t="n">
        <v>0.291253</v>
      </c>
    </row>
    <row r="6922">
      <c r="A6922" s="24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5" t="n">
        <v>11.768694</v>
      </c>
    </row>
    <row r="6923">
      <c r="A6923" s="24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5" t="n">
        <v>16.466258</v>
      </c>
    </row>
    <row r="6924">
      <c r="A6924" s="24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5" t="n">
        <v>8.690075999999999</v>
      </c>
    </row>
    <row r="6925">
      <c r="A6925" s="24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5" t="n">
        <v>5.883796</v>
      </c>
    </row>
    <row r="6926">
      <c r="A6926" s="24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5" t="n">
        <v>6.052023</v>
      </c>
    </row>
    <row r="6927">
      <c r="A6927" s="24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5" t="n">
        <v>2.507468</v>
      </c>
    </row>
    <row r="6928">
      <c r="A6928" s="24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5" t="n">
        <v>4.020221</v>
      </c>
    </row>
    <row r="6929">
      <c r="A6929" s="24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5" t="n">
        <v>1.551216</v>
      </c>
    </row>
    <row r="6930">
      <c r="A6930" s="24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5" t="n">
        <v>2.404758</v>
      </c>
    </row>
    <row r="6931">
      <c r="A6931" s="24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5" t="n">
        <v>1.384943</v>
      </c>
    </row>
    <row r="6932">
      <c r="A6932" s="24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5" t="n">
        <v>1.268292</v>
      </c>
    </row>
    <row r="6933">
      <c r="A6933" s="24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5" t="n">
        <v>1.365974</v>
      </c>
    </row>
    <row r="6934">
      <c r="A6934" s="24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5" t="n">
        <v>0.579502</v>
      </c>
    </row>
    <row r="6935">
      <c r="A6935" s="24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5" t="n">
        <v>1.856895</v>
      </c>
    </row>
    <row r="6936">
      <c r="A6936" s="24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5" t="n">
        <v>1.070134</v>
      </c>
    </row>
    <row r="6937">
      <c r="A6937" s="24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5" t="n">
        <v>1.510088</v>
      </c>
    </row>
    <row r="6938">
      <c r="A6938" s="24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5" t="n">
        <v>0.433725</v>
      </c>
    </row>
    <row r="6939">
      <c r="A6939" s="24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5" t="n">
        <v>1.123419</v>
      </c>
    </row>
    <row r="6940">
      <c r="A6940" s="24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5" t="n">
        <v>0.307129</v>
      </c>
    </row>
    <row r="6941">
      <c r="A6941" s="24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5" t="n">
        <v>0.743324</v>
      </c>
    </row>
    <row r="6942">
      <c r="A6942" s="24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5" t="n">
        <v>0.36399</v>
      </c>
    </row>
    <row r="6943">
      <c r="A6943" s="24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5" t="n">
        <v>0.410409</v>
      </c>
    </row>
    <row r="6944">
      <c r="A6944" s="24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5" t="n">
        <v>0.434964</v>
      </c>
    </row>
    <row r="6945">
      <c r="A6945" s="24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5" t="n">
        <v>0.196195</v>
      </c>
    </row>
    <row r="6946">
      <c r="A6946" s="24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5" t="n">
        <v>0.47253</v>
      </c>
    </row>
    <row r="6947">
      <c r="A6947" s="24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5" t="n">
        <v>4.800391</v>
      </c>
    </row>
    <row r="6948">
      <c r="A6948" s="24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5" t="n">
        <v>17.65877</v>
      </c>
    </row>
    <row r="6949">
      <c r="A6949" s="24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5" t="n">
        <v>18.398013</v>
      </c>
    </row>
    <row r="6950">
      <c r="A6950" s="24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5" t="n">
        <v>22.97627</v>
      </c>
    </row>
    <row r="6951">
      <c r="A6951" s="24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5" t="n">
        <v>26.233644</v>
      </c>
    </row>
    <row r="6952">
      <c r="A6952" s="24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5" t="n">
        <v>16.466804</v>
      </c>
    </row>
    <row r="6953">
      <c r="A6953" s="24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5" t="n">
        <v>10.889025</v>
      </c>
    </row>
    <row r="6954">
      <c r="A6954" s="24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5" t="n">
        <v>11.169242</v>
      </c>
    </row>
    <row r="6955">
      <c r="A6955" s="24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5" t="n">
        <v>12.526407</v>
      </c>
    </row>
    <row r="6956">
      <c r="A6956" s="24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5" t="n">
        <v>32.305353</v>
      </c>
    </row>
    <row r="6957">
      <c r="A6957" s="24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5" t="n">
        <v>42.799458</v>
      </c>
    </row>
    <row r="6958">
      <c r="A6958" s="24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5" t="n">
        <v>35.557322</v>
      </c>
    </row>
    <row r="6959">
      <c r="A6959" s="24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5" t="n">
        <v>22.843778</v>
      </c>
    </row>
    <row r="6960">
      <c r="A6960" s="24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5" t="n">
        <v>17.485736</v>
      </c>
    </row>
    <row r="6961">
      <c r="A6961" s="24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5" t="n">
        <v>14.483858</v>
      </c>
    </row>
    <row r="6962">
      <c r="A6962" s="24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5" t="n">
        <v>9.629554000000001</v>
      </c>
    </row>
    <row r="6963">
      <c r="A6963" s="24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5" t="n">
        <v>9.835967</v>
      </c>
    </row>
    <row r="6964">
      <c r="A6964" s="24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5" t="n">
        <v>5.962244</v>
      </c>
    </row>
    <row r="6965">
      <c r="A6965" s="24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5" t="n">
        <v>6.786996</v>
      </c>
    </row>
    <row r="6966">
      <c r="A6966" s="24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5" t="n">
        <v>4.218214</v>
      </c>
    </row>
    <row r="6967">
      <c r="A6967" s="24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5" t="n">
        <v>4.649609</v>
      </c>
    </row>
    <row r="6968">
      <c r="A6968" s="24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5" t="n">
        <v>3.346122</v>
      </c>
    </row>
    <row r="6969">
      <c r="A6969" s="24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5" t="n">
        <v>3.136468</v>
      </c>
    </row>
    <row r="6970">
      <c r="A6970" s="24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5" t="n">
        <v>2.839492</v>
      </c>
    </row>
    <row r="6971">
      <c r="A6971" s="24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5" t="n">
        <v>2.090316</v>
      </c>
    </row>
    <row r="6972">
      <c r="A6972" s="24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5" t="n">
        <v>2.460656</v>
      </c>
    </row>
    <row r="6973">
      <c r="A6973" s="24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5" t="n">
        <v>1.399271</v>
      </c>
    </row>
    <row r="6974">
      <c r="A6974" s="24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5" t="n">
        <v>2.110832</v>
      </c>
    </row>
    <row r="6975">
      <c r="A6975" s="24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5" t="n">
        <v>0.971804</v>
      </c>
    </row>
    <row r="6976">
      <c r="A6976" s="24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5" t="n">
        <v>1.761103</v>
      </c>
    </row>
    <row r="6977">
      <c r="A6977" s="24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5" t="n">
        <v>0.730469</v>
      </c>
    </row>
    <row r="6978">
      <c r="A6978" s="24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5" t="n">
        <v>1.414593</v>
      </c>
    </row>
    <row r="6979">
      <c r="A6979" s="24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5" t="n">
        <v>0.611217</v>
      </c>
    </row>
    <row r="6980">
      <c r="A6980" s="24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5" t="n">
        <v>1.085925</v>
      </c>
    </row>
    <row r="6981">
      <c r="A6981" s="24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5" t="n">
        <v>2.989787</v>
      </c>
    </row>
    <row r="6982">
      <c r="A6982" s="24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5" t="n">
        <v>5.279102</v>
      </c>
    </row>
    <row r="6983">
      <c r="A6983" s="24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5" t="n">
        <v>3.781888</v>
      </c>
    </row>
    <row r="6984">
      <c r="A6984" s="24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5" t="n">
        <v>2.522702</v>
      </c>
    </row>
    <row r="6985">
      <c r="A6985" s="24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5" t="n">
        <v>2.281492</v>
      </c>
    </row>
    <row r="6986">
      <c r="A6986" s="24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5" t="n">
        <v>1.38106</v>
      </c>
    </row>
    <row r="6987">
      <c r="A6987" s="24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5" t="n">
        <v>1.549119</v>
      </c>
    </row>
    <row r="6988">
      <c r="A6988" s="24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5" t="n">
        <v>0.854212</v>
      </c>
    </row>
    <row r="6989">
      <c r="A6989" s="24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5" t="n">
        <v>1.107703</v>
      </c>
    </row>
    <row r="6990">
      <c r="A6990" s="24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5" t="n">
        <v>0.5767370000000001</v>
      </c>
    </row>
    <row r="6991">
      <c r="A6991" s="24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5" t="n">
        <v>0.822014</v>
      </c>
    </row>
    <row r="6992">
      <c r="A6992" s="24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5" t="n">
        <v>0.412533</v>
      </c>
    </row>
    <row r="6993">
      <c r="A6993" s="24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5" t="n">
        <v>11.087221</v>
      </c>
    </row>
    <row r="6994">
      <c r="A6994" s="24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5" t="n">
        <v>16.665204</v>
      </c>
    </row>
    <row r="6995">
      <c r="A6995" s="24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5" t="n">
        <v>10.154137</v>
      </c>
    </row>
    <row r="6996">
      <c r="A6996" s="24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5" t="n">
        <v>6.597094</v>
      </c>
    </row>
    <row r="6997">
      <c r="A6997" s="24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5" t="n">
        <v>6.350193</v>
      </c>
    </row>
    <row r="6998">
      <c r="A6998" s="24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5" t="n">
        <v>9.470447</v>
      </c>
    </row>
    <row r="6999">
      <c r="A6999" s="24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5" t="n">
        <v>13.028317</v>
      </c>
    </row>
    <row r="7000">
      <c r="A7000" s="24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5" t="n">
        <v>6.62855</v>
      </c>
    </row>
    <row r="7001">
      <c r="A7001" s="24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5" t="n">
        <v>5.623535</v>
      </c>
    </row>
    <row r="7002">
      <c r="A7002" s="24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5" t="n">
        <v>4.813064</v>
      </c>
    </row>
    <row r="7003">
      <c r="A7003" s="24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5" t="n">
        <v>2.718964</v>
      </c>
    </row>
    <row r="7004">
      <c r="A7004" s="24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5" t="n">
        <v>3.537558</v>
      </c>
    </row>
    <row r="7005">
      <c r="A7005" s="24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5" t="n">
        <v>1.564227</v>
      </c>
    </row>
    <row r="7006">
      <c r="A7006" s="24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5" t="n">
        <v>2.493838</v>
      </c>
    </row>
    <row r="7007">
      <c r="A7007" s="24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5" t="n">
        <v>15.561711</v>
      </c>
    </row>
    <row r="7008">
      <c r="A7008" s="24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5" t="n">
        <v>29.997787</v>
      </c>
    </row>
    <row r="7009">
      <c r="A7009" s="24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5" t="n">
        <v>31.881875</v>
      </c>
    </row>
    <row r="7010">
      <c r="A7010" s="24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5" t="n">
        <v>29.467273</v>
      </c>
    </row>
    <row r="7011">
      <c r="A7011" s="24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5" t="n">
        <v>33.489423</v>
      </c>
    </row>
    <row r="7012">
      <c r="A7012" s="24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5" t="n">
        <v>32.853947</v>
      </c>
    </row>
    <row r="7013">
      <c r="A7013" s="24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5" t="n">
        <v>24.743448</v>
      </c>
    </row>
    <row r="7014">
      <c r="A7014" s="24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5" t="n">
        <v>20.238001</v>
      </c>
    </row>
    <row r="7015">
      <c r="A7015" s="24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5" t="n">
        <v>21.638217</v>
      </c>
    </row>
    <row r="7016">
      <c r="A7016" s="24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5" t="n">
        <v>12.529774</v>
      </c>
    </row>
    <row r="7017">
      <c r="A7017" s="24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5" t="n">
        <v>21.287742</v>
      </c>
    </row>
    <row r="7018">
      <c r="A7018" s="24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5" t="n">
        <v>33.106038</v>
      </c>
    </row>
    <row r="7019">
      <c r="A7019" s="24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5" t="n">
        <v>28.591641</v>
      </c>
    </row>
    <row r="7020">
      <c r="A7020" s="24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5" t="n">
        <v>19.275677</v>
      </c>
    </row>
    <row r="7021">
      <c r="A7021" s="24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5" t="n">
        <v>14.180698</v>
      </c>
    </row>
    <row r="7022">
      <c r="A7022" s="24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5" t="n">
        <v>12.498592</v>
      </c>
    </row>
    <row r="7023">
      <c r="A7023" s="24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5" t="n">
        <v>8.150623</v>
      </c>
    </row>
    <row r="7024">
      <c r="A7024" s="24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5" t="n">
        <v>8.594248</v>
      </c>
    </row>
    <row r="7025">
      <c r="A7025" s="24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5" t="n">
        <v>5.736266</v>
      </c>
    </row>
    <row r="7026">
      <c r="A7026" s="24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5" t="n">
        <v>21.316894</v>
      </c>
    </row>
    <row r="7027">
      <c r="A7027" s="24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5" t="n">
        <v>25.822211</v>
      </c>
    </row>
    <row r="7028">
      <c r="A7028" s="24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5" t="n">
        <v>15.564651</v>
      </c>
    </row>
    <row r="7029">
      <c r="A7029" s="24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5" t="n">
        <v>11.280351</v>
      </c>
    </row>
    <row r="7030">
      <c r="A7030" s="24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5" t="n">
        <v>10.425817</v>
      </c>
    </row>
    <row r="7031">
      <c r="A7031" s="24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5" t="n">
        <v>6.361237</v>
      </c>
    </row>
    <row r="7032">
      <c r="A7032" s="24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5" t="n">
        <v>6.806392</v>
      </c>
    </row>
    <row r="7033">
      <c r="A7033" s="24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5" t="n">
        <v>4.634073</v>
      </c>
    </row>
    <row r="7034">
      <c r="A7034" s="24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5" t="n">
        <v>8.337196</v>
      </c>
    </row>
    <row r="7035">
      <c r="A7035" s="24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5" t="n">
        <v>10.574037</v>
      </c>
    </row>
    <row r="7036">
      <c r="A7036" s="24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5" t="n">
        <v>23.700106</v>
      </c>
    </row>
    <row r="7037">
      <c r="A7037" s="24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5" t="n">
        <v>45.817144</v>
      </c>
    </row>
    <row r="7038">
      <c r="A7038" s="24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5" t="n">
        <v>50.931658</v>
      </c>
    </row>
    <row r="7039">
      <c r="A7039" s="24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5" t="n">
        <v>57.206967</v>
      </c>
    </row>
    <row r="7040">
      <c r="A7040" s="24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5" t="n">
        <v>63.463172</v>
      </c>
    </row>
    <row r="7041">
      <c r="A7041" s="24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5" t="n">
        <v>59.512681</v>
      </c>
    </row>
    <row r="7042">
      <c r="A7042" s="24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5" t="n">
        <v>45.733725</v>
      </c>
    </row>
    <row r="7043">
      <c r="A7043" s="24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5" t="n">
        <v>32.972803</v>
      </c>
    </row>
    <row r="7044">
      <c r="A7044" s="24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5" t="n">
        <v>25.720391</v>
      </c>
    </row>
    <row r="7045">
      <c r="A7045" s="24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5" t="n">
        <v>20.420004</v>
      </c>
    </row>
    <row r="7046">
      <c r="A7046" s="24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5" t="n">
        <v>15.872691</v>
      </c>
    </row>
    <row r="7047">
      <c r="A7047" s="24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5" t="n">
        <v>13.50396</v>
      </c>
    </row>
    <row r="7048">
      <c r="A7048" s="24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5" t="n">
        <v>10.667005</v>
      </c>
    </row>
    <row r="7049">
      <c r="A7049" s="24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5" t="n">
        <v>23.197796</v>
      </c>
    </row>
    <row r="7050">
      <c r="A7050" s="24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5" t="n">
        <v>42.297002</v>
      </c>
    </row>
    <row r="7051">
      <c r="A7051" s="24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5" t="n">
        <v>42.278725</v>
      </c>
    </row>
    <row r="7052">
      <c r="A7052" s="24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5" t="n">
        <v>30.390018</v>
      </c>
    </row>
    <row r="7053">
      <c r="A7053" s="24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5" t="n">
        <v>22.54495</v>
      </c>
    </row>
    <row r="7054">
      <c r="A7054" s="24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5" t="n">
        <v>17.776071</v>
      </c>
    </row>
    <row r="7055">
      <c r="A7055" s="24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5" t="n">
        <v>13.589652</v>
      </c>
    </row>
    <row r="7056">
      <c r="A7056" s="24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5" t="n">
        <v>11.694545</v>
      </c>
    </row>
    <row r="7057">
      <c r="A7057" s="24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5" t="n">
        <v>8.785686999999999</v>
      </c>
    </row>
    <row r="7058">
      <c r="A7058" s="24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5" t="n">
        <v>8.27553</v>
      </c>
    </row>
    <row r="7059">
      <c r="A7059" s="24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5" t="n">
        <v>6.032445</v>
      </c>
    </row>
    <row r="7060">
      <c r="A7060" s="24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5" t="n">
        <v>7.585498</v>
      </c>
    </row>
    <row r="7061">
      <c r="A7061" s="24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5" t="n">
        <v>6.535346</v>
      </c>
    </row>
    <row r="7062">
      <c r="A7062" s="24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5" t="n">
        <v>7.75933</v>
      </c>
    </row>
    <row r="7063">
      <c r="A7063" s="24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5" t="n">
        <v>22.619655</v>
      </c>
    </row>
    <row r="7064">
      <c r="A7064" s="24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5" t="n">
        <v>42.683755</v>
      </c>
    </row>
    <row r="7065">
      <c r="A7065" s="24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5" t="n">
        <v>51.337169</v>
      </c>
    </row>
    <row r="7066">
      <c r="A7066" s="24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5" t="n">
        <v>50.34303</v>
      </c>
    </row>
    <row r="7067">
      <c r="A7067" s="24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5" t="n">
        <v>38.58767</v>
      </c>
    </row>
    <row r="7068">
      <c r="A7068" s="24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5" t="n">
        <v>25.974198</v>
      </c>
    </row>
    <row r="7069">
      <c r="A7069" s="24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5" t="n">
        <v>21.777499</v>
      </c>
    </row>
    <row r="7070">
      <c r="A7070" s="24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5" t="n">
        <v>15.544974</v>
      </c>
    </row>
    <row r="7071">
      <c r="A7071" s="24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5" t="n">
        <v>13.506938</v>
      </c>
    </row>
    <row r="7072">
      <c r="A7072" s="24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5" t="n">
        <v>10.176119</v>
      </c>
    </row>
    <row r="7073">
      <c r="A7073" s="24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5" t="n">
        <v>8.975218</v>
      </c>
    </row>
    <row r="7074">
      <c r="A7074" s="24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5" t="n">
        <v>7.086983</v>
      </c>
    </row>
    <row r="7075">
      <c r="A7075" s="24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5" t="n">
        <v>6.313676</v>
      </c>
    </row>
    <row r="7076">
      <c r="A7076" s="24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5" t="n">
        <v>5.151055</v>
      </c>
    </row>
    <row r="7077">
      <c r="A7077" s="24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5" t="n">
        <v>4.650831</v>
      </c>
    </row>
    <row r="7078">
      <c r="A7078" s="24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5" t="n">
        <v>3.965034</v>
      </c>
    </row>
    <row r="7079">
      <c r="A7079" s="24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5" t="n">
        <v>3.69521</v>
      </c>
    </row>
    <row r="7080">
      <c r="A7080" s="24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5" t="n">
        <v>3.037599</v>
      </c>
    </row>
    <row r="7081">
      <c r="A7081" s="24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5" t="n">
        <v>2.80997</v>
      </c>
    </row>
    <row r="7082">
      <c r="A7082" s="24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5" t="n">
        <v>2.373772</v>
      </c>
    </row>
    <row r="7083">
      <c r="A7083" s="24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5" t="n">
        <v>2.18334</v>
      </c>
    </row>
    <row r="7084">
      <c r="A7084" s="24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5" t="n">
        <v>1.895529</v>
      </c>
    </row>
    <row r="7085">
      <c r="A7085" s="24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5" t="n">
        <v>4.294073</v>
      </c>
    </row>
    <row r="7086">
      <c r="A7086" s="24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5" t="n">
        <v>5.250889</v>
      </c>
    </row>
    <row r="7087">
      <c r="A7087" s="24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5" t="n">
        <v>9.479772000000001</v>
      </c>
    </row>
    <row r="7088">
      <c r="A7088" s="24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5" t="n">
        <v>18.883954</v>
      </c>
    </row>
    <row r="7089">
      <c r="A7089" s="24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5" t="n">
        <v>32.309857</v>
      </c>
    </row>
    <row r="7090">
      <c r="A7090" s="24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5" t="n">
        <v>43.546356</v>
      </c>
    </row>
    <row r="7091">
      <c r="A7091" s="24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5" t="n">
        <v>51.220471</v>
      </c>
    </row>
    <row r="7092">
      <c r="A7092" s="24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5" t="n">
        <v>53.807734</v>
      </c>
    </row>
    <row r="7093">
      <c r="A7093" s="24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5" t="n">
        <v>49.366458</v>
      </c>
    </row>
    <row r="7094">
      <c r="A7094" s="24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5" t="n">
        <v>52.648449</v>
      </c>
    </row>
    <row r="7095">
      <c r="A7095" s="24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5" t="n">
        <v>59.727275</v>
      </c>
    </row>
    <row r="7096">
      <c r="A7096" s="24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5" t="n">
        <v>45.968469</v>
      </c>
    </row>
    <row r="7097">
      <c r="A7097" s="24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5" t="n">
        <v>40.684926</v>
      </c>
    </row>
    <row r="7098">
      <c r="A7098" s="24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5" t="n">
        <v>39.442591</v>
      </c>
    </row>
    <row r="7099">
      <c r="A7099" s="24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5" t="n">
        <v>37.691245</v>
      </c>
    </row>
    <row r="7100">
      <c r="A7100" s="24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5" t="n">
        <v>38.118681</v>
      </c>
    </row>
    <row r="7101">
      <c r="A7101" s="24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5" t="n">
        <v>25.790799</v>
      </c>
    </row>
    <row r="7102">
      <c r="A7102" s="24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5" t="n">
        <v>19.114327</v>
      </c>
    </row>
    <row r="7103">
      <c r="A7103" s="24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5" t="n">
        <v>28.841387</v>
      </c>
    </row>
    <row r="7104">
      <c r="A7104" s="24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5" t="n">
        <v>42.884012</v>
      </c>
    </row>
    <row r="7105">
      <c r="A7105" s="24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5" t="n">
        <v>56.872924</v>
      </c>
    </row>
    <row r="7106">
      <c r="A7106" s="24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5" t="n">
        <v>52.29297</v>
      </c>
    </row>
    <row r="7107">
      <c r="A7107" s="24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5" t="n">
        <v>54.2278</v>
      </c>
    </row>
    <row r="7108">
      <c r="A7108" s="24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5" t="n">
        <v>55.783772</v>
      </c>
    </row>
    <row r="7109">
      <c r="A7109" s="24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5" t="n">
        <v>57.959622</v>
      </c>
    </row>
    <row r="7110">
      <c r="A7110" s="24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5" t="n">
        <v>66.463643</v>
      </c>
    </row>
    <row r="7111">
      <c r="A7111" s="24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5" t="n">
        <v>70.85769500000001</v>
      </c>
    </row>
    <row r="7112">
      <c r="A7112" s="24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5" t="n">
        <v>61.373873</v>
      </c>
    </row>
    <row r="7113">
      <c r="A7113" s="24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5" t="n">
        <v>46.074011</v>
      </c>
    </row>
    <row r="7114">
      <c r="A7114" s="24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5" t="n">
        <v>34.330476</v>
      </c>
    </row>
    <row r="7115">
      <c r="A7115" s="24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5" t="n">
        <v>27.639536</v>
      </c>
    </row>
    <row r="7116">
      <c r="A7116" s="24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5" t="n">
        <v>21.816758</v>
      </c>
    </row>
    <row r="7117">
      <c r="A7117" s="24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5" t="n">
        <v>17.870987</v>
      </c>
    </row>
    <row r="7118">
      <c r="A7118" s="24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5" t="n">
        <v>17.137624</v>
      </c>
    </row>
    <row r="7119">
      <c r="A7119" s="24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5" t="n">
        <v>15.351723</v>
      </c>
    </row>
    <row r="7120">
      <c r="A7120" s="24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5" t="n">
        <v>12.352236</v>
      </c>
    </row>
    <row r="7121">
      <c r="A7121" s="24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5" t="n">
        <v>10.075714</v>
      </c>
    </row>
    <row r="7122">
      <c r="A7122" s="24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5" t="n">
        <v>8.999931</v>
      </c>
    </row>
    <row r="7123">
      <c r="A7123" s="24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5" t="n">
        <v>7.394922</v>
      </c>
    </row>
    <row r="7124">
      <c r="A7124" s="24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5" t="n">
        <v>6.56895</v>
      </c>
    </row>
    <row r="7125">
      <c r="A7125" s="24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5" t="n">
        <v>5.851761</v>
      </c>
    </row>
    <row r="7126">
      <c r="A7126" s="24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5" t="n">
        <v>5.987646</v>
      </c>
    </row>
    <row r="7127">
      <c r="A7127" s="24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5" t="n">
        <v>94.013108</v>
      </c>
    </row>
    <row r="7128">
      <c r="A7128" s="24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5" t="n">
        <v>179.639639</v>
      </c>
    </row>
    <row r="7129">
      <c r="A7129" s="24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5" t="n">
        <v>115.602526</v>
      </c>
    </row>
    <row r="7130">
      <c r="A7130" s="24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5" t="n">
        <v>52.997868</v>
      </c>
    </row>
    <row r="7131">
      <c r="A7131" s="24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5" t="n">
        <v>55.452336</v>
      </c>
    </row>
    <row r="7132">
      <c r="A7132" s="24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5" t="n">
        <v>28.462917</v>
      </c>
    </row>
    <row r="7133">
      <c r="A7133" s="24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5" t="n">
        <v>24.10324</v>
      </c>
    </row>
    <row r="7134">
      <c r="A7134" s="24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5" t="n">
        <v>20.225439</v>
      </c>
    </row>
    <row r="7135">
      <c r="A7135" s="24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5" t="n">
        <v>11.910541</v>
      </c>
    </row>
    <row r="7136">
      <c r="A7136" s="24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5" t="n">
        <v>14.732311</v>
      </c>
    </row>
    <row r="7137">
      <c r="A7137" s="24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5" t="n">
        <v>7.096887</v>
      </c>
    </row>
    <row r="7138">
      <c r="A7138" s="24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5" t="n">
        <v>24.376341</v>
      </c>
    </row>
    <row r="7139">
      <c r="A7139" s="24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5" t="n">
        <v>36.769149</v>
      </c>
    </row>
    <row r="7140">
      <c r="A7140" s="24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5" t="n">
        <v>33.186476</v>
      </c>
    </row>
    <row r="7141">
      <c r="A7141" s="24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5" t="n">
        <v>19.383735</v>
      </c>
    </row>
    <row r="7142">
      <c r="A7142" s="24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5" t="n">
        <v>17.484156</v>
      </c>
    </row>
    <row r="7143">
      <c r="A7143" s="24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5" t="n">
        <v>12.761644</v>
      </c>
    </row>
    <row r="7144">
      <c r="A7144" s="24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5" t="n">
        <v>22.381485</v>
      </c>
    </row>
    <row r="7145">
      <c r="A7145" s="24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5" t="n">
        <v>28.910181</v>
      </c>
    </row>
    <row r="7146">
      <c r="A7146" s="24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5" t="n">
        <v>18.164573</v>
      </c>
    </row>
    <row r="7147">
      <c r="A7147" s="24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5" t="n">
        <v>14.499873</v>
      </c>
    </row>
    <row r="7148">
      <c r="A7148" s="24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5" t="n">
        <v>11.545523</v>
      </c>
    </row>
    <row r="7149">
      <c r="A7149" s="24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5" t="n">
        <v>8.748329</v>
      </c>
    </row>
    <row r="7150">
      <c r="A7150" s="24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5" t="n">
        <v>7.751302</v>
      </c>
    </row>
    <row r="7151">
      <c r="A7151" s="24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5" t="n">
        <v>11.67921</v>
      </c>
    </row>
    <row r="7152">
      <c r="A7152" s="24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5" t="n">
        <v>13.439965</v>
      </c>
    </row>
    <row r="7153">
      <c r="A7153" s="24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5" t="n">
        <v>12.029352</v>
      </c>
    </row>
    <row r="7154">
      <c r="A7154" s="24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5" t="n">
        <v>11.551962</v>
      </c>
    </row>
    <row r="7155">
      <c r="A7155" s="24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5" t="n">
        <v>8.787559</v>
      </c>
    </row>
    <row r="7156">
      <c r="A7156" s="24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5" t="n">
        <v>5.786628</v>
      </c>
    </row>
    <row r="7157">
      <c r="A7157" s="24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5" t="n">
        <v>6.236949</v>
      </c>
    </row>
    <row r="7158">
      <c r="A7158" s="24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5" t="n">
        <v>3.712152</v>
      </c>
    </row>
    <row r="7159">
      <c r="A7159" s="24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5" t="n">
        <v>4.238288</v>
      </c>
    </row>
    <row r="7160">
      <c r="A7160" s="24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5" t="n">
        <v>2.944922</v>
      </c>
    </row>
    <row r="7161">
      <c r="A7161" s="24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5" t="n">
        <v>2.73608</v>
      </c>
    </row>
    <row r="7162">
      <c r="A7162" s="24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5" t="n">
        <v>2.584609</v>
      </c>
    </row>
    <row r="7163">
      <c r="A7163" s="24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5" t="n">
        <v>6.291573</v>
      </c>
    </row>
    <row r="7164">
      <c r="A7164" s="24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5" t="n">
        <v>19.129221</v>
      </c>
    </row>
    <row r="7165">
      <c r="A7165" s="24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5" t="n">
        <v>19.885271</v>
      </c>
    </row>
    <row r="7166">
      <c r="A7166" s="24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5" t="n">
        <v>12.753999</v>
      </c>
    </row>
    <row r="7167">
      <c r="A7167" s="24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5" t="n">
        <v>8.873917</v>
      </c>
    </row>
    <row r="7168">
      <c r="A7168" s="24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5" t="n">
        <v>10.989568</v>
      </c>
    </row>
    <row r="7169">
      <c r="A7169" s="24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5" t="n">
        <v>9.065136000000001</v>
      </c>
    </row>
    <row r="7170">
      <c r="A7170" s="24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5" t="n">
        <v>20.344774</v>
      </c>
    </row>
    <row r="7171">
      <c r="A7171" s="24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5" t="n">
        <v>26.827462</v>
      </c>
    </row>
    <row r="7172">
      <c r="A7172" s="24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5" t="n">
        <v>32.112077</v>
      </c>
    </row>
    <row r="7173">
      <c r="A7173" s="24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5" t="n">
        <v>45.831863</v>
      </c>
    </row>
    <row r="7174">
      <c r="A7174" s="24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5" t="n">
        <v>55.329396</v>
      </c>
    </row>
    <row r="7175">
      <c r="A7175" s="24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5" t="n">
        <v>43.367655</v>
      </c>
    </row>
    <row r="7176">
      <c r="A7176" s="24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5" t="n">
        <v>30.174815</v>
      </c>
    </row>
    <row r="7177">
      <c r="A7177" s="24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5" t="n">
        <v>22.398984</v>
      </c>
    </row>
    <row r="7178">
      <c r="A7178" s="24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5" t="n">
        <v>17.950501</v>
      </c>
    </row>
    <row r="7179">
      <c r="A7179" s="24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5" t="n">
        <v>13.81766</v>
      </c>
    </row>
    <row r="7180">
      <c r="A7180" s="24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5" t="n">
        <v>11.017011</v>
      </c>
    </row>
    <row r="7181">
      <c r="A7181" s="24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5" t="n">
        <v>9.715464000000001</v>
      </c>
    </row>
    <row r="7182">
      <c r="A7182" s="24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5" t="n">
        <v>6.894043</v>
      </c>
    </row>
    <row r="7183">
      <c r="A7183" s="24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5" t="n">
        <v>7.340711</v>
      </c>
    </row>
    <row r="7184">
      <c r="A7184" s="24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5" t="n">
        <v>4.520054</v>
      </c>
    </row>
    <row r="7185">
      <c r="A7185" s="24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5" t="n">
        <v>5.63325</v>
      </c>
    </row>
    <row r="7186">
      <c r="A7186" s="24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5" t="n">
        <v>6.545096</v>
      </c>
    </row>
    <row r="7187">
      <c r="A7187" s="24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5" t="n">
        <v>8.933358</v>
      </c>
    </row>
    <row r="7188">
      <c r="A7188" s="24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5" t="n">
        <v>5.039883</v>
      </c>
    </row>
    <row r="7189">
      <c r="A7189" s="24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5" t="n">
        <v>4.70138</v>
      </c>
    </row>
    <row r="7190">
      <c r="A7190" s="24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5" t="n">
        <v>4.011623</v>
      </c>
    </row>
    <row r="7191">
      <c r="A7191" s="24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5" t="n">
        <v>15.117192</v>
      </c>
    </row>
    <row r="7192">
      <c r="A7192" s="24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5" t="n">
        <v>23.213943</v>
      </c>
    </row>
    <row r="7193">
      <c r="A7193" s="24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5" t="n">
        <v>13.815031</v>
      </c>
    </row>
    <row r="7194">
      <c r="A7194" s="24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5" t="n">
        <v>10.550761</v>
      </c>
    </row>
    <row r="7195">
      <c r="A7195" s="24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5" t="n">
        <v>8.424795</v>
      </c>
    </row>
    <row r="7196">
      <c r="A7196" s="24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5" t="n">
        <v>6.071686</v>
      </c>
    </row>
    <row r="7197">
      <c r="A7197" s="24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5" t="n">
        <v>5.2515</v>
      </c>
    </row>
    <row r="7198">
      <c r="A7198" s="24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5" t="n">
        <v>4.268135</v>
      </c>
    </row>
    <row r="7199">
      <c r="A7199" s="24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5" t="n">
        <v>3.1805</v>
      </c>
    </row>
    <row r="7200">
      <c r="A7200" s="24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5" t="n">
        <v>3.403378</v>
      </c>
    </row>
    <row r="7201">
      <c r="A7201" s="24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5" t="n">
        <v>1.892594</v>
      </c>
    </row>
    <row r="7202">
      <c r="A7202" s="24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5" t="n">
        <v>2.811082</v>
      </c>
    </row>
    <row r="7203">
      <c r="A7203" s="24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5" t="n">
        <v>12.903724</v>
      </c>
    </row>
    <row r="7204">
      <c r="A7204" s="24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5" t="n">
        <v>19.016176</v>
      </c>
    </row>
    <row r="7205">
      <c r="A7205" s="24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5" t="n">
        <v>9.433325999999999</v>
      </c>
    </row>
    <row r="7206">
      <c r="A7206" s="24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5" t="n">
        <v>7.684337</v>
      </c>
    </row>
    <row r="7207">
      <c r="A7207" s="24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5" t="n">
        <v>15.239569</v>
      </c>
    </row>
    <row r="7208">
      <c r="A7208" s="24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5" t="n">
        <v>30.540683</v>
      </c>
    </row>
    <row r="7209">
      <c r="A7209" s="24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5" t="n">
        <v>33.753819</v>
      </c>
    </row>
    <row r="7210">
      <c r="A7210" s="24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5" t="n">
        <v>22.600331</v>
      </c>
    </row>
    <row r="7211">
      <c r="A7211" s="24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5" t="n">
        <v>32.593533</v>
      </c>
    </row>
    <row r="7212">
      <c r="A7212" s="24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5" t="n">
        <v>42.373197</v>
      </c>
    </row>
    <row r="7213">
      <c r="A7213" s="24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5" t="n">
        <v>47.249826</v>
      </c>
    </row>
    <row r="7214">
      <c r="A7214" s="24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5" t="n">
        <v>56.165599</v>
      </c>
    </row>
    <row r="7215">
      <c r="A7215" s="24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5" t="n">
        <v>63.8496</v>
      </c>
    </row>
    <row r="7216">
      <c r="A7216" s="24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5" t="n">
        <v>69.26060699999999</v>
      </c>
    </row>
    <row r="7217">
      <c r="A7217" s="24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5" t="n">
        <v>74.478272</v>
      </c>
    </row>
    <row r="7218">
      <c r="A7218" s="24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5" t="n">
        <v>75.18643</v>
      </c>
    </row>
    <row r="7219">
      <c r="A7219" s="24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5" t="n">
        <v>75.232795</v>
      </c>
    </row>
    <row r="7220">
      <c r="A7220" s="24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5" t="n">
        <v>74.985618</v>
      </c>
    </row>
    <row r="7221">
      <c r="A7221" s="24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5" t="n">
        <v>78.456436</v>
      </c>
    </row>
    <row r="7222">
      <c r="A7222" s="24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5" t="n">
        <v>78.389613</v>
      </c>
    </row>
    <row r="7223">
      <c r="A7223" s="24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5" t="n">
        <v>63.616266</v>
      </c>
    </row>
    <row r="7224">
      <c r="A7224" s="24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5" t="n">
        <v>44.375663</v>
      </c>
    </row>
    <row r="7225">
      <c r="A7225" s="24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5" t="n">
        <v>35.821091</v>
      </c>
    </row>
    <row r="7226">
      <c r="A7226" s="24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5" t="n">
        <v>28.422394</v>
      </c>
    </row>
    <row r="7227">
      <c r="A7227" s="24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5" t="n">
        <v>22.461306</v>
      </c>
    </row>
    <row r="7228">
      <c r="A7228" s="24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5" t="n">
        <v>19.27969</v>
      </c>
    </row>
    <row r="7229">
      <c r="A7229" s="24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5" t="n">
        <v>15.370683</v>
      </c>
    </row>
    <row r="7230">
      <c r="A7230" s="24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5" t="n">
        <v>28.297525</v>
      </c>
    </row>
    <row r="7231">
      <c r="A7231" s="24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5" t="n">
        <v>46.537028</v>
      </c>
    </row>
    <row r="7232">
      <c r="A7232" s="24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5" t="n">
        <v>42.974404</v>
      </c>
    </row>
    <row r="7233">
      <c r="A7233" s="24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5" t="n">
        <v>34.132063</v>
      </c>
    </row>
    <row r="7234">
      <c r="A7234" s="24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5" t="n">
        <v>40.972672</v>
      </c>
    </row>
    <row r="7235">
      <c r="A7235" s="24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5" t="n">
        <v>39.585117</v>
      </c>
    </row>
    <row r="7236">
      <c r="A7236" s="24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5" t="n">
        <v>28.602912</v>
      </c>
    </row>
    <row r="7237">
      <c r="A7237" s="24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5" t="n">
        <v>22.130965</v>
      </c>
    </row>
    <row r="7238">
      <c r="A7238" s="24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5" t="n">
        <v>17.793768</v>
      </c>
    </row>
    <row r="7239">
      <c r="A7239" s="24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5" t="n">
        <v>14.146936</v>
      </c>
    </row>
    <row r="7240">
      <c r="A7240" s="24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5" t="n">
        <v>12.057268</v>
      </c>
    </row>
    <row r="7241">
      <c r="A7241" s="24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5" t="n">
        <v>9.673933</v>
      </c>
    </row>
    <row r="7242">
      <c r="A7242" s="24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5" t="n">
        <v>8.6203</v>
      </c>
    </row>
    <row r="7243">
      <c r="A7243" s="24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5" t="n">
        <v>6.991027</v>
      </c>
    </row>
    <row r="7244">
      <c r="A7244" s="24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5" t="n">
        <v>6.422708</v>
      </c>
    </row>
    <row r="7245">
      <c r="A7245" s="24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5" t="n">
        <v>5.228474</v>
      </c>
    </row>
    <row r="7246">
      <c r="A7246" s="24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5" t="n">
        <v>13.628849</v>
      </c>
    </row>
    <row r="7247">
      <c r="A7247" s="24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5" t="n">
        <v>16.401584</v>
      </c>
    </row>
    <row r="7248">
      <c r="A7248" s="24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5" t="n">
        <v>10.237769</v>
      </c>
    </row>
    <row r="7249">
      <c r="A7249" s="24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5" t="n">
        <v>7.517739</v>
      </c>
    </row>
    <row r="7250">
      <c r="A7250" s="24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5" t="n">
        <v>7.466345</v>
      </c>
    </row>
    <row r="7251">
      <c r="A7251" s="24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5" t="n">
        <v>17.278416</v>
      </c>
    </row>
    <row r="7252">
      <c r="A7252" s="24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5" t="n">
        <v>38.781084</v>
      </c>
    </row>
    <row r="7253">
      <c r="A7253" s="24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5" t="n">
        <v>38.665222</v>
      </c>
    </row>
    <row r="7254">
      <c r="A7254" s="24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5" t="n">
        <v>27.811948</v>
      </c>
    </row>
    <row r="7255">
      <c r="A7255" s="24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5" t="n">
        <v>20.082101</v>
      </c>
    </row>
    <row r="7256">
      <c r="A7256" s="24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5" t="n">
        <v>15.236761</v>
      </c>
    </row>
    <row r="7257">
      <c r="A7257" s="24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5" t="n">
        <v>12.264189</v>
      </c>
    </row>
    <row r="7258">
      <c r="A7258" s="24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5" t="n">
        <v>12.943488</v>
      </c>
    </row>
    <row r="7259">
      <c r="A7259" s="24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5" t="n">
        <v>13.401977</v>
      </c>
    </row>
    <row r="7260">
      <c r="A7260" s="24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5" t="n">
        <v>8.781003999999999</v>
      </c>
    </row>
    <row r="7261">
      <c r="A7261" s="24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5" t="n">
        <v>14.111728</v>
      </c>
    </row>
    <row r="7262">
      <c r="A7262" s="24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5" t="n">
        <v>15.422707</v>
      </c>
    </row>
    <row r="7263">
      <c r="A7263" s="24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5" t="n">
        <v>9.729642999999999</v>
      </c>
    </row>
    <row r="7264">
      <c r="A7264" s="24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5" t="n">
        <v>7.687734</v>
      </c>
    </row>
    <row r="7265">
      <c r="A7265" s="24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5" t="n">
        <v>6.880454</v>
      </c>
    </row>
    <row r="7266">
      <c r="A7266" s="24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5" t="n">
        <v>4.554855</v>
      </c>
    </row>
    <row r="7267">
      <c r="A7267" s="24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5" t="n">
        <v>4.948112</v>
      </c>
    </row>
    <row r="7268">
      <c r="A7268" s="24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5" t="n">
        <v>3.15351</v>
      </c>
    </row>
    <row r="7269">
      <c r="A7269" s="24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5" t="n">
        <v>10.913984</v>
      </c>
    </row>
    <row r="7270">
      <c r="A7270" s="24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5" t="n">
        <v>22.029344</v>
      </c>
    </row>
    <row r="7271">
      <c r="A7271" s="24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5" t="n">
        <v>26.887192</v>
      </c>
    </row>
    <row r="7272">
      <c r="A7272" s="24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5" t="n">
        <v>24.268559</v>
      </c>
    </row>
    <row r="7273">
      <c r="A7273" s="24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5" t="n">
        <v>18.933182</v>
      </c>
    </row>
    <row r="7274">
      <c r="A7274" s="24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5" t="n">
        <v>13.222143</v>
      </c>
    </row>
    <row r="7275">
      <c r="A7275" s="24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5" t="n">
        <v>10.306145</v>
      </c>
    </row>
    <row r="7276">
      <c r="A7276" s="24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5" t="n">
        <v>19.846983</v>
      </c>
    </row>
    <row r="7277">
      <c r="A7277" s="24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5" t="n">
        <v>32.284556</v>
      </c>
    </row>
    <row r="7278">
      <c r="A7278" s="24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5" t="n">
        <v>37.51219</v>
      </c>
    </row>
    <row r="7279">
      <c r="A7279" s="24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5" t="n">
        <v>31.233924</v>
      </c>
    </row>
    <row r="7280">
      <c r="A7280" s="24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5" t="n">
        <v>27.445599</v>
      </c>
    </row>
    <row r="7281">
      <c r="A7281" s="24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5" t="n">
        <v>23.299697</v>
      </c>
    </row>
    <row r="7282">
      <c r="A7282" s="24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5" t="n">
        <v>19.090937</v>
      </c>
    </row>
    <row r="7283">
      <c r="A7283" s="24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5" t="n">
        <v>13.796818</v>
      </c>
    </row>
    <row r="7284">
      <c r="A7284" s="24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5" t="n">
        <v>12.59412</v>
      </c>
    </row>
    <row r="7285">
      <c r="A7285" s="24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5" t="n">
        <v>8.205080000000001</v>
      </c>
    </row>
    <row r="7286">
      <c r="A7286" s="24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5" t="n">
        <v>8.386858</v>
      </c>
    </row>
    <row r="7287">
      <c r="A7287" s="24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5" t="n">
        <v>8.892871</v>
      </c>
    </row>
    <row r="7288">
      <c r="A7288" s="24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5" t="n">
        <v>9.163003</v>
      </c>
    </row>
    <row r="7289">
      <c r="A7289" s="24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5" t="n">
        <v>6.849642</v>
      </c>
    </row>
    <row r="7290">
      <c r="A7290" s="24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5" t="n">
        <v>4.771484</v>
      </c>
    </row>
    <row r="7291">
      <c r="A7291" s="24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5" t="n">
        <v>5.356164</v>
      </c>
    </row>
    <row r="7292">
      <c r="A7292" s="24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5" t="n">
        <v>2.867698</v>
      </c>
    </row>
    <row r="7293">
      <c r="A7293" s="24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5" t="n">
        <v>4.102169</v>
      </c>
    </row>
    <row r="7294">
      <c r="A7294" s="24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5" t="n">
        <v>2.072809</v>
      </c>
    </row>
    <row r="7295">
      <c r="A7295" s="24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5" t="n">
        <v>2.977063</v>
      </c>
    </row>
    <row r="7296">
      <c r="A7296" s="24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5" t="n">
        <v>1.788077</v>
      </c>
    </row>
    <row r="7297">
      <c r="A7297" s="24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5" t="n">
        <v>2.023577</v>
      </c>
    </row>
    <row r="7298">
      <c r="A7298" s="24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5" t="n">
        <v>7.718804</v>
      </c>
    </row>
    <row r="7299">
      <c r="A7299" s="24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5" t="n">
        <v>9.882472</v>
      </c>
    </row>
    <row r="7300">
      <c r="A7300" s="24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5" t="n">
        <v>6.031744</v>
      </c>
    </row>
    <row r="7301">
      <c r="A7301" s="24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5" t="n">
        <v>4.689238</v>
      </c>
    </row>
    <row r="7302">
      <c r="A7302" s="24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5" t="n">
        <v>5.790205</v>
      </c>
    </row>
    <row r="7303">
      <c r="A7303" s="24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5" t="n">
        <v>9.156355</v>
      </c>
    </row>
    <row r="7304">
      <c r="A7304" s="24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5" t="n">
        <v>13.474677</v>
      </c>
    </row>
    <row r="7305">
      <c r="A7305" s="24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5" t="n">
        <v>6.45606</v>
      </c>
    </row>
    <row r="7306">
      <c r="A7306" s="24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5" t="n">
        <v>12.189329</v>
      </c>
    </row>
    <row r="7307">
      <c r="A7307" s="24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5" t="n">
        <v>13.534393</v>
      </c>
    </row>
    <row r="7308">
      <c r="A7308" s="24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5" t="n">
        <v>7.632995</v>
      </c>
    </row>
    <row r="7309">
      <c r="A7309" s="24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5" t="n">
        <v>6.488739</v>
      </c>
    </row>
    <row r="7310">
      <c r="A7310" s="24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5" t="n">
        <v>5.038772</v>
      </c>
    </row>
    <row r="7311">
      <c r="A7311" s="24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5" t="n">
        <v>3.659725</v>
      </c>
    </row>
    <row r="7312">
      <c r="A7312" s="24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5" t="n">
        <v>3.452753</v>
      </c>
    </row>
    <row r="7313">
      <c r="A7313" s="24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5" t="n">
        <v>2.4189</v>
      </c>
    </row>
    <row r="7314">
      <c r="A7314" s="24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5" t="n">
        <v>2.328349</v>
      </c>
    </row>
    <row r="7315">
      <c r="A7315" s="24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5" t="n">
        <v>3.516354</v>
      </c>
    </row>
    <row r="7316">
      <c r="A7316" s="24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5" t="n">
        <v>16.941006</v>
      </c>
    </row>
    <row r="7317">
      <c r="A7317" s="24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5" t="n">
        <v>21.395338</v>
      </c>
    </row>
    <row r="7318">
      <c r="A7318" s="24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5" t="n">
        <v>11.3336</v>
      </c>
    </row>
    <row r="7319">
      <c r="A7319" s="24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5" t="n">
        <v>8.8261</v>
      </c>
    </row>
    <row r="7320">
      <c r="A7320" s="24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5" t="n">
        <v>7.495089</v>
      </c>
    </row>
    <row r="7321">
      <c r="A7321" s="24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5" t="n">
        <v>4.550821</v>
      </c>
    </row>
    <row r="7322">
      <c r="A7322" s="24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5" t="n">
        <v>4.86554</v>
      </c>
    </row>
    <row r="7323">
      <c r="A7323" s="24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5" t="n">
        <v>3.063989</v>
      </c>
    </row>
    <row r="7324">
      <c r="A7324" s="24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5" t="n">
        <v>2.941501</v>
      </c>
    </row>
    <row r="7325">
      <c r="A7325" s="24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5" t="n">
        <v>2.523983</v>
      </c>
    </row>
    <row r="7326">
      <c r="A7326" s="24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5" t="n">
        <v>9.246513999999999</v>
      </c>
    </row>
    <row r="7327">
      <c r="A7327" s="24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5" t="n">
        <v>13.051342</v>
      </c>
    </row>
    <row r="7328">
      <c r="A7328" s="24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5" t="n">
        <v>10.413234</v>
      </c>
    </row>
    <row r="7329">
      <c r="A7329" s="24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5" t="n">
        <v>11.399405</v>
      </c>
    </row>
    <row r="7330">
      <c r="A7330" s="24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5" t="n">
        <v>7.259524</v>
      </c>
    </row>
    <row r="7331">
      <c r="A7331" s="24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5" t="n">
        <v>5.15334</v>
      </c>
    </row>
    <row r="7332">
      <c r="A7332" s="24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5" t="n">
        <v>4.938248</v>
      </c>
    </row>
    <row r="7333">
      <c r="A7333" s="24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5" t="n">
        <v>7.271272</v>
      </c>
    </row>
    <row r="7334">
      <c r="A7334" s="24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5" t="n">
        <v>9.42245</v>
      </c>
    </row>
    <row r="7335">
      <c r="A7335" s="24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5" t="n">
        <v>5.268267</v>
      </c>
    </row>
    <row r="7336">
      <c r="A7336" s="24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5" t="n">
        <v>16.353668</v>
      </c>
    </row>
    <row r="7337">
      <c r="A7337" s="24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5" t="n">
        <v>30.164465</v>
      </c>
    </row>
    <row r="7338">
      <c r="A7338" s="24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5" t="n">
        <v>25.741529</v>
      </c>
    </row>
    <row r="7339">
      <c r="A7339" s="24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5" t="n">
        <v>17.965491</v>
      </c>
    </row>
    <row r="7340">
      <c r="A7340" s="24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5" t="n">
        <v>13.493884</v>
      </c>
    </row>
    <row r="7341">
      <c r="A7341" s="24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5" t="n">
        <v>9.900126</v>
      </c>
    </row>
    <row r="7342">
      <c r="A7342" s="24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5" t="n">
        <v>8.117171000000001</v>
      </c>
    </row>
    <row r="7343">
      <c r="A7343" s="24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5" t="n">
        <v>19.360976</v>
      </c>
    </row>
    <row r="7344">
      <c r="A7344" s="24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5" t="n">
        <v>30.996261</v>
      </c>
    </row>
    <row r="7345">
      <c r="A7345" s="24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5" t="n">
        <v>31.042337</v>
      </c>
    </row>
    <row r="7346">
      <c r="A7346" s="24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5" t="n">
        <v>26.742994</v>
      </c>
    </row>
    <row r="7347">
      <c r="A7347" s="24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5" t="n">
        <v>20.296447</v>
      </c>
    </row>
    <row r="7348">
      <c r="A7348" s="24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5" t="n">
        <v>15.506892</v>
      </c>
    </row>
    <row r="7349">
      <c r="A7349" s="24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5" t="n">
        <v>12.904646</v>
      </c>
    </row>
    <row r="7350">
      <c r="A7350" s="24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5" t="n">
        <v>8.797876</v>
      </c>
    </row>
    <row r="7351">
      <c r="A7351" s="24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5" t="n">
        <v>8.257851</v>
      </c>
    </row>
    <row r="7352">
      <c r="A7352" s="24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5" t="n">
        <v>6.042062</v>
      </c>
    </row>
    <row r="7353">
      <c r="A7353" s="24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5" t="n">
        <v>5.222052</v>
      </c>
    </row>
    <row r="7354">
      <c r="A7354" s="24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5" t="n">
        <v>4.698894</v>
      </c>
    </row>
    <row r="7355">
      <c r="A7355" s="24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5" t="n">
        <v>3.304512</v>
      </c>
    </row>
    <row r="7356">
      <c r="A7356" s="24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5" t="n">
        <v>3.811442</v>
      </c>
    </row>
    <row r="7357">
      <c r="A7357" s="24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5" t="n">
        <v>2.193883</v>
      </c>
    </row>
    <row r="7358">
      <c r="A7358" s="24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5" t="n">
        <v>17.502443</v>
      </c>
    </row>
    <row r="7359">
      <c r="A7359" s="24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5" t="n">
        <v>27.416559</v>
      </c>
    </row>
    <row r="7360">
      <c r="A7360" s="24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5" t="n">
        <v>19.931602</v>
      </c>
    </row>
    <row r="7361">
      <c r="A7361" s="24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5" t="n">
        <v>12.232768</v>
      </c>
    </row>
    <row r="7362">
      <c r="A7362" s="24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5" t="n">
        <v>19.23008</v>
      </c>
    </row>
    <row r="7363">
      <c r="A7363" s="24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5" t="n">
        <v>30.545351</v>
      </c>
    </row>
    <row r="7364">
      <c r="A7364" s="24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5" t="n">
        <v>45.090031</v>
      </c>
    </row>
    <row r="7365">
      <c r="A7365" s="24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5" t="n">
        <v>51.960577</v>
      </c>
    </row>
    <row r="7366">
      <c r="A7366" s="24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5" t="n">
        <v>45.928525</v>
      </c>
    </row>
    <row r="7367">
      <c r="A7367" s="24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5" t="n">
        <v>32.502536</v>
      </c>
    </row>
    <row r="7368">
      <c r="A7368" s="24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5" t="n">
        <v>23.401567</v>
      </c>
    </row>
    <row r="7369">
      <c r="A7369" s="24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5" t="n">
        <v>19.402093</v>
      </c>
    </row>
    <row r="7370">
      <c r="A7370" s="24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5" t="n">
        <v>19.973896</v>
      </c>
    </row>
    <row r="7371">
      <c r="A7371" s="24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5" t="n">
        <v>22.141506</v>
      </c>
    </row>
    <row r="7372">
      <c r="A7372" s="24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5" t="n">
        <v>13.274691</v>
      </c>
    </row>
    <row r="7373">
      <c r="A7373" s="24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5" t="n">
        <v>12.155818</v>
      </c>
    </row>
    <row r="7374">
      <c r="A7374" s="24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5" t="n">
        <v>9.188885000000001</v>
      </c>
    </row>
    <row r="7375">
      <c r="A7375" s="24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5" t="n">
        <v>17.176703</v>
      </c>
    </row>
    <row r="7376">
      <c r="A7376" s="24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5" t="n">
        <v>20.271055</v>
      </c>
    </row>
    <row r="7377">
      <c r="A7377" s="24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5" t="n">
        <v>12.229933</v>
      </c>
    </row>
    <row r="7378">
      <c r="A7378" s="24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5" t="n">
        <v>9.748314000000001</v>
      </c>
    </row>
    <row r="7379">
      <c r="A7379" s="24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5" t="n">
        <v>8.639561</v>
      </c>
    </row>
    <row r="7380">
      <c r="A7380" s="24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5" t="n">
        <v>5.774981</v>
      </c>
    </row>
    <row r="7381">
      <c r="A7381" s="24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5" t="n">
        <v>6.030765</v>
      </c>
    </row>
    <row r="7382">
      <c r="A7382" s="24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5" t="n">
        <v>4.181406</v>
      </c>
    </row>
    <row r="7383">
      <c r="A7383" s="24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5" t="n">
        <v>4.02331</v>
      </c>
    </row>
    <row r="7384">
      <c r="A7384" s="24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5" t="n">
        <v>3.482786</v>
      </c>
    </row>
    <row r="7385">
      <c r="A7385" s="24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5" t="n">
        <v>2.578049</v>
      </c>
    </row>
    <row r="7386">
      <c r="A7386" s="24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5" t="n">
        <v>3.052345</v>
      </c>
    </row>
    <row r="7387">
      <c r="A7387" s="24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5" t="n">
        <v>1.630578</v>
      </c>
    </row>
    <row r="7388">
      <c r="A7388" s="24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5" t="n">
        <v>2.647312</v>
      </c>
    </row>
    <row r="7389">
      <c r="A7389" s="24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5" t="n">
        <v>1.080033</v>
      </c>
    </row>
    <row r="7390">
      <c r="A7390" s="24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5" t="n">
        <v>2.204097</v>
      </c>
    </row>
    <row r="7391">
      <c r="A7391" s="24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5" t="n">
        <v>0.812553</v>
      </c>
    </row>
    <row r="7392">
      <c r="A7392" s="24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5" t="n">
        <v>1.735166</v>
      </c>
    </row>
    <row r="7393">
      <c r="A7393" s="24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5" t="n">
        <v>0.722932</v>
      </c>
    </row>
    <row r="7394">
      <c r="A7394" s="24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5" t="n">
        <v>2.306428</v>
      </c>
    </row>
    <row r="7395">
      <c r="A7395" s="24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5" t="n">
        <v>8.386889</v>
      </c>
    </row>
    <row r="7396">
      <c r="A7396" s="24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5" t="n">
        <v>25.453828</v>
      </c>
    </row>
    <row r="7397">
      <c r="A7397" s="24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5" t="n">
        <v>39.517107</v>
      </c>
    </row>
    <row r="7398">
      <c r="A7398" s="24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5" t="n">
        <v>32.557064</v>
      </c>
    </row>
    <row r="7399">
      <c r="A7399" s="24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5" t="n">
        <v>20.581843</v>
      </c>
    </row>
    <row r="7400">
      <c r="A7400" s="24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5" t="n">
        <v>16.093411</v>
      </c>
    </row>
    <row r="7401">
      <c r="A7401" s="24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5" t="n">
        <v>12.93323</v>
      </c>
    </row>
    <row r="7402">
      <c r="A7402" s="24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5" t="n">
        <v>16.206639</v>
      </c>
    </row>
    <row r="7403">
      <c r="A7403" s="24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5" t="n">
        <v>20.489452</v>
      </c>
    </row>
    <row r="7404">
      <c r="A7404" s="24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5" t="n">
        <v>13.372746</v>
      </c>
    </row>
    <row r="7405">
      <c r="A7405" s="24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5" t="n">
        <v>10.637102</v>
      </c>
    </row>
    <row r="7406">
      <c r="A7406" s="24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5" t="n">
        <v>8.275638000000001</v>
      </c>
    </row>
    <row r="7407">
      <c r="A7407" s="24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5" t="n">
        <v>17.35782</v>
      </c>
    </row>
    <row r="7408">
      <c r="A7408" s="24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5" t="n">
        <v>28.676566</v>
      </c>
    </row>
    <row r="7409">
      <c r="A7409" s="24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5" t="n">
        <v>23.138054</v>
      </c>
    </row>
    <row r="7410">
      <c r="A7410" s="24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5" t="n">
        <v>16.095198</v>
      </c>
    </row>
    <row r="7411">
      <c r="A7411" s="24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5" t="n">
        <v>14.404622</v>
      </c>
    </row>
    <row r="7412">
      <c r="A7412" s="24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5" t="n">
        <v>9.692852999999999</v>
      </c>
    </row>
    <row r="7413">
      <c r="A7413" s="24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5" t="n">
        <v>8.399775</v>
      </c>
    </row>
    <row r="7414">
      <c r="A7414" s="24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5" t="n">
        <v>6.460025</v>
      </c>
    </row>
    <row r="7415">
      <c r="A7415" s="24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5" t="n">
        <v>5.365281</v>
      </c>
    </row>
    <row r="7416">
      <c r="A7416" s="24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5" t="n">
        <v>4.593857</v>
      </c>
    </row>
    <row r="7417">
      <c r="A7417" s="24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5" t="n">
        <v>3.664581</v>
      </c>
    </row>
    <row r="7418">
      <c r="A7418" s="24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5" t="n">
        <v>9.911686</v>
      </c>
    </row>
    <row r="7419">
      <c r="A7419" s="24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5" t="n">
        <v>26.835403</v>
      </c>
    </row>
    <row r="7420">
      <c r="A7420" s="24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5" t="n">
        <v>30.007245</v>
      </c>
    </row>
    <row r="7421">
      <c r="A7421" s="24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5" t="n">
        <v>21.065541</v>
      </c>
    </row>
    <row r="7422">
      <c r="A7422" s="24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5" t="n">
        <v>18.112769</v>
      </c>
    </row>
    <row r="7423">
      <c r="A7423" s="24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5" t="n">
        <v>13.270322</v>
      </c>
    </row>
    <row r="7424">
      <c r="A7424" s="24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5" t="n">
        <v>9.202272000000001</v>
      </c>
    </row>
    <row r="7425">
      <c r="A7425" s="24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5" t="n">
        <v>8.695904000000001</v>
      </c>
    </row>
    <row r="7426">
      <c r="A7426" s="24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5" t="n">
        <v>5.661327</v>
      </c>
    </row>
    <row r="7427">
      <c r="A7427" s="24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5" t="n">
        <v>5.66907</v>
      </c>
    </row>
    <row r="7428">
      <c r="A7428" s="24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5" t="n">
        <v>4.13678</v>
      </c>
    </row>
    <row r="7429">
      <c r="A7429" s="24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5" t="n">
        <v>17.704257</v>
      </c>
    </row>
    <row r="7430">
      <c r="A7430" s="24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5" t="n">
        <v>38.170221</v>
      </c>
    </row>
    <row r="7431">
      <c r="A7431" s="24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5" t="n">
        <v>39.59656</v>
      </c>
    </row>
    <row r="7432">
      <c r="A7432" s="24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5" t="n">
        <v>29.191147</v>
      </c>
    </row>
    <row r="7433">
      <c r="A7433" s="24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5" t="n">
        <v>20.477812</v>
      </c>
    </row>
    <row r="7434">
      <c r="A7434" s="24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5" t="n">
        <v>16.0416</v>
      </c>
    </row>
    <row r="7435">
      <c r="A7435" s="24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5" t="n">
        <v>12.082841</v>
      </c>
    </row>
    <row r="7436">
      <c r="A7436" s="24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5" t="n">
        <v>19.193408</v>
      </c>
    </row>
    <row r="7437">
      <c r="A7437" s="24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5" t="n">
        <v>20.900542</v>
      </c>
    </row>
    <row r="7438">
      <c r="A7438" s="24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5" t="n">
        <v>13.438938</v>
      </c>
    </row>
    <row r="7439">
      <c r="A7439" s="24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5" t="n">
        <v>24.320917</v>
      </c>
    </row>
    <row r="7440">
      <c r="A7440" s="24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5" t="n">
        <v>31.505132</v>
      </c>
    </row>
    <row r="7441">
      <c r="A7441" s="24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5" t="n">
        <v>18.505924</v>
      </c>
    </row>
    <row r="7442">
      <c r="A7442" s="24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5" t="n">
        <v>14.924255</v>
      </c>
    </row>
    <row r="7443">
      <c r="A7443" s="24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5" t="n">
        <v>12.127691</v>
      </c>
    </row>
    <row r="7444">
      <c r="A7444" s="24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5" t="n">
        <v>22.256524</v>
      </c>
    </row>
    <row r="7445">
      <c r="A7445" s="24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5" t="n">
        <v>42.828535</v>
      </c>
    </row>
    <row r="7446">
      <c r="A7446" s="24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5" t="n">
        <v>44.809639</v>
      </c>
    </row>
    <row r="7447">
      <c r="A7447" s="24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5" t="n">
        <v>36.580983</v>
      </c>
    </row>
    <row r="7448">
      <c r="A7448" s="24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5" t="n">
        <v>37.150497</v>
      </c>
    </row>
    <row r="7449">
      <c r="A7449" s="24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5" t="n">
        <v>36.663703</v>
      </c>
    </row>
    <row r="7450">
      <c r="A7450" s="24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5" t="n">
        <v>28.750556</v>
      </c>
    </row>
    <row r="7451">
      <c r="A7451" s="24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5" t="n">
        <v>39.306436</v>
      </c>
    </row>
    <row r="7452">
      <c r="A7452" s="24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5" t="n">
        <v>57.682674</v>
      </c>
    </row>
    <row r="7453">
      <c r="A7453" s="24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5" t="n">
        <v>88.49923200000001</v>
      </c>
    </row>
    <row r="7454">
      <c r="A7454" s="24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5" t="n">
        <v>148.461583</v>
      </c>
    </row>
    <row r="7455">
      <c r="A7455" s="24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5" t="n">
        <v>151.99868</v>
      </c>
    </row>
    <row r="7456">
      <c r="A7456" s="24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5" t="n">
        <v>100.44347</v>
      </c>
    </row>
    <row r="7457">
      <c r="A7457" s="24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5" t="n">
        <v>76.849149</v>
      </c>
    </row>
    <row r="7458">
      <c r="A7458" s="24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5" t="n">
        <v>63.862163</v>
      </c>
    </row>
    <row r="7459">
      <c r="A7459" s="24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5" t="n">
        <v>42.620417</v>
      </c>
    </row>
    <row r="7460">
      <c r="A7460" s="24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5" t="n">
        <v>33.479643</v>
      </c>
    </row>
    <row r="7461">
      <c r="A7461" s="24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5" t="n">
        <v>27.713765</v>
      </c>
    </row>
    <row r="7462">
      <c r="A7462" s="24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5" t="n">
        <v>19.978666</v>
      </c>
    </row>
    <row r="7463">
      <c r="A7463" s="24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5" t="n">
        <v>18.95861</v>
      </c>
    </row>
    <row r="7464">
      <c r="A7464" s="24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5" t="n">
        <v>13.46218</v>
      </c>
    </row>
    <row r="7465">
      <c r="A7465" s="24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5" t="n">
        <v>13.134467</v>
      </c>
    </row>
    <row r="7466">
      <c r="A7466" s="24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5" t="n">
        <v>10.031448</v>
      </c>
    </row>
    <row r="7467">
      <c r="A7467" s="24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5" t="n">
        <v>9.141382</v>
      </c>
    </row>
    <row r="7468">
      <c r="A7468" s="24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5" t="n">
        <v>7.988119</v>
      </c>
    </row>
    <row r="7469">
      <c r="A7469" s="24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5" t="n">
        <v>6.424627</v>
      </c>
    </row>
    <row r="7470">
      <c r="A7470" s="24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5" t="n">
        <v>6.547849</v>
      </c>
    </row>
    <row r="7471">
      <c r="A7471" s="24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5" t="n">
        <v>4.621033</v>
      </c>
    </row>
    <row r="7472">
      <c r="A7472" s="24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5" t="n">
        <v>18.237025</v>
      </c>
    </row>
    <row r="7473">
      <c r="A7473" s="24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5" t="n">
        <v>32.829591</v>
      </c>
    </row>
    <row r="7474">
      <c r="A7474" s="24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5" t="n">
        <v>29.198949</v>
      </c>
    </row>
    <row r="7475">
      <c r="A7475" s="24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5" t="n">
        <v>24.496748</v>
      </c>
    </row>
    <row r="7476">
      <c r="A7476" s="24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5" t="n">
        <v>30.824884</v>
      </c>
    </row>
    <row r="7477">
      <c r="A7477" s="24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5" t="n">
        <v>22.875236</v>
      </c>
    </row>
    <row r="7478">
      <c r="A7478" s="24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5" t="n">
        <v>20.681517</v>
      </c>
    </row>
    <row r="7479">
      <c r="A7479" s="24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5" t="n">
        <v>19.597062</v>
      </c>
    </row>
    <row r="7480">
      <c r="A7480" s="24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5" t="n">
        <v>12.93657</v>
      </c>
    </row>
    <row r="7481">
      <c r="A7481" s="24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5" t="n">
        <v>14.073584</v>
      </c>
    </row>
    <row r="7482">
      <c r="A7482" s="24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5" t="n">
        <v>12.893796</v>
      </c>
    </row>
    <row r="7483">
      <c r="A7483" s="24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5" t="n">
        <v>9.3405</v>
      </c>
    </row>
    <row r="7484">
      <c r="A7484" s="24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5" t="n">
        <v>7.486737</v>
      </c>
    </row>
    <row r="7485">
      <c r="A7485" s="24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5" t="n">
        <v>6.614786</v>
      </c>
    </row>
    <row r="7486">
      <c r="A7486" s="24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5" t="n">
        <v>6.973363</v>
      </c>
    </row>
    <row r="7487">
      <c r="A7487" s="24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5" t="n">
        <v>23.168368</v>
      </c>
    </row>
    <row r="7488">
      <c r="A7488" s="24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5" t="n">
        <v>41.59005</v>
      </c>
    </row>
    <row r="7489">
      <c r="A7489" s="24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5" t="n">
        <v>42.433449</v>
      </c>
    </row>
    <row r="7490">
      <c r="A7490" s="24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5" t="n">
        <v>29.533486</v>
      </c>
    </row>
    <row r="7491">
      <c r="A7491" s="24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5" t="n">
        <v>25.390234</v>
      </c>
    </row>
    <row r="7492">
      <c r="A7492" s="24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5" t="n">
        <v>21.593741</v>
      </c>
    </row>
    <row r="7493">
      <c r="A7493" s="24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5" t="n">
        <v>32.50009</v>
      </c>
    </row>
    <row r="7494">
      <c r="A7494" s="24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5" t="n">
        <v>78.764911</v>
      </c>
    </row>
    <row r="7495">
      <c r="A7495" s="24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5" t="n">
        <v>112.777742</v>
      </c>
    </row>
    <row r="7496">
      <c r="A7496" s="24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5" t="n">
        <v>88.07581</v>
      </c>
    </row>
    <row r="7497">
      <c r="A7497" s="24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5" t="n">
        <v>69.87988900000001</v>
      </c>
    </row>
    <row r="7498">
      <c r="A7498" s="24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5" t="n">
        <v>74.219043</v>
      </c>
    </row>
    <row r="7499">
      <c r="A7499" s="24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5" t="n">
        <v>71.45474900000001</v>
      </c>
    </row>
    <row r="7500">
      <c r="A7500" s="24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5" t="n">
        <v>71.67205</v>
      </c>
    </row>
    <row r="7501">
      <c r="A7501" s="24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5" t="n">
        <v>75.634867</v>
      </c>
    </row>
    <row r="7502">
      <c r="A7502" s="24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5" t="n">
        <v>73.19092000000001</v>
      </c>
    </row>
    <row r="7503">
      <c r="A7503" s="24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5" t="n">
        <v>58.329059</v>
      </c>
    </row>
    <row r="7504">
      <c r="A7504" s="24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5" t="n">
        <v>40.714053</v>
      </c>
    </row>
    <row r="7505">
      <c r="A7505" s="24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5" t="n">
        <v>48.164761</v>
      </c>
    </row>
    <row r="7506">
      <c r="A7506" s="24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5" t="n">
        <v>62.193927</v>
      </c>
    </row>
    <row r="7507">
      <c r="A7507" s="24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5" t="n">
        <v>58.248114</v>
      </c>
    </row>
    <row r="7508">
      <c r="A7508" s="24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5" t="n">
        <v>58.906721</v>
      </c>
    </row>
    <row r="7509">
      <c r="A7509" s="24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5" t="n">
        <v>69.284249</v>
      </c>
    </row>
    <row r="7510">
      <c r="A7510" s="24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5" t="n">
        <v>73.094492</v>
      </c>
    </row>
    <row r="7511">
      <c r="A7511" s="24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5" t="n">
        <v>63.13521</v>
      </c>
    </row>
    <row r="7512">
      <c r="A7512" s="24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5" t="n">
        <v>62.537773</v>
      </c>
    </row>
    <row r="7513">
      <c r="A7513" s="24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5" t="n">
        <v>69.836426</v>
      </c>
    </row>
    <row r="7514">
      <c r="A7514" s="24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5" t="n">
        <v>75.19748199999999</v>
      </c>
    </row>
    <row r="7515">
      <c r="A7515" s="24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5" t="n">
        <v>76.333533</v>
      </c>
    </row>
    <row r="7516">
      <c r="A7516" s="24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5" t="n">
        <v>79.98297700000001</v>
      </c>
    </row>
    <row r="7517">
      <c r="A7517" s="24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5" t="n">
        <v>63.045984</v>
      </c>
    </row>
    <row r="7518">
      <c r="A7518" s="24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5" t="n">
        <v>45.32728</v>
      </c>
    </row>
    <row r="7519">
      <c r="A7519" s="24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5" t="n">
        <v>36.05053</v>
      </c>
    </row>
    <row r="7520">
      <c r="A7520" s="24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5" t="n">
        <v>39.140913</v>
      </c>
    </row>
    <row r="7521">
      <c r="A7521" s="24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5" t="n">
        <v>38.837407</v>
      </c>
    </row>
    <row r="7522">
      <c r="A7522" s="24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5" t="n">
        <v>28.201204</v>
      </c>
    </row>
    <row r="7523">
      <c r="A7523" s="24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5" t="n">
        <v>22.370379</v>
      </c>
    </row>
    <row r="7524">
      <c r="A7524" s="24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5" t="n">
        <v>19.086856</v>
      </c>
    </row>
    <row r="7525">
      <c r="A7525" s="24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5" t="n">
        <v>27.925138</v>
      </c>
    </row>
    <row r="7526">
      <c r="A7526" s="24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5" t="n">
        <v>42.382005</v>
      </c>
    </row>
    <row r="7527">
      <c r="A7527" s="24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5" t="n">
        <v>50.64067</v>
      </c>
    </row>
    <row r="7528">
      <c r="A7528" s="24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5" t="n">
        <v>53.253742</v>
      </c>
    </row>
    <row r="7529">
      <c r="A7529" s="24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5" t="n">
        <v>45.199422</v>
      </c>
    </row>
    <row r="7530">
      <c r="A7530" s="24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5" t="n">
        <v>31.122472</v>
      </c>
    </row>
    <row r="7531">
      <c r="A7531" s="24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5" t="n">
        <v>26.471457</v>
      </c>
    </row>
    <row r="7532">
      <c r="A7532" s="24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5" t="n">
        <v>24.030108</v>
      </c>
    </row>
    <row r="7533">
      <c r="A7533" s="24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5" t="n">
        <v>24.304986</v>
      </c>
    </row>
    <row r="7534">
      <c r="A7534" s="24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5" t="n">
        <v>16.744041</v>
      </c>
    </row>
    <row r="7535">
      <c r="A7535" s="24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5" t="n">
        <v>13.864117</v>
      </c>
    </row>
    <row r="7536">
      <c r="A7536" s="24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5" t="n">
        <v>12.290449</v>
      </c>
    </row>
    <row r="7537">
      <c r="A7537" s="24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5" t="n">
        <v>8.806202000000001</v>
      </c>
    </row>
    <row r="7538">
      <c r="A7538" s="24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5" t="n">
        <v>9.298698</v>
      </c>
    </row>
    <row r="7539">
      <c r="A7539" s="24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5" t="n">
        <v>6.125759</v>
      </c>
    </row>
    <row r="7540">
      <c r="A7540" s="24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5" t="n">
        <v>7.058596</v>
      </c>
    </row>
    <row r="7541">
      <c r="A7541" s="24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5" t="n">
        <v>7.633083</v>
      </c>
    </row>
    <row r="7542">
      <c r="A7542" s="24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5" t="n">
        <v>24.44206</v>
      </c>
    </row>
    <row r="7543">
      <c r="A7543" s="24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5" t="n">
        <v>27.11206</v>
      </c>
    </row>
    <row r="7544">
      <c r="A7544" s="24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5" t="n">
        <v>29.501513</v>
      </c>
    </row>
    <row r="7545">
      <c r="A7545" s="24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5" t="n">
        <v>39.536173</v>
      </c>
    </row>
    <row r="7546">
      <c r="A7546" s="24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5" t="n">
        <v>48.006515</v>
      </c>
    </row>
    <row r="7547">
      <c r="A7547" s="24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5" t="n">
        <v>48.027147</v>
      </c>
    </row>
    <row r="7548">
      <c r="A7548" s="24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5" t="n">
        <v>42.550362</v>
      </c>
    </row>
    <row r="7549">
      <c r="A7549" s="24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5" t="n">
        <v>40.642132</v>
      </c>
    </row>
    <row r="7550">
      <c r="A7550" s="24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5" t="n">
        <v>40.037167</v>
      </c>
    </row>
    <row r="7551">
      <c r="A7551" s="24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5" t="n">
        <v>25.10705</v>
      </c>
    </row>
    <row r="7552">
      <c r="A7552" s="24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5" t="n">
        <v>20.367059</v>
      </c>
    </row>
    <row r="7553">
      <c r="A7553" s="24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5" t="n">
        <v>17.23049</v>
      </c>
    </row>
    <row r="7554">
      <c r="A7554" s="24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5" t="n">
        <v>23.469273</v>
      </c>
    </row>
    <row r="7555">
      <c r="A7555" s="24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5" t="n">
        <v>30.548558</v>
      </c>
    </row>
    <row r="7556">
      <c r="A7556" s="24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5" t="n">
        <v>19.191462</v>
      </c>
    </row>
    <row r="7557">
      <c r="A7557" s="24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5" t="n">
        <v>20.47627</v>
      </c>
    </row>
    <row r="7558">
      <c r="A7558" s="24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5" t="n">
        <v>20.560871</v>
      </c>
    </row>
    <row r="7559">
      <c r="A7559" s="24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5" t="n">
        <v>19.076704</v>
      </c>
    </row>
    <row r="7560">
      <c r="A7560" s="24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5" t="n">
        <v>13.787863</v>
      </c>
    </row>
    <row r="7561">
      <c r="A7561" s="24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5" t="n">
        <v>10.378462</v>
      </c>
    </row>
    <row r="7562">
      <c r="A7562" s="24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5" t="n">
        <v>9.523897</v>
      </c>
    </row>
    <row r="7563">
      <c r="A7563" s="24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5" t="n">
        <v>7.968016</v>
      </c>
    </row>
    <row r="7564">
      <c r="A7564" s="24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5" t="n">
        <v>16.556234</v>
      </c>
    </row>
    <row r="7565">
      <c r="A7565" s="24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5" t="n">
        <v>17.239366</v>
      </c>
    </row>
    <row r="7566">
      <c r="A7566" s="24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5" t="n">
        <v>11.295567</v>
      </c>
    </row>
    <row r="7567">
      <c r="A7567" s="24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5" t="n">
        <v>18.889826</v>
      </c>
    </row>
    <row r="7568">
      <c r="A7568" s="24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5" t="n">
        <v>29.078664</v>
      </c>
    </row>
    <row r="7569">
      <c r="A7569" s="24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5" t="n">
        <v>37.385018</v>
      </c>
    </row>
    <row r="7570">
      <c r="A7570" s="24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5" t="n">
        <v>54.083227</v>
      </c>
    </row>
    <row r="7571">
      <c r="A7571" s="24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5" t="n">
        <v>62.875916</v>
      </c>
    </row>
    <row r="7572">
      <c r="A7572" s="24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5" t="n">
        <v>66.040871</v>
      </c>
    </row>
    <row r="7573">
      <c r="A7573" s="24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5" t="n">
        <v>74.70774</v>
      </c>
    </row>
    <row r="7574">
      <c r="A7574" s="24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5" t="n">
        <v>80.418223</v>
      </c>
    </row>
    <row r="7575">
      <c r="A7575" s="24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5" t="n">
        <v>77.307816</v>
      </c>
    </row>
    <row r="7576">
      <c r="A7576" s="24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5" t="n">
        <v>95.526701</v>
      </c>
    </row>
    <row r="7577">
      <c r="A7577" s="24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5" t="n">
        <v>120.414018</v>
      </c>
    </row>
    <row r="7578">
      <c r="A7578" s="24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5" t="n">
        <v>100.007918</v>
      </c>
    </row>
    <row r="7579">
      <c r="A7579" s="24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5" t="n">
        <v>79.35796499999999</v>
      </c>
    </row>
    <row r="7580">
      <c r="A7580" s="24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5" t="n">
        <v>82.52843300000001</v>
      </c>
    </row>
    <row r="7581">
      <c r="A7581" s="24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5" t="n">
        <v>67.17559300000001</v>
      </c>
    </row>
    <row r="7582">
      <c r="A7582" s="24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5" t="n">
        <v>52.171469</v>
      </c>
    </row>
    <row r="7583">
      <c r="A7583" s="24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5" t="n">
        <v>43.762253</v>
      </c>
    </row>
    <row r="7584">
      <c r="A7584" s="24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5" t="n">
        <v>50.989615</v>
      </c>
    </row>
    <row r="7585">
      <c r="A7585" s="24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5" t="n">
        <v>50.580303</v>
      </c>
    </row>
    <row r="7586">
      <c r="A7586" s="24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5" t="n">
        <v>36.462242</v>
      </c>
    </row>
    <row r="7587">
      <c r="A7587" s="24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5" t="n">
        <v>27.876132</v>
      </c>
    </row>
    <row r="7588">
      <c r="A7588" s="24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5" t="n">
        <v>23.821176</v>
      </c>
    </row>
    <row r="7589">
      <c r="A7589" s="24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5" t="n">
        <v>17.914202</v>
      </c>
    </row>
    <row r="7590">
      <c r="A7590" s="24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5" t="n">
        <v>16.246797</v>
      </c>
    </row>
    <row r="7591">
      <c r="A7591" s="24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5" t="n">
        <v>12.924705</v>
      </c>
    </row>
    <row r="7592">
      <c r="A7592" s="24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5" t="n">
        <v>13.970916</v>
      </c>
    </row>
    <row r="7593">
      <c r="A7593" s="24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5" t="n">
        <v>13.912515</v>
      </c>
    </row>
    <row r="7594">
      <c r="A7594" s="24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5" t="n">
        <v>9.923977000000001</v>
      </c>
    </row>
    <row r="7595">
      <c r="A7595" s="24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5" t="n">
        <v>9.428019000000001</v>
      </c>
    </row>
    <row r="7596">
      <c r="A7596" s="24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5" t="n">
        <v>7.140584</v>
      </c>
    </row>
    <row r="7597">
      <c r="A7597" s="24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5" t="n">
        <v>19.608217</v>
      </c>
    </row>
    <row r="7598">
      <c r="A7598" s="24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5" t="n">
        <v>26.180558</v>
      </c>
    </row>
    <row r="7599">
      <c r="A7599" s="24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5" t="n">
        <v>18.743853</v>
      </c>
    </row>
    <row r="7600">
      <c r="A7600" s="24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5" t="n">
        <v>12.452991</v>
      </c>
    </row>
    <row r="7601">
      <c r="A7601" s="24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5" t="n">
        <v>12.080599</v>
      </c>
    </row>
    <row r="7602">
      <c r="A7602" s="24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5" t="n">
        <v>7.453088</v>
      </c>
    </row>
    <row r="7603">
      <c r="A7603" s="24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5" t="n">
        <v>8.035957</v>
      </c>
    </row>
    <row r="7604">
      <c r="A7604" s="24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5" t="n">
        <v>5.380838</v>
      </c>
    </row>
    <row r="7605">
      <c r="A7605" s="24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5" t="n">
        <v>5.332101</v>
      </c>
    </row>
    <row r="7606">
      <c r="A7606" s="24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5" t="n">
        <v>5.708023</v>
      </c>
    </row>
    <row r="7607">
      <c r="A7607" s="24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5" t="n">
        <v>8.284193</v>
      </c>
    </row>
    <row r="7608">
      <c r="A7608" s="24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5" t="n">
        <v>9.072172999999999</v>
      </c>
    </row>
    <row r="7609">
      <c r="A7609" s="24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5" t="n">
        <v>5.119941</v>
      </c>
    </row>
    <row r="7610">
      <c r="A7610" s="24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5" t="n">
        <v>5.398192</v>
      </c>
    </row>
    <row r="7611">
      <c r="A7611" s="24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5" t="n">
        <v>3.346366</v>
      </c>
    </row>
    <row r="7612">
      <c r="A7612" s="24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5" t="n">
        <v>3.725052</v>
      </c>
    </row>
    <row r="7613">
      <c r="A7613" s="24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5" t="n">
        <v>2.332894</v>
      </c>
    </row>
    <row r="7614">
      <c r="A7614" s="24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5" t="n">
        <v>5.633111</v>
      </c>
    </row>
    <row r="7615">
      <c r="A7615" s="24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5" t="n">
        <v>16.289563</v>
      </c>
    </row>
    <row r="7616">
      <c r="A7616" s="24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5" t="n">
        <v>19.084701</v>
      </c>
    </row>
    <row r="7617">
      <c r="A7617" s="24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5" t="n">
        <v>10.463273</v>
      </c>
    </row>
    <row r="7618">
      <c r="A7618" s="24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5" t="n">
        <v>20.210675</v>
      </c>
    </row>
    <row r="7619">
      <c r="A7619" s="24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5" t="n">
        <v>24.674576</v>
      </c>
    </row>
    <row r="7620">
      <c r="A7620" s="24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5" t="n">
        <v>13.854006</v>
      </c>
    </row>
    <row r="7621">
      <c r="A7621" s="24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5" t="n">
        <v>11.342397</v>
      </c>
    </row>
    <row r="7622">
      <c r="A7622" s="24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5" t="n">
        <v>8.977772999999999</v>
      </c>
    </row>
    <row r="7623">
      <c r="A7623" s="24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5" t="n">
        <v>6.201529</v>
      </c>
    </row>
    <row r="7624">
      <c r="A7624" s="24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5" t="n">
        <v>6.020842</v>
      </c>
    </row>
    <row r="7625">
      <c r="A7625" s="24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5" t="n">
        <v>16.030292</v>
      </c>
    </row>
    <row r="7626">
      <c r="A7626" s="24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5" t="n">
        <v>36.122414</v>
      </c>
    </row>
    <row r="7627">
      <c r="A7627" s="24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5" t="n">
        <v>37.044307</v>
      </c>
    </row>
    <row r="7628">
      <c r="A7628" s="24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5" t="n">
        <v>35.608439</v>
      </c>
    </row>
    <row r="7629">
      <c r="A7629" s="24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5" t="n">
        <v>45.934674</v>
      </c>
    </row>
    <row r="7630">
      <c r="A7630" s="24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5" t="n">
        <v>38.297774</v>
      </c>
    </row>
    <row r="7631">
      <c r="A7631" s="24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5" t="n">
        <v>25.289841</v>
      </c>
    </row>
    <row r="7632">
      <c r="A7632" s="24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5" t="n">
        <v>19.773603</v>
      </c>
    </row>
    <row r="7633">
      <c r="A7633" s="24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5" t="n">
        <v>15.560798</v>
      </c>
    </row>
    <row r="7634">
      <c r="A7634" s="24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5" t="n">
        <v>11.643406</v>
      </c>
    </row>
    <row r="7635">
      <c r="A7635" s="24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5" t="n">
        <v>10.361194</v>
      </c>
    </row>
    <row r="7636">
      <c r="A7636" s="24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5" t="n">
        <v>7.581302</v>
      </c>
    </row>
    <row r="7637">
      <c r="A7637" s="24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5" t="n">
        <v>7.148686</v>
      </c>
    </row>
    <row r="7638">
      <c r="A7638" s="24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5" t="n">
        <v>5.407902</v>
      </c>
    </row>
    <row r="7639">
      <c r="A7639" s="24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5" t="n">
        <v>10.635317</v>
      </c>
    </row>
    <row r="7640">
      <c r="A7640" s="24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5" t="n">
        <v>12.17233</v>
      </c>
    </row>
    <row r="7641">
      <c r="A7641" s="24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5" t="n">
        <v>15.617348</v>
      </c>
    </row>
    <row r="7642">
      <c r="A7642" s="24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5" t="n">
        <v>17.563645</v>
      </c>
    </row>
    <row r="7643">
      <c r="A7643" s="24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5" t="n">
        <v>11.600943</v>
      </c>
    </row>
    <row r="7644">
      <c r="A7644" s="24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5" t="n">
        <v>8.625417000000001</v>
      </c>
    </row>
    <row r="7645">
      <c r="A7645" s="24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5" t="n">
        <v>8.609413999999999</v>
      </c>
    </row>
    <row r="7646">
      <c r="A7646" s="24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5" t="n">
        <v>5.849211</v>
      </c>
    </row>
    <row r="7647">
      <c r="A7647" s="24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5" t="n">
        <v>12.635574</v>
      </c>
    </row>
    <row r="7648">
      <c r="A7648" s="24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5" t="n">
        <v>13.87389</v>
      </c>
    </row>
    <row r="7649">
      <c r="A7649" s="24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5" t="n">
        <v>13.78182</v>
      </c>
    </row>
    <row r="7650">
      <c r="A7650" s="24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5" t="n">
        <v>22.862904</v>
      </c>
    </row>
    <row r="7651">
      <c r="A7651" s="24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5" t="n">
        <v>35.133231</v>
      </c>
    </row>
    <row r="7652">
      <c r="A7652" s="24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5" t="n">
        <v>36.310358</v>
      </c>
    </row>
    <row r="7653">
      <c r="A7653" s="24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5" t="n">
        <v>25.997528</v>
      </c>
    </row>
    <row r="7654">
      <c r="A7654" s="24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5" t="n">
        <v>18.460943</v>
      </c>
    </row>
    <row r="7655">
      <c r="A7655" s="24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5" t="n">
        <v>24.434553</v>
      </c>
    </row>
    <row r="7656">
      <c r="A7656" s="24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5" t="n">
        <v>37.748515</v>
      </c>
    </row>
    <row r="7657">
      <c r="A7657" s="24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5" t="n">
        <v>39.723416</v>
      </c>
    </row>
    <row r="7658">
      <c r="A7658" s="24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5" t="n">
        <v>31.814041</v>
      </c>
    </row>
    <row r="7659">
      <c r="A7659" s="24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5" t="n">
        <v>23.897423</v>
      </c>
    </row>
    <row r="7660">
      <c r="A7660" s="24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5" t="n">
        <v>18.087626</v>
      </c>
    </row>
    <row r="7661">
      <c r="A7661" s="24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5" t="n">
        <v>19.416917</v>
      </c>
    </row>
    <row r="7662">
      <c r="A7662" s="24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5" t="n">
        <v>21.911154</v>
      </c>
    </row>
    <row r="7663">
      <c r="A7663" s="24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5" t="n">
        <v>16.305837</v>
      </c>
    </row>
    <row r="7664">
      <c r="A7664" s="24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5" t="n">
        <v>12.333199</v>
      </c>
    </row>
    <row r="7665">
      <c r="A7665" s="24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5" t="n">
        <v>10.263831</v>
      </c>
    </row>
    <row r="7666">
      <c r="A7666" s="24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5" t="n">
        <v>21.184748</v>
      </c>
    </row>
    <row r="7667">
      <c r="A7667" s="24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5" t="n">
        <v>34.503952</v>
      </c>
    </row>
    <row r="7668">
      <c r="A7668" s="24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5" t="n">
        <v>29.834797</v>
      </c>
    </row>
    <row r="7669">
      <c r="A7669" s="24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5" t="n">
        <v>22.367527</v>
      </c>
    </row>
    <row r="7670">
      <c r="A7670" s="24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5" t="n">
        <v>19.481576</v>
      </c>
    </row>
    <row r="7671">
      <c r="A7671" s="24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5" t="n">
        <v>31.357926</v>
      </c>
    </row>
    <row r="7672">
      <c r="A7672" s="24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5" t="n">
        <v>48.837428</v>
      </c>
    </row>
    <row r="7673">
      <c r="A7673" s="24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5" t="n">
        <v>44.32142</v>
      </c>
    </row>
    <row r="7674">
      <c r="A7674" s="24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5" t="n">
        <v>39.057695</v>
      </c>
    </row>
    <row r="7675">
      <c r="A7675" s="24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5" t="n">
        <v>36.051551</v>
      </c>
    </row>
    <row r="7676">
      <c r="A7676" s="24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5" t="n">
        <v>25.198904</v>
      </c>
    </row>
    <row r="7677">
      <c r="A7677" s="24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5" t="n">
        <v>26.015481</v>
      </c>
    </row>
    <row r="7678">
      <c r="A7678" s="24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5" t="n">
        <v>24.041798</v>
      </c>
    </row>
    <row r="7679">
      <c r="A7679" s="24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5" t="n">
        <v>28.629937</v>
      </c>
    </row>
    <row r="7680">
      <c r="A7680" s="24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5" t="n">
        <v>32.396998</v>
      </c>
    </row>
    <row r="7681">
      <c r="A7681" s="24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5" t="n">
        <v>20.822057</v>
      </c>
    </row>
    <row r="7682">
      <c r="A7682" s="24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5" t="n">
        <v>15.607128</v>
      </c>
    </row>
    <row r="7683">
      <c r="A7683" s="24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5" t="n">
        <v>14.510807</v>
      </c>
    </row>
    <row r="7684">
      <c r="A7684" s="24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5" t="n">
        <v>9.265592</v>
      </c>
    </row>
    <row r="7685">
      <c r="A7685" s="24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5" t="n">
        <v>10.038728</v>
      </c>
    </row>
    <row r="7686">
      <c r="A7686" s="24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5" t="n">
        <v>16.225526</v>
      </c>
    </row>
    <row r="7687">
      <c r="A7687" s="24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5" t="n">
        <v>21.621706</v>
      </c>
    </row>
    <row r="7688">
      <c r="A7688" s="24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5" t="n">
        <v>13.79438</v>
      </c>
    </row>
    <row r="7689">
      <c r="A7689" s="24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5" t="n">
        <v>10.051014</v>
      </c>
    </row>
    <row r="7690">
      <c r="A7690" s="24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5" t="n">
        <v>9.929895</v>
      </c>
    </row>
    <row r="7691">
      <c r="A7691" s="24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5" t="n">
        <v>9.733615</v>
      </c>
    </row>
    <row r="7692">
      <c r="A7692" s="24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5" t="n">
        <v>15.784036</v>
      </c>
    </row>
    <row r="7693">
      <c r="A7693" s="24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5" t="n">
        <v>9.981999</v>
      </c>
    </row>
    <row r="7694">
      <c r="A7694" s="24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5" t="n">
        <v>11.419212</v>
      </c>
    </row>
    <row r="7695">
      <c r="A7695" s="24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5" t="n">
        <v>19.837953</v>
      </c>
    </row>
    <row r="7696">
      <c r="A7696" s="24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5" t="n">
        <v>35.344072</v>
      </c>
    </row>
    <row r="7697">
      <c r="A7697" s="24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5" t="n">
        <v>31.645582</v>
      </c>
    </row>
    <row r="7698">
      <c r="A7698" s="24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5" t="n">
        <v>26.531189</v>
      </c>
    </row>
    <row r="7699">
      <c r="A7699" s="24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5" t="n">
        <v>26.603194</v>
      </c>
    </row>
    <row r="7700">
      <c r="A7700" s="24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5" t="n">
        <v>18.758558</v>
      </c>
    </row>
    <row r="7701">
      <c r="A7701" s="24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5" t="n">
        <v>13.594781</v>
      </c>
    </row>
    <row r="7702">
      <c r="A7702" s="24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5" t="n">
        <v>11.873142</v>
      </c>
    </row>
    <row r="7703">
      <c r="A7703" s="24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5" t="n">
        <v>8.324456</v>
      </c>
    </row>
    <row r="7704">
      <c r="A7704" s="24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5" t="n">
        <v>7.675843</v>
      </c>
    </row>
    <row r="7705">
      <c r="A7705" s="24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5" t="n">
        <v>5.975565</v>
      </c>
    </row>
    <row r="7706">
      <c r="A7706" s="24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5" t="n">
        <v>4.927617</v>
      </c>
    </row>
    <row r="7707">
      <c r="A7707" s="24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5" t="n">
        <v>4.73536</v>
      </c>
    </row>
    <row r="7708">
      <c r="A7708" s="24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5" t="n">
        <v>3.174965</v>
      </c>
    </row>
    <row r="7709">
      <c r="A7709" s="24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5" t="n">
        <v>3.882795</v>
      </c>
    </row>
    <row r="7710">
      <c r="A7710" s="24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5" t="n">
        <v>2.125337</v>
      </c>
    </row>
    <row r="7711">
      <c r="A7711" s="24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5" t="n">
        <v>3.152673</v>
      </c>
    </row>
    <row r="7712">
      <c r="A7712" s="24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5" t="n">
        <v>1.549422</v>
      </c>
    </row>
    <row r="7713">
      <c r="A7713" s="24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5" t="n">
        <v>2.476123</v>
      </c>
    </row>
    <row r="7714">
      <c r="A7714" s="24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5" t="n">
        <v>1.26644</v>
      </c>
    </row>
    <row r="7715">
      <c r="A7715" s="24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5" t="n">
        <v>15.588567</v>
      </c>
    </row>
    <row r="7716">
      <c r="A7716" s="24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5" t="n">
        <v>30.380199</v>
      </c>
    </row>
    <row r="7717">
      <c r="A7717" s="24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5" t="n">
        <v>26.961312</v>
      </c>
    </row>
    <row r="7718">
      <c r="A7718" s="24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5" t="n">
        <v>21.53221</v>
      </c>
    </row>
    <row r="7719">
      <c r="A7719" s="24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5" t="n">
        <v>26.82621</v>
      </c>
    </row>
    <row r="7720">
      <c r="A7720" s="24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5" t="n">
        <v>23.25665</v>
      </c>
    </row>
    <row r="7721">
      <c r="A7721" s="24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5" t="n">
        <v>15.435065</v>
      </c>
    </row>
    <row r="7722">
      <c r="A7722" s="24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5" t="n">
        <v>12.124353</v>
      </c>
    </row>
    <row r="7723">
      <c r="A7723" s="24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5" t="n">
        <v>9.414080999999999</v>
      </c>
    </row>
    <row r="7724">
      <c r="A7724" s="24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5" t="n">
        <v>7.497164</v>
      </c>
    </row>
    <row r="7725">
      <c r="A7725" s="24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5" t="n">
        <v>8.752340999999999</v>
      </c>
    </row>
    <row r="7726">
      <c r="A7726" s="24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5" t="n">
        <v>24.902615</v>
      </c>
    </row>
    <row r="7727">
      <c r="A7727" s="24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5" t="n">
        <v>43.801205</v>
      </c>
    </row>
    <row r="7728">
      <c r="A7728" s="24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5" t="n">
        <v>53.887243</v>
      </c>
    </row>
    <row r="7729">
      <c r="A7729" s="24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5" t="n">
        <v>58.321841</v>
      </c>
    </row>
    <row r="7730">
      <c r="A7730" s="24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5" t="n">
        <v>57.271054</v>
      </c>
    </row>
    <row r="7731">
      <c r="A7731" s="24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5" t="n">
        <v>42.234449</v>
      </c>
    </row>
    <row r="7732">
      <c r="A7732" s="24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5" t="n">
        <v>31.537342</v>
      </c>
    </row>
    <row r="7733">
      <c r="A7733" s="24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5" t="n">
        <v>23.65909</v>
      </c>
    </row>
    <row r="7734">
      <c r="A7734" s="24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5" t="n">
        <v>19.189445</v>
      </c>
    </row>
    <row r="7735">
      <c r="A7735" s="24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5" t="n">
        <v>14.786729</v>
      </c>
    </row>
    <row r="7736">
      <c r="A7736" s="24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5" t="n">
        <v>12.378836</v>
      </c>
    </row>
    <row r="7737">
      <c r="A7737" s="24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5" t="n">
        <v>10.115377</v>
      </c>
    </row>
    <row r="7738">
      <c r="A7738" s="24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5" t="n">
        <v>8.323691</v>
      </c>
    </row>
    <row r="7739">
      <c r="A7739" s="24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5" t="n">
        <v>20.537949</v>
      </c>
    </row>
    <row r="7740">
      <c r="A7740" s="24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5" t="n">
        <v>39.444944</v>
      </c>
    </row>
    <row r="7741">
      <c r="A7741" s="24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5" t="n">
        <v>46.371846</v>
      </c>
    </row>
    <row r="7742">
      <c r="A7742" s="24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5" t="n">
        <v>35.765236</v>
      </c>
    </row>
    <row r="7743">
      <c r="A7743" s="24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5" t="n">
        <v>25.689721</v>
      </c>
    </row>
    <row r="7744">
      <c r="A7744" s="24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5" t="n">
        <v>18.651604</v>
      </c>
    </row>
    <row r="7745">
      <c r="A7745" s="24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5" t="n">
        <v>27.701525</v>
      </c>
    </row>
    <row r="7746">
      <c r="A7746" s="24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5" t="n">
        <v>28.09137</v>
      </c>
    </row>
    <row r="7747">
      <c r="A7747" s="24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5" t="n">
        <v>19.016413</v>
      </c>
    </row>
    <row r="7748">
      <c r="A7748" s="24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5" t="n">
        <v>13.78223</v>
      </c>
    </row>
    <row r="7749">
      <c r="A7749" s="24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5" t="n">
        <v>12.868424</v>
      </c>
    </row>
    <row r="7750">
      <c r="A7750" s="24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5" t="n">
        <v>8.436662999999999</v>
      </c>
    </row>
    <row r="7751">
      <c r="A7751" s="24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5" t="n">
        <v>8.602387</v>
      </c>
    </row>
    <row r="7752">
      <c r="A7752" s="24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5" t="n">
        <v>6.237617</v>
      </c>
    </row>
    <row r="7753">
      <c r="A7753" s="24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5" t="n">
        <v>11.274044</v>
      </c>
    </row>
    <row r="7754">
      <c r="A7754" s="24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5" t="n">
        <v>13.266664</v>
      </c>
    </row>
    <row r="7755">
      <c r="A7755" s="24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5" t="n">
        <v>13.976866</v>
      </c>
    </row>
    <row r="7756">
      <c r="A7756" s="24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5" t="n">
        <v>20.676191</v>
      </c>
    </row>
    <row r="7757">
      <c r="A7757" s="24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5" t="n">
        <v>31.435318</v>
      </c>
    </row>
    <row r="7758">
      <c r="A7758" s="24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5" t="n">
        <v>44.019142</v>
      </c>
    </row>
    <row r="7759">
      <c r="A7759" s="24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5" t="n">
        <v>35.714923</v>
      </c>
    </row>
    <row r="7760">
      <c r="A7760" s="24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5" t="n">
        <v>22.754049</v>
      </c>
    </row>
    <row r="7761">
      <c r="A7761" s="24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5" t="n">
        <v>30.752918</v>
      </c>
    </row>
    <row r="7762">
      <c r="A7762" s="24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5" t="n">
        <v>37.217759</v>
      </c>
    </row>
    <row r="7763">
      <c r="A7763" s="24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5" t="n">
        <v>28.603188</v>
      </c>
    </row>
    <row r="7764">
      <c r="A7764" s="24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5" t="n">
        <v>19.989865</v>
      </c>
    </row>
    <row r="7765">
      <c r="A7765" s="24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5" t="n">
        <v>18.413075</v>
      </c>
    </row>
    <row r="7766">
      <c r="A7766" s="24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5" t="n">
        <v>16.425101</v>
      </c>
    </row>
    <row r="7767">
      <c r="A7767" s="24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5" t="n">
        <v>22.753725</v>
      </c>
    </row>
    <row r="7768">
      <c r="A7768" s="24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5" t="n">
        <v>23.88756</v>
      </c>
    </row>
    <row r="7769">
      <c r="A7769" s="24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5" t="n">
        <v>15.48817</v>
      </c>
    </row>
    <row r="7770">
      <c r="A7770" s="24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5" t="n">
        <v>11.788032</v>
      </c>
    </row>
    <row r="7771">
      <c r="A7771" s="24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5" t="n">
        <v>10.720532</v>
      </c>
    </row>
    <row r="7772">
      <c r="A7772" s="24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5" t="n">
        <v>7.013532</v>
      </c>
    </row>
    <row r="7773">
      <c r="A7773" s="24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5" t="n">
        <v>7.513359</v>
      </c>
    </row>
    <row r="7774">
      <c r="A7774" s="24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5" t="n">
        <v>4.895683</v>
      </c>
    </row>
    <row r="7775">
      <c r="A7775" s="24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5" t="n">
        <v>5.228003</v>
      </c>
    </row>
    <row r="7776">
      <c r="A7776" s="24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5" t="n">
        <v>3.810388</v>
      </c>
    </row>
    <row r="7777">
      <c r="A7777" s="24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5" t="n">
        <v>18.609535</v>
      </c>
    </row>
    <row r="7778">
      <c r="A7778" s="24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5" t="n">
        <v>30.341603</v>
      </c>
    </row>
    <row r="7779">
      <c r="A7779" s="24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5" t="n">
        <v>23.52096</v>
      </c>
    </row>
    <row r="7780">
      <c r="A7780" s="24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5" t="n">
        <v>19.135632</v>
      </c>
    </row>
    <row r="7781">
      <c r="A7781" s="24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5" t="n">
        <v>17.063345</v>
      </c>
    </row>
    <row r="7782">
      <c r="A7782" s="24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5" t="n">
        <v>10.87394</v>
      </c>
    </row>
    <row r="7783">
      <c r="A7783" s="24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5" t="n">
        <v>9.754885</v>
      </c>
    </row>
    <row r="7784">
      <c r="A7784" s="24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5" t="n">
        <v>7.14321</v>
      </c>
    </row>
    <row r="7785">
      <c r="A7785" s="24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5" t="n">
        <v>5.967488</v>
      </c>
    </row>
    <row r="7786">
      <c r="A7786" s="24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5" t="n">
        <v>5.173584</v>
      </c>
    </row>
    <row r="7787">
      <c r="A7787" s="24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5" t="n">
        <v>3.850655</v>
      </c>
    </row>
    <row r="7788">
      <c r="A7788" s="24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5" t="n">
        <v>5.587914</v>
      </c>
    </row>
    <row r="7789">
      <c r="A7789" s="24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5" t="n">
        <v>7.397896</v>
      </c>
    </row>
    <row r="7790">
      <c r="A7790" s="24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5" t="n">
        <v>7.592897</v>
      </c>
    </row>
    <row r="7791">
      <c r="A7791" s="24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5" t="n">
        <v>4.534851</v>
      </c>
    </row>
    <row r="7792">
      <c r="A7792" s="24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5" t="n">
        <v>5.558524</v>
      </c>
    </row>
    <row r="7793">
      <c r="A7793" s="24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5" t="n">
        <v>4.860134</v>
      </c>
    </row>
    <row r="7794">
      <c r="A7794" s="24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5" t="n">
        <v>3.683434</v>
      </c>
    </row>
    <row r="7795">
      <c r="A7795" s="24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5" t="n">
        <v>2.912342</v>
      </c>
    </row>
    <row r="7796">
      <c r="A7796" s="24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5" t="n">
        <v>2.544229</v>
      </c>
    </row>
    <row r="7797">
      <c r="A7797" s="24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5" t="n">
        <v>2.008297</v>
      </c>
    </row>
    <row r="7798">
      <c r="A7798" s="24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5" t="n">
        <v>1.813526</v>
      </c>
    </row>
    <row r="7799">
      <c r="A7799" s="24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5" t="n">
        <v>1.511834</v>
      </c>
    </row>
    <row r="7800">
      <c r="A7800" s="24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5" t="n">
        <v>4.34346</v>
      </c>
    </row>
    <row r="7801">
      <c r="A7801" s="24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5" t="n">
        <v>5.520789</v>
      </c>
    </row>
    <row r="7802">
      <c r="A7802" s="24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5" t="n">
        <v>3.186071</v>
      </c>
    </row>
    <row r="7803">
      <c r="A7803" s="24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5" t="n">
        <v>2.499717</v>
      </c>
    </row>
    <row r="7804">
      <c r="A7804" s="24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5" t="n">
        <v>13.828363</v>
      </c>
    </row>
    <row r="7805">
      <c r="A7805" s="24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5" t="n">
        <v>28.094101</v>
      </c>
    </row>
    <row r="7806">
      <c r="A7806" s="24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5" t="n">
        <v>40.43417</v>
      </c>
    </row>
    <row r="7807">
      <c r="A7807" s="24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5" t="n">
        <v>51.223655</v>
      </c>
    </row>
    <row r="7808">
      <c r="A7808" s="24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5" t="n">
        <v>44.797575</v>
      </c>
    </row>
    <row r="7809">
      <c r="A7809" s="24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5" t="n">
        <v>38.357442</v>
      </c>
    </row>
    <row r="7810">
      <c r="A7810" s="24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5" t="n">
        <v>46.520498</v>
      </c>
    </row>
    <row r="7811">
      <c r="A7811" s="24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5" t="n">
        <v>44.425931</v>
      </c>
    </row>
    <row r="7812">
      <c r="A7812" s="24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5" t="n">
        <v>43.348178</v>
      </c>
    </row>
    <row r="7813">
      <c r="A7813" s="24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5" t="n">
        <v>47.649698</v>
      </c>
    </row>
    <row r="7814">
      <c r="A7814" s="24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5" t="n">
        <v>44.959274</v>
      </c>
    </row>
    <row r="7815">
      <c r="A7815" s="24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5" t="n">
        <v>37.531193</v>
      </c>
    </row>
    <row r="7816">
      <c r="A7816" s="24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5" t="n">
        <v>25.512651</v>
      </c>
    </row>
    <row r="7817">
      <c r="A7817" s="24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5" t="n">
        <v>20.864631</v>
      </c>
    </row>
    <row r="7818">
      <c r="A7818" s="24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5" t="n">
        <v>16.253137</v>
      </c>
    </row>
    <row r="7819">
      <c r="A7819" s="24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5" t="n">
        <v>12.935082</v>
      </c>
    </row>
    <row r="7820">
      <c r="A7820" s="24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5" t="n">
        <v>21.469033</v>
      </c>
    </row>
    <row r="7821">
      <c r="A7821" s="24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5" t="n">
        <v>23.349314</v>
      </c>
    </row>
    <row r="7822">
      <c r="A7822" s="24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5" t="n">
        <v>15.548805</v>
      </c>
    </row>
    <row r="7823">
      <c r="A7823" s="24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5" t="n">
        <v>11.649622</v>
      </c>
    </row>
    <row r="7824">
      <c r="A7824" s="24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5" t="n">
        <v>11.393788</v>
      </c>
    </row>
    <row r="7825">
      <c r="A7825" s="24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5" t="n">
        <v>7.06917</v>
      </c>
    </row>
    <row r="7826">
      <c r="A7826" s="24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5" t="n">
        <v>9.893165</v>
      </c>
    </row>
    <row r="7827">
      <c r="A7827" s="24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5" t="n">
        <v>15.951268</v>
      </c>
    </row>
    <row r="7828">
      <c r="A7828" s="24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5" t="n">
        <v>20.512567</v>
      </c>
    </row>
    <row r="7829">
      <c r="A7829" s="24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5" t="n">
        <v>29.520156</v>
      </c>
    </row>
    <row r="7830">
      <c r="A7830" s="24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5" t="n">
        <v>38.990866</v>
      </c>
    </row>
    <row r="7831">
      <c r="A7831" s="24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5" t="n">
        <v>41.982296</v>
      </c>
    </row>
    <row r="7832">
      <c r="A7832" s="24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5" t="n">
        <v>35.546396</v>
      </c>
    </row>
    <row r="7833">
      <c r="A7833" s="24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5" t="n">
        <v>26.265763</v>
      </c>
    </row>
    <row r="7834">
      <c r="A7834" s="24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5" t="n">
        <v>16.821713</v>
      </c>
    </row>
    <row r="7835">
      <c r="A7835" s="24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5" t="n">
        <v>19.676266</v>
      </c>
    </row>
    <row r="7836">
      <c r="A7836" s="24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5" t="n">
        <v>13.786371</v>
      </c>
    </row>
    <row r="7837">
      <c r="A7837" s="24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5" t="n">
        <v>12.901687</v>
      </c>
    </row>
    <row r="7838">
      <c r="A7838" s="24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5" t="n">
        <v>8.545821</v>
      </c>
    </row>
    <row r="7839">
      <c r="A7839" s="24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5" t="n">
        <v>8.191025</v>
      </c>
    </row>
    <row r="7840">
      <c r="A7840" s="24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5" t="n">
        <v>6.471774</v>
      </c>
    </row>
    <row r="7841">
      <c r="A7841" s="24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5" t="n">
        <v>5.088689</v>
      </c>
    </row>
    <row r="7842">
      <c r="A7842" s="24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5" t="n">
        <v>5.364588</v>
      </c>
    </row>
    <row r="7843">
      <c r="A7843" s="24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5" t="n">
        <v>4.403151</v>
      </c>
    </row>
    <row r="7844">
      <c r="A7844" s="24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5" t="n">
        <v>21.219927</v>
      </c>
    </row>
    <row r="7845">
      <c r="A7845" s="24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5" t="n">
        <v>39.442533</v>
      </c>
    </row>
    <row r="7846">
      <c r="A7846" s="24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5" t="n">
        <v>42.511947</v>
      </c>
    </row>
    <row r="7847">
      <c r="A7847" s="24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5" t="n">
        <v>29.008751</v>
      </c>
    </row>
    <row r="7848">
      <c r="A7848" s="24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5" t="n">
        <v>23.811607</v>
      </c>
    </row>
    <row r="7849">
      <c r="A7849" s="24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5" t="n">
        <v>17.852824</v>
      </c>
    </row>
    <row r="7850">
      <c r="A7850" s="24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5" t="n">
        <v>14.378575</v>
      </c>
    </row>
    <row r="7851">
      <c r="A7851" s="24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5" t="n">
        <v>10.621218</v>
      </c>
    </row>
    <row r="7852">
      <c r="A7852" s="24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5" t="n">
        <v>15.778684</v>
      </c>
    </row>
    <row r="7853">
      <c r="A7853" s="24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5" t="n">
        <v>17.852747</v>
      </c>
    </row>
    <row r="7854">
      <c r="A7854" s="24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5" t="n">
        <v>12.10372</v>
      </c>
    </row>
    <row r="7855">
      <c r="A7855" s="24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5" t="n">
        <v>9.626225</v>
      </c>
    </row>
    <row r="7856">
      <c r="A7856" s="24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5" t="n">
        <v>7.655261</v>
      </c>
    </row>
    <row r="7857">
      <c r="A7857" s="24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5" t="n">
        <v>6.300876</v>
      </c>
    </row>
    <row r="7858">
      <c r="A7858" s="24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5" t="n">
        <v>18.549543</v>
      </c>
    </row>
    <row r="7859">
      <c r="A7859" s="24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5" t="n">
        <v>40.475392</v>
      </c>
    </row>
    <row r="7860">
      <c r="A7860" s="24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5" t="n">
        <v>50.638578</v>
      </c>
    </row>
    <row r="7861">
      <c r="A7861" s="24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5" t="n">
        <v>56.008534</v>
      </c>
    </row>
    <row r="7862">
      <c r="A7862" s="24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5" t="n">
        <v>61.202195</v>
      </c>
    </row>
    <row r="7863">
      <c r="A7863" s="24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5" t="n">
        <v>53.557378</v>
      </c>
    </row>
    <row r="7864">
      <c r="A7864" s="24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5" t="n">
        <v>43.518701</v>
      </c>
    </row>
    <row r="7865">
      <c r="A7865" s="24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5" t="n">
        <v>54.598727</v>
      </c>
    </row>
    <row r="7866">
      <c r="A7866" s="24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5" t="n">
        <v>66.51495799999999</v>
      </c>
    </row>
    <row r="7867">
      <c r="A7867" s="24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5" t="n">
        <v>825.981769</v>
      </c>
    </row>
    <row r="7868">
      <c r="A7868" s="24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5" t="n">
        <v>1539.581026</v>
      </c>
    </row>
    <row r="7869">
      <c r="A7869" s="24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5" t="n">
        <v>780.513924</v>
      </c>
    </row>
    <row r="7870">
      <c r="A7870" s="24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5" t="n">
        <v>98.195365</v>
      </c>
    </row>
    <row r="7871">
      <c r="A7871" s="24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5" t="n">
        <v>194.383294</v>
      </c>
    </row>
    <row r="7872">
      <c r="A7872" s="24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5" t="n">
        <v>74.415408</v>
      </c>
    </row>
    <row r="7873">
      <c r="A7873" s="24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5" t="n">
        <v>78.785865</v>
      </c>
    </row>
    <row r="7874">
      <c r="A7874" s="24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5" t="n">
        <v>104.265474</v>
      </c>
    </row>
    <row r="7875">
      <c r="A7875" s="24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5" t="n">
        <v>55.050571</v>
      </c>
    </row>
    <row r="7876">
      <c r="A7876" s="24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5" t="n">
        <v>109.146072</v>
      </c>
    </row>
    <row r="7877">
      <c r="A7877" s="24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5" t="n">
        <v>45.960565</v>
      </c>
    </row>
    <row r="7878">
      <c r="A7878" s="24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5" t="n">
        <v>68.4336</v>
      </c>
    </row>
    <row r="7879">
      <c r="A7879" s="24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5" t="n">
        <v>27.231842</v>
      </c>
    </row>
    <row r="7880">
      <c r="A7880" s="24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5" t="n">
        <v>39.051538</v>
      </c>
    </row>
    <row r="7881">
      <c r="A7881" s="24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5" t="n">
        <v>25.231463</v>
      </c>
    </row>
    <row r="7882">
      <c r="A7882" s="24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5" t="n">
        <v>30.312129</v>
      </c>
    </row>
    <row r="7883">
      <c r="A7883" s="24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5" t="n">
        <v>35.981057</v>
      </c>
    </row>
    <row r="7884">
      <c r="A7884" s="24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5" t="n">
        <v>17.695367</v>
      </c>
    </row>
    <row r="7885">
      <c r="A7885" s="24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5" t="n">
        <v>26.913515</v>
      </c>
    </row>
    <row r="7886">
      <c r="A7886" s="24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5" t="n">
        <v>7.831172</v>
      </c>
    </row>
    <row r="7887">
      <c r="A7887" s="24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5" t="n">
        <v>21.253822</v>
      </c>
    </row>
    <row r="7888">
      <c r="A7888" s="24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5" t="n">
        <v>4.632914</v>
      </c>
    </row>
    <row r="7889">
      <c r="A7889" s="24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5" t="n">
        <v>15.544768</v>
      </c>
    </row>
    <row r="7890">
      <c r="A7890" s="24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5" t="n">
        <v>4.635315</v>
      </c>
    </row>
    <row r="7891">
      <c r="A7891" s="24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5" t="n">
        <v>21.918164</v>
      </c>
    </row>
    <row r="7892">
      <c r="A7892" s="24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5" t="n">
        <v>39.607776</v>
      </c>
    </row>
    <row r="7893">
      <c r="A7893" s="24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5" t="n">
        <v>69.207472</v>
      </c>
    </row>
    <row r="7894">
      <c r="A7894" s="24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5" t="n">
        <v>83.262919</v>
      </c>
    </row>
    <row r="7895">
      <c r="A7895" s="24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5" t="n">
        <v>73.78305899999999</v>
      </c>
    </row>
    <row r="7896">
      <c r="A7896" s="24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5" t="n">
        <v>72.816862</v>
      </c>
    </row>
    <row r="7897">
      <c r="A7897" s="24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5" t="n">
        <v>75.203619</v>
      </c>
    </row>
    <row r="7898">
      <c r="A7898" s="24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5" t="n">
        <v>76.750799</v>
      </c>
    </row>
    <row r="7899">
      <c r="A7899" s="24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5" t="n">
        <v>65.638927</v>
      </c>
    </row>
    <row r="7900">
      <c r="A7900" s="24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5" t="n">
        <v>58.101847</v>
      </c>
    </row>
    <row r="7901">
      <c r="A7901" s="24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5" t="n">
        <v>41.354695</v>
      </c>
    </row>
    <row r="7902">
      <c r="A7902" s="24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5" t="n">
        <v>58.105584</v>
      </c>
    </row>
    <row r="7903">
      <c r="A7903" s="24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5" t="n">
        <v>62.988662</v>
      </c>
    </row>
    <row r="7904">
      <c r="A7904" s="24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5" t="n">
        <v>74.869899</v>
      </c>
    </row>
    <row r="7905">
      <c r="A7905" s="24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5" t="n">
        <v>71.50591900000001</v>
      </c>
    </row>
    <row r="7906">
      <c r="A7906" s="24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5" t="n">
        <v>77.489867</v>
      </c>
    </row>
    <row r="7907">
      <c r="A7907" s="24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5" t="n">
        <v>72.36762899999999</v>
      </c>
    </row>
    <row r="7908">
      <c r="A7908" s="24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5" t="n">
        <v>59.857309</v>
      </c>
    </row>
    <row r="7909">
      <c r="A7909" s="24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5" t="n">
        <v>41.384298</v>
      </c>
    </row>
    <row r="7910">
      <c r="A7910" s="24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5" t="n">
        <v>34.047775</v>
      </c>
    </row>
    <row r="7911">
      <c r="A7911" s="24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5" t="n">
        <v>41.226454</v>
      </c>
    </row>
    <row r="7912">
      <c r="A7912" s="24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5" t="n">
        <v>51.959635</v>
      </c>
    </row>
    <row r="7913">
      <c r="A7913" s="24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5" t="n">
        <v>44.936231</v>
      </c>
    </row>
    <row r="7914">
      <c r="A7914" s="24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5" t="n">
        <v>28.276267</v>
      </c>
    </row>
    <row r="7915">
      <c r="A7915" s="24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5" t="n">
        <v>27.224222</v>
      </c>
    </row>
    <row r="7916">
      <c r="A7916" s="24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5" t="n">
        <v>17.89612</v>
      </c>
    </row>
    <row r="7917">
      <c r="A7917" s="24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5" t="n">
        <v>30.160776</v>
      </c>
    </row>
    <row r="7918">
      <c r="A7918" s="24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5" t="n">
        <v>34.439316</v>
      </c>
    </row>
    <row r="7919">
      <c r="A7919" s="24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5" t="n">
        <v>30.367601</v>
      </c>
    </row>
    <row r="7920">
      <c r="A7920" s="24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5" t="n">
        <v>20.002443</v>
      </c>
    </row>
    <row r="7921">
      <c r="A7921" s="24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5" t="n">
        <v>19.319252</v>
      </c>
    </row>
    <row r="7922">
      <c r="A7922" s="24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5" t="n">
        <v>26.983928</v>
      </c>
    </row>
    <row r="7923">
      <c r="A7923" s="24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5" t="n">
        <v>41.486019</v>
      </c>
    </row>
    <row r="7924">
      <c r="A7924" s="24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5" t="n">
        <v>44.35032</v>
      </c>
    </row>
    <row r="7925">
      <c r="A7925" s="24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5" t="n">
        <v>56.508773</v>
      </c>
    </row>
    <row r="7926">
      <c r="A7926" s="24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5" t="n">
        <v>50.552492</v>
      </c>
    </row>
    <row r="7927">
      <c r="A7927" s="24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5" t="n">
        <v>37.806765</v>
      </c>
    </row>
    <row r="7928">
      <c r="A7928" s="24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5" t="n">
        <v>45.776095</v>
      </c>
    </row>
    <row r="7929">
      <c r="A7929" s="24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5" t="n">
        <v>58.746736</v>
      </c>
    </row>
    <row r="7930">
      <c r="A7930" s="24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5" t="n">
        <v>64.72609300000001</v>
      </c>
    </row>
    <row r="7931">
      <c r="A7931" s="24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5" t="n">
        <v>52.915444</v>
      </c>
    </row>
    <row r="7932">
      <c r="A7932" s="24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5" t="n">
        <v>37.325002</v>
      </c>
    </row>
    <row r="7933">
      <c r="A7933" s="24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5" t="n">
        <v>28.283675</v>
      </c>
    </row>
    <row r="7934">
      <c r="A7934" s="24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5" t="n">
        <v>36.543785</v>
      </c>
    </row>
    <row r="7935">
      <c r="A7935" s="24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5" t="n">
        <v>51.833775</v>
      </c>
    </row>
    <row r="7936">
      <c r="A7936" s="24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5" t="n">
        <v>61.877007</v>
      </c>
    </row>
    <row r="7937">
      <c r="A7937" s="24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5" t="n">
        <v>53.123608</v>
      </c>
    </row>
    <row r="7938">
      <c r="A7938" s="24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5" t="n">
        <v>50.773539</v>
      </c>
    </row>
    <row r="7939">
      <c r="A7939" s="24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5" t="n">
        <v>45.372817</v>
      </c>
    </row>
    <row r="7940">
      <c r="A7940" s="24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5" t="n">
        <v>39.164711</v>
      </c>
    </row>
    <row r="7941">
      <c r="A7941" s="24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5" t="n">
        <v>32.814576</v>
      </c>
    </row>
    <row r="7942">
      <c r="A7942" s="24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5" t="n">
        <v>26.122638</v>
      </c>
    </row>
    <row r="7943">
      <c r="A7943" s="24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5" t="n">
        <v>31.262277</v>
      </c>
    </row>
    <row r="7944">
      <c r="A7944" s="24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5" t="n">
        <v>51.298824</v>
      </c>
    </row>
    <row r="7945">
      <c r="A7945" s="24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5" t="n">
        <v>48.199705</v>
      </c>
    </row>
    <row r="7946">
      <c r="A7946" s="24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5" t="n">
        <v>37.211962</v>
      </c>
    </row>
    <row r="7947">
      <c r="A7947" s="24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5" t="n">
        <v>27.95</v>
      </c>
    </row>
    <row r="7948">
      <c r="A7948" s="24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5" t="n">
        <v>24.03233</v>
      </c>
    </row>
    <row r="7949">
      <c r="A7949" s="24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5" t="n">
        <v>33.847247</v>
      </c>
    </row>
    <row r="7950">
      <c r="A7950" s="24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5" t="n">
        <v>36.519661</v>
      </c>
    </row>
    <row r="7951">
      <c r="A7951" s="24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5" t="n">
        <v>23.958965</v>
      </c>
    </row>
    <row r="7952">
      <c r="A7952" s="24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5" t="n">
        <v>18.105502</v>
      </c>
    </row>
    <row r="7953">
      <c r="A7953" s="24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5" t="n">
        <v>16.525596</v>
      </c>
    </row>
    <row r="7954">
      <c r="A7954" s="24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5" t="n">
        <v>11.044875</v>
      </c>
    </row>
    <row r="7955">
      <c r="A7955" s="24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5" t="n">
        <v>13.316853</v>
      </c>
    </row>
    <row r="7956">
      <c r="A7956" s="24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5" t="n">
        <v>22.507101</v>
      </c>
    </row>
    <row r="7957">
      <c r="A7957" s="24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5" t="n">
        <v>40.188201</v>
      </c>
    </row>
    <row r="7958">
      <c r="A7958" s="24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5" t="n">
        <v>36.876389</v>
      </c>
    </row>
    <row r="7959">
      <c r="A7959" s="24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5" t="n">
        <v>25.001737</v>
      </c>
    </row>
    <row r="7960">
      <c r="A7960" s="24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5" t="n">
        <v>23.699307</v>
      </c>
    </row>
    <row r="7961">
      <c r="A7961" s="24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5" t="n">
        <v>17.16834</v>
      </c>
    </row>
    <row r="7962">
      <c r="A7962" s="24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5" t="n">
        <v>13.767703</v>
      </c>
    </row>
    <row r="7963">
      <c r="A7963" s="24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5" t="n">
        <v>11.052854</v>
      </c>
    </row>
    <row r="7964">
      <c r="A7964" s="24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5" t="n">
        <v>8.998034000000001</v>
      </c>
    </row>
    <row r="7965">
      <c r="A7965" s="24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5" t="n">
        <v>7.598057</v>
      </c>
    </row>
    <row r="7966">
      <c r="A7966" s="24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5" t="n">
        <v>6.316151</v>
      </c>
    </row>
    <row r="7967">
      <c r="A7967" s="24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5" t="n">
        <v>5.540724</v>
      </c>
    </row>
    <row r="7968">
      <c r="A7968" s="24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5" t="n">
        <v>4.550493</v>
      </c>
    </row>
    <row r="7969">
      <c r="A7969" s="24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5" t="n">
        <v>4.309078</v>
      </c>
    </row>
    <row r="7970">
      <c r="A7970" s="24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5" t="n">
        <v>3.254968</v>
      </c>
    </row>
    <row r="7971">
      <c r="A7971" s="24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5" t="n">
        <v>3.557086</v>
      </c>
    </row>
    <row r="7972">
      <c r="A7972" s="24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5" t="n">
        <v>2.265</v>
      </c>
    </row>
    <row r="7973">
      <c r="A7973" s="24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5" t="n">
        <v>3.058241</v>
      </c>
    </row>
    <row r="7974">
      <c r="A7974" s="24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5" t="n">
        <v>1.522603</v>
      </c>
    </row>
    <row r="7975">
      <c r="A7975" s="24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5" t="n">
        <v>2.668987</v>
      </c>
    </row>
    <row r="7976">
      <c r="A7976" s="24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5" t="n">
        <v>1.000954</v>
      </c>
    </row>
    <row r="7977">
      <c r="A7977" s="24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5" t="n">
        <v>2.346891</v>
      </c>
    </row>
    <row r="7978">
      <c r="A7978" s="24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5" t="n">
        <v>0.747765</v>
      </c>
    </row>
    <row r="7979">
      <c r="A7979" s="24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5" t="n">
        <v>1.94448</v>
      </c>
    </row>
    <row r="7980">
      <c r="A7980" s="24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5" t="n">
        <v>3.059152</v>
      </c>
    </row>
    <row r="7981">
      <c r="A7981" s="24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5" t="n">
        <v>5.086512</v>
      </c>
    </row>
    <row r="7982">
      <c r="A7982" s="24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5" t="n">
        <v>2.381177</v>
      </c>
    </row>
    <row r="7983">
      <c r="A7983" s="24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5" t="n">
        <v>2.359045</v>
      </c>
    </row>
    <row r="7984">
      <c r="A7984" s="24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5" t="n">
        <v>1.854072</v>
      </c>
    </row>
    <row r="7985">
      <c r="A7985" s="24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5" t="n">
        <v>1.249668</v>
      </c>
    </row>
    <row r="7986">
      <c r="A7986" s="24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5" t="n">
        <v>1.490203</v>
      </c>
    </row>
    <row r="7987">
      <c r="A7987" s="24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5" t="n">
        <v>2.941366</v>
      </c>
    </row>
    <row r="7988">
      <c r="A7988" s="24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5" t="n">
        <v>4.406985</v>
      </c>
    </row>
    <row r="7989">
      <c r="A7989" s="24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5" t="n">
        <v>2.028106</v>
      </c>
    </row>
    <row r="7990">
      <c r="A7990" s="24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5" t="n">
        <v>2.183029</v>
      </c>
    </row>
    <row r="7991">
      <c r="A7991" s="24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5" t="n">
        <v>1.297134</v>
      </c>
    </row>
    <row r="7992">
      <c r="A7992" s="24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5" t="n">
        <v>1.426387</v>
      </c>
    </row>
    <row r="7993">
      <c r="A7993" s="24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5" t="n">
        <v>0.736775</v>
      </c>
    </row>
    <row r="7994">
      <c r="A7994" s="24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5" t="n">
        <v>1.426615</v>
      </c>
    </row>
    <row r="7995">
      <c r="A7995" s="24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5" t="n">
        <v>5.423799</v>
      </c>
    </row>
    <row r="7996">
      <c r="A7996" s="24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5" t="n">
        <v>18.025166</v>
      </c>
    </row>
    <row r="7997">
      <c r="A7997" s="24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5" t="n">
        <v>17.594799</v>
      </c>
    </row>
    <row r="7998">
      <c r="A7998" s="24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5" t="n">
        <v>14.565466</v>
      </c>
    </row>
    <row r="7999">
      <c r="A7999" s="24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5" t="n">
        <v>21.703002</v>
      </c>
    </row>
    <row r="8000">
      <c r="A8000" s="24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5" t="n">
        <v>22.378308</v>
      </c>
    </row>
    <row r="8001">
      <c r="A8001" s="24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5" t="n">
        <v>12.020365</v>
      </c>
    </row>
    <row r="8002">
      <c r="A8002" s="24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5" t="n">
        <v>11.053243</v>
      </c>
    </row>
    <row r="8003">
      <c r="A8003" s="24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5" t="n">
        <v>7.42165</v>
      </c>
    </row>
    <row r="8004">
      <c r="A8004" s="24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5" t="n">
        <v>6.191414</v>
      </c>
    </row>
    <row r="8005">
      <c r="A8005" s="24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5" t="n">
        <v>5.028482</v>
      </c>
    </row>
    <row r="8006">
      <c r="A8006" s="24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5" t="n">
        <v>3.801367</v>
      </c>
    </row>
    <row r="8007">
      <c r="A8007" s="24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5" t="n">
        <v>3.558021</v>
      </c>
    </row>
    <row r="8008">
      <c r="A8008" s="24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5" t="n">
        <v>3.002826</v>
      </c>
    </row>
    <row r="8009">
      <c r="A8009" s="24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5" t="n">
        <v>18.104372</v>
      </c>
    </row>
    <row r="8010">
      <c r="A8010" s="24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5" t="n">
        <v>33.23716</v>
      </c>
    </row>
    <row r="8011">
      <c r="A8011" s="24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5" t="n">
        <v>31.191728</v>
      </c>
    </row>
    <row r="8012">
      <c r="A8012" s="24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5" t="n">
        <v>36.698981</v>
      </c>
    </row>
    <row r="8013">
      <c r="A8013" s="24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5" t="n">
        <v>40.13795</v>
      </c>
    </row>
    <row r="8014">
      <c r="A8014" s="24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5" t="n">
        <v>25.169881</v>
      </c>
    </row>
    <row r="8015">
      <c r="A8015" s="24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5" t="n">
        <v>19.388986</v>
      </c>
    </row>
    <row r="8016">
      <c r="A8016" s="24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5" t="n">
        <v>15.331935</v>
      </c>
    </row>
    <row r="8017">
      <c r="A8017" s="24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5" t="n">
        <v>10.879987</v>
      </c>
    </row>
    <row r="8018">
      <c r="A8018" s="24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5" t="n">
        <v>9.960777999999999</v>
      </c>
    </row>
    <row r="8019">
      <c r="A8019" s="24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5" t="n">
        <v>7.057528</v>
      </c>
    </row>
    <row r="8020">
      <c r="A8020" s="24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5" t="n">
        <v>20.3247</v>
      </c>
    </row>
    <row r="8021">
      <c r="A8021" s="24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5" t="n">
        <v>34.947262</v>
      </c>
    </row>
    <row r="8022">
      <c r="A8022" s="24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5" t="n">
        <v>28.182176</v>
      </c>
    </row>
    <row r="8023">
      <c r="A8023" s="24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5" t="n">
        <v>18.905872</v>
      </c>
    </row>
    <row r="8024">
      <c r="A8024" s="24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5" t="n">
        <v>17.592808</v>
      </c>
    </row>
    <row r="8025">
      <c r="A8025" s="24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5" t="n">
        <v>15.573207</v>
      </c>
    </row>
    <row r="8026">
      <c r="A8026" s="24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5" t="n">
        <v>21.960305</v>
      </c>
    </row>
    <row r="8027">
      <c r="A8027" s="24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5" t="n">
        <v>24.601261</v>
      </c>
    </row>
    <row r="8028">
      <c r="A8028" s="24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5" t="n">
        <v>27.546075</v>
      </c>
    </row>
    <row r="8029">
      <c r="A8029" s="24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5" t="n">
        <v>46.512148</v>
      </c>
    </row>
    <row r="8030">
      <c r="A8030" s="24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5" t="n">
        <v>55.418641</v>
      </c>
    </row>
    <row r="8031">
      <c r="A8031" s="24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5" t="n">
        <v>48.08447</v>
      </c>
    </row>
    <row r="8032">
      <c r="A8032" s="24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5" t="n">
        <v>34.736782</v>
      </c>
    </row>
    <row r="8033">
      <c r="A8033" s="24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5" t="n">
        <v>24.670956</v>
      </c>
    </row>
    <row r="8034">
      <c r="A8034" s="24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5" t="n">
        <v>26.888524</v>
      </c>
    </row>
    <row r="8035">
      <c r="A8035" s="24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5" t="n">
        <v>39.593376</v>
      </c>
    </row>
    <row r="8036">
      <c r="A8036" s="24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5" t="n">
        <v>54.79033</v>
      </c>
    </row>
    <row r="8037">
      <c r="A8037" s="24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5" t="n">
        <v>51.95582</v>
      </c>
    </row>
    <row r="8038">
      <c r="A8038" s="24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5" t="n">
        <v>39.105451</v>
      </c>
    </row>
    <row r="8039">
      <c r="A8039" s="24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5" t="n">
        <v>28.85463</v>
      </c>
    </row>
    <row r="8040">
      <c r="A8040" s="24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5" t="n">
        <v>22.072896</v>
      </c>
    </row>
    <row r="8041">
      <c r="A8041" s="24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5" t="n">
        <v>18.207033</v>
      </c>
    </row>
    <row r="8042">
      <c r="A8042" s="24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5" t="n">
        <v>13.839522</v>
      </c>
    </row>
    <row r="8043">
      <c r="A8043" s="24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5" t="n">
        <v>12.23642</v>
      </c>
    </row>
    <row r="8044">
      <c r="A8044" s="24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5" t="n">
        <v>9.498799999999999</v>
      </c>
    </row>
    <row r="8045">
      <c r="A8045" s="24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5" t="n">
        <v>8.497984000000001</v>
      </c>
    </row>
    <row r="8046">
      <c r="A8046" s="24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5" t="n">
        <v>7.044453</v>
      </c>
    </row>
    <row r="8047">
      <c r="A8047" s="24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5" t="n">
        <v>11.00523</v>
      </c>
    </row>
    <row r="8048">
      <c r="A8048" s="24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5" t="n">
        <v>12.67022</v>
      </c>
    </row>
    <row r="8049">
      <c r="A8049" s="24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5" t="n">
        <v>11.448182</v>
      </c>
    </row>
    <row r="8050">
      <c r="A8050" s="24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5" t="n">
        <v>12.019843</v>
      </c>
    </row>
    <row r="8051">
      <c r="A8051" s="24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5" t="n">
        <v>8.192667</v>
      </c>
    </row>
    <row r="8052">
      <c r="A8052" s="24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5" t="n">
        <v>6.530701</v>
      </c>
    </row>
    <row r="8053">
      <c r="A8053" s="24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5" t="n">
        <v>5.736619</v>
      </c>
    </row>
    <row r="8054">
      <c r="A8054" s="24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5" t="n">
        <v>4.408545</v>
      </c>
    </row>
    <row r="8055">
      <c r="A8055" s="24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5" t="n">
        <v>3.932328</v>
      </c>
    </row>
    <row r="8056">
      <c r="A8056" s="24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5" t="n">
        <v>3.43781</v>
      </c>
    </row>
    <row r="8057">
      <c r="A8057" s="24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5" t="n">
        <v>11.824228</v>
      </c>
    </row>
    <row r="8058">
      <c r="A8058" s="24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5" t="n">
        <v>15.928357</v>
      </c>
    </row>
    <row r="8059">
      <c r="A8059" s="24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5" t="n">
        <v>8.540918</v>
      </c>
    </row>
    <row r="8060">
      <c r="A8060" s="24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5" t="n">
        <v>6.981041</v>
      </c>
    </row>
    <row r="8061">
      <c r="A8061" s="24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5" t="n">
        <v>5.988324</v>
      </c>
    </row>
    <row r="8062">
      <c r="A8062" s="24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5" t="n">
        <v>3.794978</v>
      </c>
    </row>
    <row r="8063">
      <c r="A8063" s="24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5" t="n">
        <v>4.177703</v>
      </c>
    </row>
    <row r="8064">
      <c r="A8064" s="24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5" t="n">
        <v>2.547004</v>
      </c>
    </row>
    <row r="8065">
      <c r="A8065" s="24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5" t="n">
        <v>14.572666</v>
      </c>
    </row>
    <row r="8066">
      <c r="A8066" s="24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5" t="n">
        <v>22.114979</v>
      </c>
    </row>
    <row r="8067">
      <c r="A8067" s="24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5" t="n">
        <v>17.090933</v>
      </c>
    </row>
    <row r="8068">
      <c r="A8068" s="24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5" t="n">
        <v>25.633099</v>
      </c>
    </row>
    <row r="8069">
      <c r="A8069" s="24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5" t="n">
        <v>29.012697</v>
      </c>
    </row>
    <row r="8070">
      <c r="A8070" s="24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5" t="n">
        <v>28.518813</v>
      </c>
    </row>
    <row r="8071">
      <c r="A8071" s="24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5" t="n">
        <v>38.117428</v>
      </c>
    </row>
    <row r="8072">
      <c r="A8072" s="24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5" t="n">
        <v>29.601884</v>
      </c>
    </row>
    <row r="8073">
      <c r="A8073" s="24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5" t="n">
        <v>25.226179</v>
      </c>
    </row>
    <row r="8074">
      <c r="A8074" s="24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5" t="n">
        <v>29.505211</v>
      </c>
    </row>
    <row r="8075">
      <c r="A8075" s="24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5" t="n">
        <v>35.215775</v>
      </c>
    </row>
    <row r="8076">
      <c r="A8076" s="24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5" t="n">
        <v>47.397909</v>
      </c>
    </row>
    <row r="8077">
      <c r="A8077" s="24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5" t="n">
        <v>38.194483</v>
      </c>
    </row>
    <row r="8078">
      <c r="A8078" s="24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5" t="n">
        <v>30.935843</v>
      </c>
    </row>
    <row r="8079">
      <c r="A8079" s="24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5" t="n">
        <v>37.886899</v>
      </c>
    </row>
    <row r="8080">
      <c r="A8080" s="24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5" t="n">
        <v>30.877268</v>
      </c>
    </row>
    <row r="8081">
      <c r="A8081" s="24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5" t="n">
        <v>22.918808</v>
      </c>
    </row>
    <row r="8082">
      <c r="A8082" s="24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5" t="n">
        <v>16.475812</v>
      </c>
    </row>
    <row r="8083">
      <c r="A8083" s="24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5" t="n">
        <v>18.000447</v>
      </c>
    </row>
    <row r="8084">
      <c r="A8084" s="24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5" t="n">
        <v>15.02881</v>
      </c>
    </row>
    <row r="8085">
      <c r="A8085" s="24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5" t="n">
        <v>24.405323</v>
      </c>
    </row>
    <row r="8086">
      <c r="A8086" s="24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5" t="n">
        <v>27.424998</v>
      </c>
    </row>
    <row r="8087">
      <c r="A8087" s="24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5" t="n">
        <v>31.427795</v>
      </c>
    </row>
    <row r="8088">
      <c r="A8088" s="24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5" t="n">
        <v>43.377936</v>
      </c>
    </row>
    <row r="8089">
      <c r="A8089" s="24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5" t="n">
        <v>41.004731</v>
      </c>
    </row>
    <row r="8090">
      <c r="A8090" s="24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5" t="n">
        <v>43.748706</v>
      </c>
    </row>
    <row r="8091">
      <c r="A8091" s="24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5" t="n">
        <v>59.658426</v>
      </c>
    </row>
    <row r="8092">
      <c r="A8092" s="24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5" t="n">
        <v>50.321557</v>
      </c>
    </row>
    <row r="8093">
      <c r="A8093" s="24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5" t="n">
        <v>36.339908</v>
      </c>
    </row>
    <row r="8094">
      <c r="A8094" s="24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5" t="n">
        <v>30.69024</v>
      </c>
    </row>
    <row r="8095">
      <c r="A8095" s="24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5" t="n">
        <v>23.009661</v>
      </c>
    </row>
    <row r="8096">
      <c r="A8096" s="24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5" t="n">
        <v>21.245404</v>
      </c>
    </row>
    <row r="8097">
      <c r="A8097" s="24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5" t="n">
        <v>14.810342</v>
      </c>
    </row>
    <row r="8098">
      <c r="A8098" s="24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5" t="n">
        <v>13.452661</v>
      </c>
    </row>
    <row r="8099">
      <c r="A8099" s="24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5" t="n">
        <v>10.125305</v>
      </c>
    </row>
    <row r="8100">
      <c r="A8100" s="24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5" t="n">
        <v>9.220409999999999</v>
      </c>
    </row>
    <row r="8101">
      <c r="A8101" s="24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5" t="n">
        <v>7.321326</v>
      </c>
    </row>
    <row r="8102">
      <c r="A8102" s="24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5" t="n">
        <v>6.604273</v>
      </c>
    </row>
    <row r="8103">
      <c r="A8103" s="24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5" t="n">
        <v>19.356125</v>
      </c>
    </row>
    <row r="8104">
      <c r="A8104" s="24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5" t="n">
        <v>39.571647</v>
      </c>
    </row>
    <row r="8105">
      <c r="A8105" s="24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5" t="n">
        <v>42.745259</v>
      </c>
    </row>
    <row r="8106">
      <c r="A8106" s="24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5" t="n">
        <v>30.973927</v>
      </c>
    </row>
    <row r="8107">
      <c r="A8107" s="24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5" t="n">
        <v>22.940661</v>
      </c>
    </row>
    <row r="8108">
      <c r="A8108" s="24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5" t="n">
        <v>16.676525</v>
      </c>
    </row>
    <row r="8109">
      <c r="A8109" s="24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5" t="n">
        <v>14.283703</v>
      </c>
    </row>
    <row r="8110">
      <c r="A8110" s="24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5" t="n">
        <v>10.169773</v>
      </c>
    </row>
    <row r="8111">
      <c r="A8111" s="24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5" t="n">
        <v>9.511900000000001</v>
      </c>
    </row>
    <row r="8112">
      <c r="A8112" s="24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5" t="n">
        <v>6.832436</v>
      </c>
    </row>
    <row r="8113">
      <c r="A8113" s="24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5" t="n">
        <v>6.603035</v>
      </c>
    </row>
    <row r="8114">
      <c r="A8114" s="24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5" t="n">
        <v>9.11275</v>
      </c>
    </row>
    <row r="8115">
      <c r="A8115" s="24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5" t="n">
        <v>10.684229</v>
      </c>
    </row>
    <row r="8116">
      <c r="A8116" s="24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5" t="n">
        <v>8.221280999999999</v>
      </c>
    </row>
    <row r="8117">
      <c r="A8117" s="24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5" t="n">
        <v>15.645596</v>
      </c>
    </row>
    <row r="8118">
      <c r="A8118" s="24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5" t="n">
        <v>17.53191</v>
      </c>
    </row>
    <row r="8119">
      <c r="A8119" s="24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5" t="n">
        <v>10.107847</v>
      </c>
    </row>
    <row r="8120">
      <c r="A8120" s="24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5" t="n">
        <v>8.515722</v>
      </c>
    </row>
    <row r="8121">
      <c r="A8121" s="24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5" t="n">
        <v>6.902573</v>
      </c>
    </row>
    <row r="8122">
      <c r="A8122" s="24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5" t="n">
        <v>4.907142</v>
      </c>
    </row>
    <row r="8123">
      <c r="A8123" s="24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5" t="n">
        <v>4.874003</v>
      </c>
    </row>
    <row r="8124">
      <c r="A8124" s="24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5" t="n">
        <v>3.307083</v>
      </c>
    </row>
    <row r="8125">
      <c r="A8125" s="24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5" t="n">
        <v>6.40478</v>
      </c>
    </row>
    <row r="8126">
      <c r="A8126" s="24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5" t="n">
        <v>22.532879</v>
      </c>
    </row>
    <row r="8127">
      <c r="A8127" s="24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5" t="n">
        <v>41.448659</v>
      </c>
    </row>
    <row r="8128">
      <c r="A8128" s="24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5" t="n">
        <v>47.496527</v>
      </c>
    </row>
    <row r="8129">
      <c r="A8129" s="24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5" t="n">
        <v>39.586358</v>
      </c>
    </row>
    <row r="8130">
      <c r="A8130" s="24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5" t="n">
        <v>28.110323</v>
      </c>
    </row>
    <row r="8131">
      <c r="A8131" s="24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5" t="n">
        <v>24.498614</v>
      </c>
    </row>
    <row r="8132">
      <c r="A8132" s="24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5" t="n">
        <v>23.458038</v>
      </c>
    </row>
    <row r="8133">
      <c r="A8133" s="24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5" t="n">
        <v>25.243541</v>
      </c>
    </row>
    <row r="8134">
      <c r="A8134" s="24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5" t="n">
        <v>27.89356</v>
      </c>
    </row>
    <row r="8135">
      <c r="A8135" s="24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5" t="n">
        <v>30.452403</v>
      </c>
    </row>
    <row r="8136">
      <c r="A8136" s="24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5" t="n">
        <v>35.614513</v>
      </c>
    </row>
    <row r="8137">
      <c r="A8137" s="24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5" t="n">
        <v>31.611105</v>
      </c>
    </row>
    <row r="8138">
      <c r="A8138" s="24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5" t="n">
        <v>32.045554</v>
      </c>
    </row>
    <row r="8139">
      <c r="A8139" s="24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5" t="n">
        <v>36.502851</v>
      </c>
    </row>
    <row r="8140">
      <c r="A8140" s="24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5" t="n">
        <v>24.542851</v>
      </c>
    </row>
    <row r="8141">
      <c r="A8141" s="24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5" t="n">
        <v>20.509732</v>
      </c>
    </row>
    <row r="8142">
      <c r="A8142" s="24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5" t="n">
        <v>14.562249</v>
      </c>
    </row>
    <row r="8143">
      <c r="A8143" s="24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5" t="n">
        <v>12.265063</v>
      </c>
    </row>
    <row r="8144">
      <c r="A8144" s="24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5" t="n">
        <v>10.229441</v>
      </c>
    </row>
    <row r="8145">
      <c r="A8145" s="24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5" t="n">
        <v>8.962607999999999</v>
      </c>
    </row>
    <row r="8146">
      <c r="A8146" s="24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5" t="n">
        <v>9.346629</v>
      </c>
    </row>
    <row r="8147">
      <c r="A8147" s="24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5" t="n">
        <v>5.916962</v>
      </c>
    </row>
    <row r="8148">
      <c r="A8148" s="24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5" t="n">
        <v>6.505088</v>
      </c>
    </row>
    <row r="8149">
      <c r="A8149" s="24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5" t="n">
        <v>4.160935</v>
      </c>
    </row>
    <row r="8150">
      <c r="A8150" s="24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5" t="n">
        <v>4.93581</v>
      </c>
    </row>
    <row r="8151">
      <c r="A8151" s="24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5" t="n">
        <v>18.420952</v>
      </c>
    </row>
    <row r="8152">
      <c r="A8152" s="24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5" t="n">
        <v>27.552629</v>
      </c>
    </row>
    <row r="8153">
      <c r="A8153" s="24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5" t="n">
        <v>17.137199</v>
      </c>
    </row>
    <row r="8154">
      <c r="A8154" s="24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5" t="n">
        <v>11.940463</v>
      </c>
    </row>
    <row r="8155">
      <c r="A8155" s="24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5" t="n">
        <v>11.083054</v>
      </c>
    </row>
    <row r="8156">
      <c r="A8156" s="24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5" t="n">
        <v>6.335229</v>
      </c>
    </row>
    <row r="8157">
      <c r="A8157" s="24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5" t="n">
        <v>7.452426</v>
      </c>
    </row>
    <row r="8158">
      <c r="A8158" s="24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5" t="n">
        <v>4.090981</v>
      </c>
    </row>
    <row r="8159">
      <c r="A8159" s="24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5" t="n">
        <v>4.975908</v>
      </c>
    </row>
    <row r="8160">
      <c r="A8160" s="24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5" t="n">
        <v>3.102889</v>
      </c>
    </row>
    <row r="8161">
      <c r="A8161" s="24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5" t="n">
        <v>6.085672</v>
      </c>
    </row>
    <row r="8162">
      <c r="A8162" s="24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5" t="n">
        <v>12.765985</v>
      </c>
    </row>
    <row r="8163">
      <c r="A8163" s="24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5" t="n">
        <v>15.070158</v>
      </c>
    </row>
    <row r="8164">
      <c r="A8164" s="24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5" t="n">
        <v>19.470502</v>
      </c>
    </row>
    <row r="8165">
      <c r="A8165" s="24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5" t="n">
        <v>28.661863</v>
      </c>
    </row>
    <row r="8166">
      <c r="A8166" s="24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5" t="n">
        <v>40.00382</v>
      </c>
    </row>
    <row r="8167">
      <c r="A8167" s="24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5" t="n">
        <v>40.748763</v>
      </c>
    </row>
    <row r="8168">
      <c r="A8168" s="24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5" t="n">
        <v>30.062675</v>
      </c>
    </row>
    <row r="8169">
      <c r="A8169" s="24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5" t="n">
        <v>35.383329</v>
      </c>
    </row>
    <row r="8170">
      <c r="A8170" s="24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5" t="n">
        <v>53.9378</v>
      </c>
    </row>
    <row r="8171">
      <c r="A8171" s="24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5" t="n">
        <v>58.125277</v>
      </c>
    </row>
    <row r="8172">
      <c r="A8172" s="24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5" t="n">
        <v>64.807796</v>
      </c>
    </row>
    <row r="8173">
      <c r="A8173" s="24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5" t="n">
        <v>70.515085</v>
      </c>
    </row>
    <row r="8174">
      <c r="A8174" s="24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5" t="n">
        <v>71.38149900000001</v>
      </c>
    </row>
    <row r="8175">
      <c r="A8175" s="24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5" t="n">
        <v>72.487134</v>
      </c>
    </row>
    <row r="8176">
      <c r="A8176" s="24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5" t="n">
        <v>58.083986</v>
      </c>
    </row>
    <row r="8177">
      <c r="A8177" s="24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5" t="n">
        <v>41.772703</v>
      </c>
    </row>
    <row r="8178">
      <c r="A8178" s="24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5" t="n">
        <v>32.098694</v>
      </c>
    </row>
    <row r="8179">
      <c r="A8179" s="24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5" t="n">
        <v>26.457323</v>
      </c>
    </row>
    <row r="8180">
      <c r="A8180" s="24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5" t="n">
        <v>19.858574</v>
      </c>
    </row>
    <row r="8181">
      <c r="A8181" s="24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5" t="n">
        <v>17.5384</v>
      </c>
    </row>
    <row r="8182">
      <c r="A8182" s="24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5" t="n">
        <v>29.543672</v>
      </c>
    </row>
    <row r="8183">
      <c r="A8183" s="24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5" t="n">
        <v>70.88642400000001</v>
      </c>
    </row>
    <row r="8184">
      <c r="A8184" s="24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5" t="n">
        <v>96.902243</v>
      </c>
    </row>
    <row r="8185">
      <c r="A8185" s="24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5" t="n">
        <v>78.60822899999999</v>
      </c>
    </row>
    <row r="8186">
      <c r="A8186" s="24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5" t="n">
        <v>56.89642</v>
      </c>
    </row>
    <row r="8187">
      <c r="A8187" s="24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5" t="n">
        <v>43.345299</v>
      </c>
    </row>
    <row r="8188">
      <c r="A8188" s="24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5" t="n">
        <v>32.01518</v>
      </c>
    </row>
    <row r="8189">
      <c r="A8189" s="24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5" t="n">
        <v>24.10337</v>
      </c>
    </row>
    <row r="8190">
      <c r="A8190" s="24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5" t="n">
        <v>20.666393</v>
      </c>
    </row>
    <row r="8191">
      <c r="A8191" s="24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5" t="n">
        <v>15.128791</v>
      </c>
    </row>
    <row r="8192">
      <c r="A8192" s="24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5" t="n">
        <v>14.099084</v>
      </c>
    </row>
    <row r="8193">
      <c r="A8193" s="24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5" t="n">
        <v>10.511933</v>
      </c>
    </row>
    <row r="8194">
      <c r="A8194" s="24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5" t="n">
        <v>9.867336999999999</v>
      </c>
    </row>
    <row r="8195">
      <c r="A8195" s="24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5" t="n">
        <v>7.89443</v>
      </c>
    </row>
    <row r="8196">
      <c r="A8196" s="24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5" t="n">
        <v>7.014317</v>
      </c>
    </row>
    <row r="8197">
      <c r="A8197" s="24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5" t="n">
        <v>6.245441</v>
      </c>
    </row>
    <row r="8198">
      <c r="A8198" s="24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5" t="n">
        <v>5.061215</v>
      </c>
    </row>
    <row r="8199">
      <c r="A8199" s="24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5" t="n">
        <v>5.074822</v>
      </c>
    </row>
    <row r="8200">
      <c r="A8200" s="24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5" t="n">
        <v>3.722915</v>
      </c>
    </row>
    <row r="8201">
      <c r="A8201" s="24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5" t="n">
        <v>19.984569</v>
      </c>
    </row>
    <row r="8202">
      <c r="A8202" s="24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5" t="n">
        <v>41.331211</v>
      </c>
    </row>
    <row r="8203">
      <c r="A8203" s="24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5" t="n">
        <v>50.813723</v>
      </c>
    </row>
    <row r="8204">
      <c r="A8204" s="24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5" t="n">
        <v>53.768713</v>
      </c>
    </row>
    <row r="8205">
      <c r="A8205" s="24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5" t="n">
        <v>89.08391</v>
      </c>
    </row>
    <row r="8206">
      <c r="A8206" s="24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5" t="n">
        <v>117.403282</v>
      </c>
    </row>
    <row r="8207">
      <c r="A8207" s="24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5" t="n">
        <v>93.739042</v>
      </c>
    </row>
    <row r="8208">
      <c r="A8208" s="24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5" t="n">
        <v>61.306075</v>
      </c>
    </row>
    <row r="8209">
      <c r="A8209" s="24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5" t="n">
        <v>54.218502</v>
      </c>
    </row>
    <row r="8210">
      <c r="A8210" s="24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5" t="n">
        <v>39.57481</v>
      </c>
    </row>
    <row r="8211">
      <c r="A8211" s="24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5" t="n">
        <v>44.004296</v>
      </c>
    </row>
    <row r="8212">
      <c r="A8212" s="24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5" t="n">
        <v>55.940689</v>
      </c>
    </row>
    <row r="8213">
      <c r="A8213" s="24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5" t="n">
        <v>44.682562</v>
      </c>
    </row>
    <row r="8214">
      <c r="A8214" s="24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5" t="n">
        <v>31.591387</v>
      </c>
    </row>
    <row r="8215">
      <c r="A8215" s="24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5" t="n">
        <v>24.914093</v>
      </c>
    </row>
    <row r="8216">
      <c r="A8216" s="24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5" t="n">
        <v>27.825384</v>
      </c>
    </row>
    <row r="8217">
      <c r="A8217" s="24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5" t="n">
        <v>26.026118</v>
      </c>
    </row>
    <row r="8218">
      <c r="A8218" s="24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5" t="n">
        <v>19.556176</v>
      </c>
    </row>
    <row r="8219">
      <c r="A8219" s="24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5" t="n">
        <v>14.299701</v>
      </c>
    </row>
    <row r="8220">
      <c r="A8220" s="24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5" t="n">
        <v>13.833551</v>
      </c>
    </row>
    <row r="8221">
      <c r="A8221" s="24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5" t="n">
        <v>9.345955999999999</v>
      </c>
    </row>
    <row r="8222">
      <c r="A8222" s="24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5" t="n">
        <v>9.782336000000001</v>
      </c>
    </row>
    <row r="8223">
      <c r="A8223" s="24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5" t="n">
        <v>8.800425000000001</v>
      </c>
    </row>
    <row r="8224">
      <c r="A8224" s="24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5" t="n">
        <v>9.37298</v>
      </c>
    </row>
    <row r="8225">
      <c r="A8225" s="24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5" t="n">
        <v>9.867445999999999</v>
      </c>
    </row>
    <row r="8226">
      <c r="A8226" s="24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5" t="n">
        <v>18.456929</v>
      </c>
    </row>
    <row r="8227">
      <c r="A8227" s="24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5" t="n">
        <v>23.197933</v>
      </c>
    </row>
    <row r="8228">
      <c r="A8228" s="24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5" t="n">
        <v>39.6406</v>
      </c>
    </row>
    <row r="8229">
      <c r="A8229" s="24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5" t="n">
        <v>64.797</v>
      </c>
    </row>
    <row r="8230">
      <c r="A8230" s="24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5" t="n">
        <v>61.514795</v>
      </c>
    </row>
    <row r="8231">
      <c r="A8231" s="24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5" t="n">
        <v>60.302652</v>
      </c>
    </row>
    <row r="8232">
      <c r="A8232" s="24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5" t="n">
        <v>68.95062</v>
      </c>
    </row>
    <row r="8233">
      <c r="A8233" s="24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5" t="n">
        <v>69.94730300000001</v>
      </c>
    </row>
    <row r="8234">
      <c r="A8234" s="24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5" t="n">
        <v>60.122027</v>
      </c>
    </row>
    <row r="8235">
      <c r="A8235" s="24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5" t="n">
        <v>42.552782</v>
      </c>
    </row>
    <row r="8236">
      <c r="A8236" s="24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5" t="n">
        <v>32.465487</v>
      </c>
    </row>
    <row r="8237">
      <c r="A8237" s="24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5" t="n">
        <v>39.474347</v>
      </c>
    </row>
    <row r="8238">
      <c r="A8238" s="24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5" t="n">
        <v>40.551706</v>
      </c>
    </row>
    <row r="8239">
      <c r="A8239" s="24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5" t="n">
        <v>29.960189</v>
      </c>
    </row>
    <row r="8240">
      <c r="A8240" s="24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5" t="n">
        <v>21.274954</v>
      </c>
    </row>
    <row r="8241">
      <c r="A8241" s="24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5" t="n">
        <v>19.526653</v>
      </c>
    </row>
    <row r="8242">
      <c r="A8242" s="24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5" t="n">
        <v>13.488016</v>
      </c>
    </row>
    <row r="8243">
      <c r="A8243" s="24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5" t="n">
        <v>13.002326</v>
      </c>
    </row>
    <row r="8244">
      <c r="A8244" s="24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5" t="n">
        <v>9.869119</v>
      </c>
    </row>
    <row r="8245">
      <c r="A8245" s="24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5" t="n">
        <v>8.652682</v>
      </c>
    </row>
    <row r="8246">
      <c r="A8246" s="24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5" t="n">
        <v>7.871418</v>
      </c>
    </row>
    <row r="8247">
      <c r="A8247" s="24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5" t="n">
        <v>5.814858</v>
      </c>
    </row>
    <row r="8248">
      <c r="A8248" s="24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5" t="n">
        <v>6.461544</v>
      </c>
    </row>
    <row r="8249">
      <c r="A8249" s="24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5" t="n">
        <v>4.056226</v>
      </c>
    </row>
    <row r="8250">
      <c r="A8250" s="24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5" t="n">
        <v>5.251354</v>
      </c>
    </row>
    <row r="8251">
      <c r="A8251" s="24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5" t="n">
        <v>3.038277</v>
      </c>
    </row>
    <row r="8252">
      <c r="A8252" s="24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5" t="n">
        <v>4.135745</v>
      </c>
    </row>
    <row r="8253">
      <c r="A8253" s="24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5" t="n">
        <v>2.490819</v>
      </c>
    </row>
    <row r="8254">
      <c r="A8254" s="24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5" t="n">
        <v>3.120247</v>
      </c>
    </row>
    <row r="8255">
      <c r="A8255" s="24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5" t="n">
        <v>2.209407</v>
      </c>
    </row>
    <row r="8256">
      <c r="A8256" s="24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5" t="n">
        <v>2.239493</v>
      </c>
    </row>
    <row r="8257">
      <c r="A8257" s="24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5" t="n">
        <v>2.050749</v>
      </c>
    </row>
    <row r="8258">
      <c r="A8258" s="24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5" t="n">
        <v>1.521838</v>
      </c>
    </row>
    <row r="8259">
      <c r="A8259" s="24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5" t="n">
        <v>1.924048</v>
      </c>
    </row>
    <row r="8260">
      <c r="A8260" s="24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5" t="n">
        <v>0.977687</v>
      </c>
    </row>
    <row r="8261">
      <c r="A8261" s="24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5" t="n">
        <v>1.779961</v>
      </c>
    </row>
    <row r="8262">
      <c r="A8262" s="24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5" t="n">
        <v>0.599315</v>
      </c>
    </row>
    <row r="8263">
      <c r="A8263" s="24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5" t="n">
        <v>1.599186</v>
      </c>
    </row>
    <row r="8264">
      <c r="A8264" s="24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5" t="n">
        <v>0.456094</v>
      </c>
    </row>
    <row r="8265">
      <c r="A8265" s="24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5" t="n">
        <v>1.296778</v>
      </c>
    </row>
    <row r="8266">
      <c r="A8266" s="24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5" t="n">
        <v>0.441183</v>
      </c>
    </row>
    <row r="8267">
      <c r="A8267" s="24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5" t="n">
        <v>0.966289</v>
      </c>
    </row>
    <row r="8268">
      <c r="A8268" s="24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5" t="n">
        <v>0.454169</v>
      </c>
    </row>
    <row r="8269">
      <c r="A8269" s="24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5" t="n">
        <v>0.6827839999999999</v>
      </c>
    </row>
    <row r="8270">
      <c r="A8270" s="24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5" t="n">
        <v>0.492405</v>
      </c>
    </row>
    <row r="8271">
      <c r="A8271" s="24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5" t="n">
        <v>0.436544</v>
      </c>
    </row>
    <row r="8272">
      <c r="A8272" s="24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5" t="n">
        <v>0.510763</v>
      </c>
    </row>
    <row r="8273">
      <c r="A8273" s="24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5" t="n">
        <v>0.261274</v>
      </c>
    </row>
    <row r="8274">
      <c r="A8274" s="24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5" t="n">
        <v>0.509188</v>
      </c>
    </row>
    <row r="8275">
      <c r="A8275" s="24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5" t="n">
        <v>0.159219</v>
      </c>
    </row>
    <row r="8276">
      <c r="A8276" s="24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5" t="n">
        <v>0.471959</v>
      </c>
    </row>
    <row r="8277">
      <c r="A8277" s="24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5" t="n">
        <v>0.13156</v>
      </c>
    </row>
    <row r="8278">
      <c r="A8278" s="24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5" t="n">
        <v>0.375058</v>
      </c>
    </row>
    <row r="8279">
      <c r="A8279" s="24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5" t="n">
        <v>0.129346</v>
      </c>
    </row>
    <row r="8280">
      <c r="A8280" s="24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5" t="n">
        <v>0.278938</v>
      </c>
    </row>
    <row r="8281">
      <c r="A8281" s="24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5" t="n">
        <v>0.133093</v>
      </c>
    </row>
    <row r="8282">
      <c r="A8282" s="24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5" t="n">
        <v>0.198544</v>
      </c>
    </row>
    <row r="8283">
      <c r="A8283" s="24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5" t="n">
        <v>0.137989</v>
      </c>
    </row>
    <row r="8284">
      <c r="A8284" s="24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5" t="n">
        <v>0.136423</v>
      </c>
    </row>
    <row r="8285">
      <c r="A8285" s="24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5" t="n">
        <v>0.141801</v>
      </c>
    </row>
    <row r="8286">
      <c r="A8286" s="24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5" t="n">
        <v>0.088419</v>
      </c>
    </row>
    <row r="8287">
      <c r="A8287" s="24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5" t="n">
        <v>0.143027</v>
      </c>
    </row>
    <row r="8288">
      <c r="A8288" s="24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5" t="n">
        <v>0.049316</v>
      </c>
    </row>
    <row r="8289">
      <c r="A8289" s="24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5" t="n">
        <v>0.143463</v>
      </c>
    </row>
    <row r="8290">
      <c r="A8290" s="24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5" t="n">
        <v>0.038082</v>
      </c>
    </row>
    <row r="8291">
      <c r="A8291" s="24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5" t="n">
        <v>0.120608</v>
      </c>
    </row>
    <row r="8292">
      <c r="A8292" s="24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5" t="n">
        <v>13.054033</v>
      </c>
    </row>
    <row r="8293">
      <c r="A8293" s="24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5" t="n">
        <v>25.700488</v>
      </c>
    </row>
    <row r="8294">
      <c r="A8294" s="24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5" t="n">
        <v>19.200308</v>
      </c>
    </row>
    <row r="8295">
      <c r="A8295" s="24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5" t="n">
        <v>11.520368</v>
      </c>
    </row>
    <row r="8296">
      <c r="A8296" s="24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5" t="n">
        <v>10.049543</v>
      </c>
    </row>
    <row r="8297">
      <c r="A8297" s="24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5" t="n">
        <v>6.388341</v>
      </c>
    </row>
    <row r="8298">
      <c r="A8298" s="24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5" t="n">
        <v>5.714371</v>
      </c>
    </row>
    <row r="8299">
      <c r="A8299" s="24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5" t="n">
        <v>4.124003</v>
      </c>
    </row>
    <row r="8300">
      <c r="A8300" s="24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5" t="n">
        <v>3.372773</v>
      </c>
    </row>
    <row r="8301">
      <c r="A8301" s="24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5" t="n">
        <v>2.941998</v>
      </c>
    </row>
    <row r="8302">
      <c r="A8302" s="24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5" t="n">
        <v>2.073283</v>
      </c>
    </row>
    <row r="8303">
      <c r="A8303" s="24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5" t="n">
        <v>2.202331</v>
      </c>
    </row>
    <row r="8304">
      <c r="A8304" s="24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5" t="n">
        <v>1.362573</v>
      </c>
    </row>
    <row r="8305">
      <c r="A8305" s="24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5" t="n">
        <v>1.660455</v>
      </c>
    </row>
    <row r="8306">
      <c r="A8306" s="24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5" t="n">
        <v>0.988588</v>
      </c>
    </row>
    <row r="8307">
      <c r="A8307" s="24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5" t="n">
        <v>1.228461</v>
      </c>
    </row>
    <row r="8308">
      <c r="A8308" s="24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5" t="n">
        <v>0.798607</v>
      </c>
    </row>
    <row r="8309">
      <c r="A8309" s="24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5" t="n">
        <v>0.878675</v>
      </c>
    </row>
    <row r="8310">
      <c r="A8310" s="24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5" t="n">
        <v>0.699295</v>
      </c>
    </row>
    <row r="8311">
      <c r="A8311" s="24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5" t="n">
        <v>0.603241</v>
      </c>
    </row>
    <row r="8312">
      <c r="A8312" s="24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5" t="n">
        <v>0.635779</v>
      </c>
    </row>
    <row r="8313">
      <c r="A8313" s="24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5" t="n">
        <v>0.397585</v>
      </c>
    </row>
    <row r="8314">
      <c r="A8314" s="24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5" t="n">
        <v>0.57865</v>
      </c>
    </row>
    <row r="8315">
      <c r="A8315" s="24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5" t="n">
        <v>0.254864</v>
      </c>
    </row>
    <row r="8316">
      <c r="A8316" s="24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5" t="n">
        <v>10.533274</v>
      </c>
    </row>
    <row r="8317">
      <c r="A8317" s="24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5" t="n">
        <v>14.478263</v>
      </c>
    </row>
    <row r="8318">
      <c r="A8318" s="24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5" t="n">
        <v>7.756247</v>
      </c>
    </row>
    <row r="8319">
      <c r="A8319" s="24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5" t="n">
        <v>5.221949</v>
      </c>
    </row>
    <row r="8320">
      <c r="A8320" s="24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5" t="n">
        <v>5.380057</v>
      </c>
    </row>
    <row r="8321">
      <c r="A8321" s="24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5" t="n">
        <v>2.281155</v>
      </c>
    </row>
    <row r="8322">
      <c r="A8322" s="24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5" t="n">
        <v>3.553133</v>
      </c>
    </row>
    <row r="8323">
      <c r="A8323" s="24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5" t="n">
        <v>1.452895</v>
      </c>
    </row>
    <row r="8324">
      <c r="A8324" s="24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5" t="n">
        <v>2.108508</v>
      </c>
    </row>
    <row r="8325">
      <c r="A8325" s="24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5" t="n">
        <v>1.306852</v>
      </c>
    </row>
    <row r="8326">
      <c r="A8326" s="24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5" t="n">
        <v>1.098706</v>
      </c>
    </row>
    <row r="8327">
      <c r="A8327" s="24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5" t="n">
        <v>1.281124</v>
      </c>
    </row>
    <row r="8328">
      <c r="A8328" s="24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5" t="n">
        <v>0.492716</v>
      </c>
    </row>
    <row r="8329">
      <c r="A8329" s="24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5" t="n">
        <v>1.18797</v>
      </c>
    </row>
    <row r="8330">
      <c r="A8330" s="24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5" t="n">
        <v>0.27513</v>
      </c>
    </row>
    <row r="8331">
      <c r="A8331" s="24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5" t="n">
        <v>0.9340000000000001</v>
      </c>
    </row>
    <row r="8332">
      <c r="A8332" s="24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5" t="n">
        <v>0.273135</v>
      </c>
    </row>
    <row r="8333">
      <c r="A8333" s="24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5" t="n">
        <v>0.628932</v>
      </c>
    </row>
    <row r="8334">
      <c r="A8334" s="24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5" t="n">
        <v>3.613581</v>
      </c>
    </row>
    <row r="8335">
      <c r="A8335" s="24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5" t="n">
        <v>6.785713</v>
      </c>
    </row>
    <row r="8336">
      <c r="A8336" s="24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5" t="n">
        <v>5.033246</v>
      </c>
    </row>
    <row r="8337">
      <c r="A8337" s="24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5" t="n">
        <v>3.087935</v>
      </c>
    </row>
    <row r="8338">
      <c r="A8338" s="24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5" t="n">
        <v>2.848028</v>
      </c>
    </row>
    <row r="8339">
      <c r="A8339" s="24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5" t="n">
        <v>1.599341</v>
      </c>
    </row>
    <row r="8340">
      <c r="A8340" s="24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5" t="n">
        <v>1.822917</v>
      </c>
    </row>
    <row r="8341">
      <c r="A8341" s="24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5" t="n">
        <v>0.951236</v>
      </c>
    </row>
    <row r="8342">
      <c r="A8342" s="24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5" t="n">
        <v>1.224523</v>
      </c>
    </row>
    <row r="8343">
      <c r="A8343" s="24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5" t="n">
        <v>0.638669</v>
      </c>
    </row>
    <row r="8344">
      <c r="A8344" s="24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5" t="n">
        <v>0.844954</v>
      </c>
    </row>
    <row r="8345">
      <c r="A8345" s="24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5" t="n">
        <v>3.190341</v>
      </c>
    </row>
    <row r="8346">
      <c r="A8346" s="24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5" t="n">
        <v>5.12726</v>
      </c>
    </row>
    <row r="8347">
      <c r="A8347" s="24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5" t="n">
        <v>3.295727</v>
      </c>
    </row>
    <row r="8348">
      <c r="A8348" s="24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5" t="n">
        <v>2.28084</v>
      </c>
    </row>
    <row r="8349">
      <c r="A8349" s="24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5" t="n">
        <v>2.010623</v>
      </c>
    </row>
    <row r="8350">
      <c r="A8350" s="24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5" t="n">
        <v>1.215456</v>
      </c>
    </row>
    <row r="8351">
      <c r="A8351" s="24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5" t="n">
        <v>1.303801</v>
      </c>
    </row>
    <row r="8352">
      <c r="A8352" s="24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5" t="n">
        <v>0.786793</v>
      </c>
    </row>
    <row r="8353">
      <c r="A8353" s="24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5" t="n">
        <v>0.847217</v>
      </c>
    </row>
    <row r="8354">
      <c r="A8354" s="24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5" t="n">
        <v>0.588155</v>
      </c>
    </row>
    <row r="8355">
      <c r="A8355" s="24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5" t="n">
        <v>0.5567029999999999</v>
      </c>
    </row>
    <row r="8356">
      <c r="A8356" s="24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5" t="n">
        <v>0.466335</v>
      </c>
    </row>
    <row r="8357">
      <c r="A8357" s="24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5" t="n">
        <v>0.383813</v>
      </c>
    </row>
    <row r="8358">
      <c r="A8358" s="24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5" t="n">
        <v>0.366053</v>
      </c>
    </row>
    <row r="8359">
      <c r="A8359" s="24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5" t="n">
        <v>0.290015</v>
      </c>
    </row>
    <row r="8360">
      <c r="A8360" s="24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5" t="n">
        <v>0.273354</v>
      </c>
    </row>
    <row r="8361">
      <c r="A8361" s="24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5" t="n">
        <v>0.24374</v>
      </c>
    </row>
    <row r="8362">
      <c r="A8362" s="24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5" t="n">
        <v>0.192914</v>
      </c>
    </row>
    <row r="8363">
      <c r="A8363" s="24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5" t="n">
        <v>0.223849</v>
      </c>
    </row>
    <row r="8364">
      <c r="A8364" s="24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5" t="n">
        <v>0.136074</v>
      </c>
    </row>
    <row r="8365">
      <c r="A8365" s="24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5" t="n">
        <v>0.224627</v>
      </c>
    </row>
    <row r="8366">
      <c r="A8366" s="24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5" t="n">
        <v>0.07828599999999999</v>
      </c>
    </row>
    <row r="8367">
      <c r="A8367" s="24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5" t="n">
        <v>0.223264</v>
      </c>
    </row>
    <row r="8368">
      <c r="A8368" s="24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5" t="n">
        <v>0.056351</v>
      </c>
    </row>
    <row r="8369">
      <c r="A8369" s="24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5" t="n">
        <v>5.943353</v>
      </c>
    </row>
    <row r="8370">
      <c r="A8370" s="24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5" t="n">
        <v>8.303991999999999</v>
      </c>
    </row>
    <row r="8371">
      <c r="A8371" s="24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5" t="n">
        <v>4.352708</v>
      </c>
    </row>
    <row r="8372">
      <c r="A8372" s="24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5" t="n">
        <v>2.983834</v>
      </c>
    </row>
    <row r="8373">
      <c r="A8373" s="24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5" t="n">
        <v>2.986751</v>
      </c>
    </row>
    <row r="8374">
      <c r="A8374" s="24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5" t="n">
        <v>4.701062</v>
      </c>
    </row>
    <row r="8375">
      <c r="A8375" s="24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5" t="n">
        <v>6.786079</v>
      </c>
    </row>
    <row r="8376">
      <c r="A8376" s="24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5" t="n">
        <v>3.321985</v>
      </c>
    </row>
    <row r="8377">
      <c r="A8377" s="24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5" t="n">
        <v>2.843761</v>
      </c>
    </row>
    <row r="8378">
      <c r="A8378" s="24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5" t="n">
        <v>2.466606</v>
      </c>
    </row>
    <row r="8379">
      <c r="A8379" s="24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5" t="n">
        <v>1.285209</v>
      </c>
    </row>
    <row r="8380">
      <c r="A8380" s="24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5" t="n">
        <v>1.860281</v>
      </c>
    </row>
    <row r="8381">
      <c r="A8381" s="24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5" t="n">
        <v>2.227544</v>
      </c>
    </row>
    <row r="8382">
      <c r="A8382" s="24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5" t="n">
        <v>18.499858</v>
      </c>
    </row>
    <row r="8383">
      <c r="A8383" s="24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5" t="n">
        <v>38.547835</v>
      </c>
    </row>
    <row r="8384">
      <c r="A8384" s="24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5" t="n">
        <v>47.53636</v>
      </c>
    </row>
    <row r="8385">
      <c r="A8385" s="24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5" t="n">
        <v>37.655753</v>
      </c>
    </row>
    <row r="8386">
      <c r="A8386" s="24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5" t="n">
        <v>24.961545</v>
      </c>
    </row>
    <row r="8387">
      <c r="A8387" s="24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5" t="n">
        <v>18.40289</v>
      </c>
    </row>
    <row r="8388">
      <c r="A8388" s="24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5" t="n">
        <v>15.179328</v>
      </c>
    </row>
    <row r="8389">
      <c r="A8389" s="24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5" t="n">
        <v>10.458277</v>
      </c>
    </row>
    <row r="8390">
      <c r="A8390" s="24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5" t="n">
        <v>18.867244</v>
      </c>
    </row>
    <row r="8391">
      <c r="A8391" s="24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5" t="n">
        <v>20.205764</v>
      </c>
    </row>
    <row r="8392">
      <c r="A8392" s="24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5" t="n">
        <v>12.845217</v>
      </c>
    </row>
    <row r="8393">
      <c r="A8393" s="24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5" t="n">
        <v>9.857798000000001</v>
      </c>
    </row>
    <row r="8394">
      <c r="A8394" s="24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5" t="n">
        <v>8.528499999999999</v>
      </c>
    </row>
    <row r="8395">
      <c r="A8395" s="24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5" t="n">
        <v>12.365491</v>
      </c>
    </row>
    <row r="8396">
      <c r="A8396" s="24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5" t="n">
        <v>19.462443</v>
      </c>
    </row>
    <row r="8397">
      <c r="A8397" s="24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5" t="n">
        <v>15.946725</v>
      </c>
    </row>
    <row r="8398">
      <c r="A8398" s="24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5" t="n">
        <v>10.351237</v>
      </c>
    </row>
    <row r="8399">
      <c r="A8399" s="24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5" t="n">
        <v>10.755122</v>
      </c>
    </row>
    <row r="8400">
      <c r="A8400" s="24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5" t="n">
        <v>17.624148</v>
      </c>
    </row>
    <row r="8401">
      <c r="A8401" s="24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5" t="n">
        <v>20.383205</v>
      </c>
    </row>
    <row r="8402">
      <c r="A8402" s="24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5" t="n">
        <v>11.633666</v>
      </c>
    </row>
    <row r="8403">
      <c r="A8403" s="24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5" t="n">
        <v>9.63612</v>
      </c>
    </row>
    <row r="8404">
      <c r="A8404" s="24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5" t="n">
        <v>7.965989</v>
      </c>
    </row>
    <row r="8405">
      <c r="A8405" s="24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5" t="n">
        <v>5.404775</v>
      </c>
    </row>
    <row r="8406">
      <c r="A8406" s="24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5" t="n">
        <v>5.613322</v>
      </c>
    </row>
    <row r="8407">
      <c r="A8407" s="24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5" t="n">
        <v>6.807585</v>
      </c>
    </row>
    <row r="8408">
      <c r="A8408" s="24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5" t="n">
        <v>8.615679999999999</v>
      </c>
    </row>
    <row r="8409">
      <c r="A8409" s="24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5" t="n">
        <v>5.007403</v>
      </c>
    </row>
    <row r="8410">
      <c r="A8410" s="24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5" t="n">
        <v>4.847428</v>
      </c>
    </row>
    <row r="8411">
      <c r="A8411" s="24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5" t="n">
        <v>4.276552</v>
      </c>
    </row>
    <row r="8412">
      <c r="A8412" s="24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5" t="n">
        <v>3.011658</v>
      </c>
    </row>
    <row r="8413">
      <c r="A8413" s="24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5" t="n">
        <v>2.939071</v>
      </c>
    </row>
    <row r="8414">
      <c r="A8414" s="24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5" t="n">
        <v>2.146407</v>
      </c>
    </row>
    <row r="8415">
      <c r="A8415" s="24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5" t="n">
        <v>2.041987</v>
      </c>
    </row>
    <row r="8416">
      <c r="A8416" s="24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5" t="n">
        <v>1.697536</v>
      </c>
    </row>
    <row r="8417">
      <c r="A8417" s="24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5" t="n">
        <v>7.170144</v>
      </c>
    </row>
    <row r="8418">
      <c r="A8418" s="24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5" t="n">
        <v>11.167711</v>
      </c>
    </row>
    <row r="8419">
      <c r="A8419" s="24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5" t="n">
        <v>7.414499</v>
      </c>
    </row>
    <row r="8420">
      <c r="A8420" s="24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5" t="n">
        <v>5.221506</v>
      </c>
    </row>
    <row r="8421">
      <c r="A8421" s="24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5" t="n">
        <v>7.192668</v>
      </c>
    </row>
    <row r="8422">
      <c r="A8422" s="24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5" t="n">
        <v>6.923562</v>
      </c>
    </row>
    <row r="8423">
      <c r="A8423" s="24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5" t="n">
        <v>4.847001</v>
      </c>
    </row>
    <row r="8424">
      <c r="A8424" s="24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5" t="n">
        <v>3.409047</v>
      </c>
    </row>
    <row r="8425">
      <c r="A8425" s="24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5" t="n">
        <v>3.226167</v>
      </c>
    </row>
    <row r="8426">
      <c r="A8426" s="24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5" t="n">
        <v>2.097757</v>
      </c>
    </row>
    <row r="8427">
      <c r="A8427" s="24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5" t="n">
        <v>2.144673</v>
      </c>
    </row>
    <row r="8428">
      <c r="A8428" s="24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5" t="n">
        <v>1.528197</v>
      </c>
    </row>
    <row r="8429">
      <c r="A8429" s="24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5" t="n">
        <v>1.424847</v>
      </c>
    </row>
    <row r="8430">
      <c r="A8430" s="24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5" t="n">
        <v>1.204261</v>
      </c>
    </row>
    <row r="8431">
      <c r="A8431" s="24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5" t="n">
        <v>0.983773</v>
      </c>
    </row>
    <row r="8432">
      <c r="A8432" s="24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5" t="n">
        <v>0.949191</v>
      </c>
    </row>
    <row r="8433">
      <c r="A8433" s="24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5" t="n">
        <v>0.739161</v>
      </c>
    </row>
    <row r="8434">
      <c r="A8434" s="24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5" t="n">
        <v>0.733497</v>
      </c>
    </row>
    <row r="8435">
      <c r="A8435" s="24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5" t="n">
        <v>0.612575</v>
      </c>
    </row>
    <row r="8436">
      <c r="A8436" s="24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5" t="n">
        <v>0.541829</v>
      </c>
    </row>
    <row r="8437">
      <c r="A8437" s="24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5" t="n">
        <v>0.6057900000000001</v>
      </c>
    </row>
    <row r="8438">
      <c r="A8438" s="24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5" t="n">
        <v>0.322484</v>
      </c>
    </row>
    <row r="8439">
      <c r="A8439" s="24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5" t="n">
        <v>0.61472</v>
      </c>
    </row>
    <row r="8440">
      <c r="A8440" s="24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5" t="n">
        <v>2.898446</v>
      </c>
    </row>
    <row r="8441">
      <c r="A8441" s="24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5" t="n">
        <v>11.245488</v>
      </c>
    </row>
    <row r="8442">
      <c r="A8442" s="24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5" t="n">
        <v>18.58789</v>
      </c>
    </row>
    <row r="8443">
      <c r="A8443" s="24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5" t="n">
        <v>16.251751</v>
      </c>
    </row>
    <row r="8444">
      <c r="A8444" s="24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5" t="n">
        <v>9.886333</v>
      </c>
    </row>
    <row r="8445">
      <c r="A8445" s="24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5" t="n">
        <v>7.649897</v>
      </c>
    </row>
    <row r="8446">
      <c r="A8446" s="24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5" t="n">
        <v>5.903483</v>
      </c>
    </row>
    <row r="8447">
      <c r="A8447" s="24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5" t="n">
        <v>4.193914</v>
      </c>
    </row>
    <row r="8448">
      <c r="A8448" s="24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5" t="n">
        <v>3.81923</v>
      </c>
    </row>
    <row r="8449">
      <c r="A8449" s="24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5" t="n">
        <v>2.590783</v>
      </c>
    </row>
    <row r="8450">
      <c r="A8450" s="24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5" t="n">
        <v>2.55813</v>
      </c>
    </row>
    <row r="8451">
      <c r="A8451" s="24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5" t="n">
        <v>1.776599</v>
      </c>
    </row>
    <row r="8452">
      <c r="A8452" s="24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5" t="n">
        <v>1.761335</v>
      </c>
    </row>
    <row r="8453">
      <c r="A8453" s="24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5" t="n">
        <v>1.308687</v>
      </c>
    </row>
    <row r="8454">
      <c r="A8454" s="24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5" t="n">
        <v>1.255089</v>
      </c>
    </row>
    <row r="8455">
      <c r="A8455" s="24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5" t="n">
        <v>0.996933</v>
      </c>
    </row>
    <row r="8456">
      <c r="A8456" s="24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5" t="n">
        <v>0.9352200000000001</v>
      </c>
    </row>
    <row r="8457">
      <c r="A8457" s="24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5" t="n">
        <v>0.7631520000000001</v>
      </c>
    </row>
    <row r="8458">
      <c r="A8458" s="24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5" t="n">
        <v>0.731464</v>
      </c>
    </row>
    <row r="8459">
      <c r="A8459" s="24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5" t="n">
        <v>0.578442</v>
      </c>
    </row>
    <row r="8460">
      <c r="A8460" s="24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5" t="n">
        <v>0.595685</v>
      </c>
    </row>
    <row r="8461">
      <c r="A8461" s="24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5" t="n">
        <v>0.433524</v>
      </c>
    </row>
    <row r="8462">
      <c r="A8462" s="24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5" t="n">
        <v>0.496113</v>
      </c>
    </row>
    <row r="8463">
      <c r="A8463" s="24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5" t="n">
        <v>0.325003</v>
      </c>
    </row>
    <row r="8464">
      <c r="A8464" s="24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5" t="n">
        <v>0.419361</v>
      </c>
    </row>
    <row r="8465">
      <c r="A8465" s="24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5" t="n">
        <v>0.247132</v>
      </c>
    </row>
    <row r="8466">
      <c r="A8466" s="24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5" t="n">
        <v>0.36894</v>
      </c>
    </row>
    <row r="8467">
      <c r="A8467" s="24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5" t="n">
        <v>2.095722</v>
      </c>
    </row>
    <row r="8468">
      <c r="A8468" s="24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5" t="n">
        <v>5.559269</v>
      </c>
    </row>
    <row r="8469">
      <c r="A8469" s="24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5" t="n">
        <v>5.264354</v>
      </c>
    </row>
    <row r="8470">
      <c r="A8470" s="24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5" t="n">
        <v>3.340721</v>
      </c>
    </row>
    <row r="8471">
      <c r="A8471" s="24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5" t="n">
        <v>2.900885</v>
      </c>
    </row>
    <row r="8472">
      <c r="A8472" s="24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5" t="n">
        <v>15.419651</v>
      </c>
    </row>
    <row r="8473">
      <c r="A8473" s="24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5" t="n">
        <v>35.36468</v>
      </c>
    </row>
    <row r="8474">
      <c r="A8474" s="24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5" t="n">
        <v>34.401618</v>
      </c>
    </row>
    <row r="8475">
      <c r="A8475" s="24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5" t="n">
        <v>21.78529</v>
      </c>
    </row>
    <row r="8476">
      <c r="A8476" s="24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5" t="n">
        <v>16.741486</v>
      </c>
    </row>
    <row r="8477">
      <c r="A8477" s="24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5" t="n">
        <v>12.297389</v>
      </c>
    </row>
    <row r="8478">
      <c r="A8478" s="24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5" t="n">
        <v>9.306348</v>
      </c>
    </row>
    <row r="8479">
      <c r="A8479" s="24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5" t="n">
        <v>17.468496</v>
      </c>
    </row>
    <row r="8480">
      <c r="A8480" s="24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5" t="n">
        <v>19.489455</v>
      </c>
    </row>
    <row r="8481">
      <c r="A8481" s="24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5" t="n">
        <v>26.187918</v>
      </c>
    </row>
    <row r="8482">
      <c r="A8482" s="24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5" t="n">
        <v>43.249464</v>
      </c>
    </row>
    <row r="8483">
      <c r="A8483" s="24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5" t="n">
        <v>45.165536</v>
      </c>
    </row>
    <row r="8484">
      <c r="A8484" s="24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5" t="n">
        <v>30.150965</v>
      </c>
    </row>
    <row r="8485">
      <c r="A8485" s="24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5" t="n">
        <v>24.174285</v>
      </c>
    </row>
    <row r="8486">
      <c r="A8486" s="24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5" t="n">
        <v>16.644295</v>
      </c>
    </row>
    <row r="8487">
      <c r="A8487" s="24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5" t="n">
        <v>14.322604</v>
      </c>
    </row>
    <row r="8488">
      <c r="A8488" s="24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5" t="n">
        <v>10.693116</v>
      </c>
    </row>
    <row r="8489">
      <c r="A8489" s="24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5" t="n">
        <v>8.838493</v>
      </c>
    </row>
    <row r="8490">
      <c r="A8490" s="24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5" t="n">
        <v>7.638524</v>
      </c>
    </row>
    <row r="8491">
      <c r="A8491" s="24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5" t="n">
        <v>5.64809</v>
      </c>
    </row>
    <row r="8492">
      <c r="A8492" s="24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5" t="n">
        <v>5.779259</v>
      </c>
    </row>
    <row r="8493">
      <c r="A8493" s="24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5" t="n">
        <v>3.799447</v>
      </c>
    </row>
    <row r="8494">
      <c r="A8494" s="24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5" t="n">
        <v>4.445135</v>
      </c>
    </row>
    <row r="8495">
      <c r="A8495" s="24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5" t="n">
        <v>2.753838</v>
      </c>
    </row>
    <row r="8496">
      <c r="A8496" s="24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5" t="n">
        <v>8.984719999999999</v>
      </c>
    </row>
    <row r="8497">
      <c r="A8497" s="24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5" t="n">
        <v>10.171064</v>
      </c>
    </row>
    <row r="8498">
      <c r="A8498" s="24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5" t="n">
        <v>13.641083</v>
      </c>
    </row>
    <row r="8499">
      <c r="A8499" s="24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5" t="n">
        <v>14.739947</v>
      </c>
    </row>
    <row r="8500">
      <c r="A8500" s="24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5" t="n">
        <v>16.913959</v>
      </c>
    </row>
    <row r="8501">
      <c r="A8501" s="24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5" t="n">
        <v>16.637541</v>
      </c>
    </row>
    <row r="8502">
      <c r="A8502" s="24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5" t="n">
        <v>11.864216</v>
      </c>
    </row>
    <row r="8503">
      <c r="A8503" s="24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5" t="n">
        <v>20.206736</v>
      </c>
    </row>
    <row r="8504">
      <c r="A8504" s="24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5" t="n">
        <v>41.076024</v>
      </c>
    </row>
    <row r="8505">
      <c r="A8505" s="24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5" t="n">
        <v>49.511602</v>
      </c>
    </row>
    <row r="8506">
      <c r="A8506" s="24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5" t="n">
        <v>50.052472</v>
      </c>
    </row>
    <row r="8507">
      <c r="A8507" s="24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5" t="n">
        <v>46.167074</v>
      </c>
    </row>
    <row r="8508">
      <c r="A8508" s="24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5" t="n">
        <v>39.911781</v>
      </c>
    </row>
    <row r="8509">
      <c r="A8509" s="24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5" t="n">
        <v>31.607496</v>
      </c>
    </row>
    <row r="8510">
      <c r="A8510" s="24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5" t="n">
        <v>36.060689</v>
      </c>
    </row>
    <row r="8511">
      <c r="A8511" s="24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5" t="n">
        <v>54.72704</v>
      </c>
    </row>
    <row r="8512">
      <c r="A8512" s="24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5" t="n">
        <v>51.980273</v>
      </c>
    </row>
    <row r="8513">
      <c r="A8513" s="24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5" t="n">
        <v>42.71031</v>
      </c>
    </row>
    <row r="8514">
      <c r="A8514" s="24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5" t="n">
        <v>37.174881</v>
      </c>
    </row>
    <row r="8515">
      <c r="A8515" s="24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5" t="n">
        <v>36.680907</v>
      </c>
    </row>
    <row r="8516">
      <c r="A8516" s="24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5" t="n">
        <v>39.805251</v>
      </c>
    </row>
    <row r="8517">
      <c r="A8517" s="24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5" t="n">
        <v>34.876744</v>
      </c>
    </row>
    <row r="8518">
      <c r="A8518" s="24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5" t="n">
        <v>25.371936</v>
      </c>
    </row>
    <row r="8519">
      <c r="A8519" s="24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5" t="n">
        <v>18.263165</v>
      </c>
    </row>
    <row r="8520">
      <c r="A8520" s="24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5" t="n">
        <v>17.009288</v>
      </c>
    </row>
    <row r="8521">
      <c r="A8521" s="24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5" t="n">
        <v>11.29895</v>
      </c>
    </row>
    <row r="8522">
      <c r="A8522" s="24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5" t="n">
        <v>11.69149</v>
      </c>
    </row>
    <row r="8523">
      <c r="A8523" s="24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5" t="n">
        <v>8.006161000000001</v>
      </c>
    </row>
    <row r="8524">
      <c r="A8524" s="24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5" t="n">
        <v>11.368142</v>
      </c>
    </row>
    <row r="8525">
      <c r="A8525" s="24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5" t="n">
        <v>19.570371</v>
      </c>
    </row>
    <row r="8526">
      <c r="A8526" s="24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5" t="n">
        <v>35.521393</v>
      </c>
    </row>
    <row r="8527">
      <c r="A8527" s="24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5" t="n">
        <v>48.126892</v>
      </c>
    </row>
    <row r="8528">
      <c r="A8528" s="24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5" t="n">
        <v>44.773828</v>
      </c>
    </row>
    <row r="8529">
      <c r="A8529" s="24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5" t="n">
        <v>37.802278</v>
      </c>
    </row>
    <row r="8530">
      <c r="A8530" s="24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5" t="n">
        <v>45.935699</v>
      </c>
    </row>
    <row r="8531">
      <c r="A8531" s="24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5" t="n">
        <v>59.471136</v>
      </c>
    </row>
    <row r="8532">
      <c r="A8532" s="24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5" t="n">
        <v>64.608687</v>
      </c>
    </row>
    <row r="8533">
      <c r="A8533" s="24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5" t="n">
        <v>70.054119</v>
      </c>
    </row>
    <row r="8534">
      <c r="A8534" s="24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5" t="n">
        <v>72.01518900000001</v>
      </c>
    </row>
    <row r="8535">
      <c r="A8535" s="24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5" t="n">
        <v>70.741186</v>
      </c>
    </row>
    <row r="8536">
      <c r="A8536" s="24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5" t="n">
        <v>57.199302</v>
      </c>
    </row>
    <row r="8537">
      <c r="A8537" s="24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5" t="n">
        <v>46.340662</v>
      </c>
    </row>
    <row r="8538">
      <c r="A8538" s="24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5" t="n">
        <v>55.837018</v>
      </c>
    </row>
    <row r="8539">
      <c r="A8539" s="24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5" t="n">
        <v>55.157768</v>
      </c>
    </row>
    <row r="8540">
      <c r="A8540" s="24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5" t="n">
        <v>39.464922</v>
      </c>
    </row>
    <row r="8541">
      <c r="A8541" s="24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5" t="n">
        <v>31.415976</v>
      </c>
    </row>
    <row r="8542">
      <c r="A8542" s="24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5" t="n">
        <v>24.539703</v>
      </c>
    </row>
    <row r="8543">
      <c r="A8543" s="24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5" t="n">
        <v>19.547865</v>
      </c>
    </row>
    <row r="8544">
      <c r="A8544" s="24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5" t="n">
        <v>16.541253</v>
      </c>
    </row>
    <row r="8545">
      <c r="A8545" s="24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5" t="n">
        <v>25.829865</v>
      </c>
    </row>
    <row r="8546">
      <c r="A8546" s="24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5" t="n">
        <v>39.221323</v>
      </c>
    </row>
    <row r="8547">
      <c r="A8547" s="24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5" t="n">
        <v>32.393725</v>
      </c>
    </row>
    <row r="8548">
      <c r="A8548" s="24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5" t="n">
        <v>28.043462</v>
      </c>
    </row>
    <row r="8549">
      <c r="A8549" s="24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5" t="n">
        <v>28.453326</v>
      </c>
    </row>
    <row r="8550">
      <c r="A8550" s="24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5" t="n">
        <v>20.519431</v>
      </c>
    </row>
    <row r="8551">
      <c r="A8551" s="24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5" t="n">
        <v>22.582929</v>
      </c>
    </row>
    <row r="8552">
      <c r="A8552" s="24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5" t="n">
        <v>37.008188</v>
      </c>
    </row>
    <row r="8553">
      <c r="A8553" s="24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5" t="n">
        <v>47.530907</v>
      </c>
    </row>
    <row r="8554">
      <c r="A8554" s="24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5" t="n">
        <v>40.166385</v>
      </c>
    </row>
    <row r="8555">
      <c r="A8555" s="24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5" t="n">
        <v>26.314705</v>
      </c>
    </row>
    <row r="8556">
      <c r="A8556" s="24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5" t="n">
        <v>28.568647</v>
      </c>
    </row>
    <row r="8557">
      <c r="A8557" s="24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5" t="n">
        <v>28.009271</v>
      </c>
    </row>
    <row r="8558">
      <c r="A8558" s="24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5" t="n">
        <v>20.272375</v>
      </c>
    </row>
    <row r="8559">
      <c r="A8559" s="24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5" t="n">
        <v>15.980098</v>
      </c>
    </row>
    <row r="8560">
      <c r="A8560" s="24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5" t="n">
        <v>26.971598</v>
      </c>
    </row>
    <row r="8561">
      <c r="A8561" s="24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5" t="n">
        <v>45.332313</v>
      </c>
    </row>
    <row r="8562">
      <c r="A8562" s="24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5" t="n">
        <v>55.113895</v>
      </c>
    </row>
    <row r="8563">
      <c r="A8563" s="24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5" t="n">
        <v>58.647624</v>
      </c>
    </row>
    <row r="8564">
      <c r="A8564" s="24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5" t="n">
        <v>48.820661</v>
      </c>
    </row>
    <row r="8565">
      <c r="A8565" s="24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5" t="n">
        <v>32.278205</v>
      </c>
    </row>
    <row r="8566">
      <c r="A8566" s="24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5" t="n">
        <v>39.310788</v>
      </c>
    </row>
    <row r="8567">
      <c r="A8567" s="24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5" t="n">
        <v>54.223197</v>
      </c>
    </row>
    <row r="8568">
      <c r="A8568" s="24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5" t="n">
        <v>71.782853</v>
      </c>
    </row>
    <row r="8569">
      <c r="A8569" s="24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5" t="n">
        <v>86.67355000000001</v>
      </c>
    </row>
    <row r="8570">
      <c r="A8570" s="24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5" t="n">
        <v>78.93364</v>
      </c>
    </row>
    <row r="8571">
      <c r="A8571" s="24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5" t="n">
        <v>72.794971</v>
      </c>
    </row>
    <row r="8572">
      <c r="A8572" s="24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5" t="n">
        <v>93.995227</v>
      </c>
    </row>
    <row r="8573">
      <c r="A8573" s="24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5" t="n">
        <v>109.695795</v>
      </c>
    </row>
    <row r="8574">
      <c r="A8574" s="24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5" t="n">
        <v>93.693011</v>
      </c>
    </row>
    <row r="8575">
      <c r="A8575" s="24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5" t="n">
        <v>78.86441000000001</v>
      </c>
    </row>
    <row r="8576">
      <c r="A8576" s="24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5" t="n">
        <v>71.476158</v>
      </c>
    </row>
    <row r="8577">
      <c r="A8577" s="24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5" t="n">
        <v>52.5961</v>
      </c>
    </row>
    <row r="8578">
      <c r="A8578" s="24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5" t="n">
        <v>39.897424</v>
      </c>
    </row>
    <row r="8579">
      <c r="A8579" s="24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5" t="n">
        <v>32.829422</v>
      </c>
    </row>
    <row r="8580">
      <c r="A8580" s="24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5" t="n">
        <v>25.016267</v>
      </c>
    </row>
    <row r="8581">
      <c r="A8581" s="24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5" t="n">
        <v>21.813677</v>
      </c>
    </row>
    <row r="8582">
      <c r="A8582" s="24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5" t="n">
        <v>29.16204</v>
      </c>
    </row>
    <row r="8583">
      <c r="A8583" s="24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5" t="n">
        <v>32.822405</v>
      </c>
    </row>
    <row r="8584">
      <c r="A8584" s="24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5" t="n">
        <v>22.345857</v>
      </c>
    </row>
    <row r="8585">
      <c r="A8585" s="24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5" t="n">
        <v>29.930062</v>
      </c>
    </row>
    <row r="8586">
      <c r="A8586" s="24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5" t="n">
        <v>37.443188</v>
      </c>
    </row>
    <row r="8587">
      <c r="A8587" s="24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5" t="n">
        <v>24.671288</v>
      </c>
    </row>
    <row r="8588">
      <c r="A8588" s="24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5" t="n">
        <v>33.319209</v>
      </c>
    </row>
    <row r="8589">
      <c r="A8589" s="24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5" t="n">
        <v>42.746375</v>
      </c>
    </row>
    <row r="8590">
      <c r="A8590" s="24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5" t="n">
        <v>48.901562</v>
      </c>
    </row>
    <row r="8591">
      <c r="A8591" s="24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5" t="n">
        <v>78.935604</v>
      </c>
    </row>
    <row r="8592">
      <c r="A8592" s="24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5" t="n">
        <v>102.41058</v>
      </c>
    </row>
    <row r="8593">
      <c r="A8593" s="24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5" t="n">
        <v>85.453073</v>
      </c>
    </row>
    <row r="8594">
      <c r="A8594" s="24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5" t="n">
        <v>72.998107</v>
      </c>
    </row>
    <row r="8595">
      <c r="A8595" s="24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5" t="n">
        <v>76.64141100000001</v>
      </c>
    </row>
    <row r="8596">
      <c r="A8596" s="24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5" t="n">
        <v>65.805187</v>
      </c>
    </row>
    <row r="8597">
      <c r="A8597" s="24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5" t="n">
        <v>49.161279</v>
      </c>
    </row>
    <row r="8598">
      <c r="A8598" s="24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5" t="n">
        <v>37.548203</v>
      </c>
    </row>
    <row r="8599">
      <c r="A8599" s="24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5" t="n">
        <v>29.740078</v>
      </c>
    </row>
    <row r="8600">
      <c r="A8600" s="24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5" t="n">
        <v>23.553495</v>
      </c>
    </row>
    <row r="8601">
      <c r="A8601" s="24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5" t="n">
        <v>19.703539</v>
      </c>
    </row>
    <row r="8602">
      <c r="A8602" s="24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5" t="n">
        <v>15.788276</v>
      </c>
    </row>
    <row r="8603">
      <c r="A8603" s="24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5" t="n">
        <v>13.894572</v>
      </c>
    </row>
    <row r="8604">
      <c r="A8604" s="24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5" t="n">
        <v>11.16687</v>
      </c>
    </row>
    <row r="8605">
      <c r="A8605" s="24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5" t="n">
        <v>10.214286</v>
      </c>
    </row>
    <row r="8606">
      <c r="A8606" s="24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5" t="n">
        <v>8.266972000000001</v>
      </c>
    </row>
    <row r="8607">
      <c r="A8607" s="24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5" t="n">
        <v>7.700473</v>
      </c>
    </row>
    <row r="8608">
      <c r="A8608" s="24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5" t="n">
        <v>6.35839</v>
      </c>
    </row>
    <row r="8609">
      <c r="A8609" s="24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5" t="n">
        <v>5.885458</v>
      </c>
    </row>
    <row r="8610">
      <c r="A8610" s="24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5" t="n">
        <v>5.039839</v>
      </c>
    </row>
    <row r="8611">
      <c r="A8611" s="24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5" t="n">
        <v>20.195097</v>
      </c>
    </row>
    <row r="8612">
      <c r="A8612" s="24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5" t="n">
        <v>41.525902</v>
      </c>
    </row>
    <row r="8613">
      <c r="A8613" s="24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5" t="n">
        <v>49.386263</v>
      </c>
    </row>
    <row r="8614">
      <c r="A8614" s="24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5" t="n">
        <v>47.347203</v>
      </c>
    </row>
    <row r="8615">
      <c r="A8615" s="24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5" t="n">
        <v>37.102717</v>
      </c>
    </row>
    <row r="8616">
      <c r="A8616" s="24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5" t="n">
        <v>25.642083</v>
      </c>
    </row>
    <row r="8617">
      <c r="A8617" s="24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5" t="n">
        <v>20.882515</v>
      </c>
    </row>
    <row r="8618">
      <c r="A8618" s="24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5" t="n">
        <v>15.896498</v>
      </c>
    </row>
    <row r="8619">
      <c r="A8619" s="24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5" t="n">
        <v>12.682062</v>
      </c>
    </row>
    <row r="8620">
      <c r="A8620" s="24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5" t="n">
        <v>10.795397</v>
      </c>
    </row>
    <row r="8621">
      <c r="A8621" s="24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5" t="n">
        <v>14.693906</v>
      </c>
    </row>
    <row r="8622">
      <c r="A8622" s="24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5" t="n">
        <v>27.492052</v>
      </c>
    </row>
    <row r="8623">
      <c r="A8623" s="24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5" t="n">
        <v>25.341525</v>
      </c>
    </row>
    <row r="8624">
      <c r="A8624" s="24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5" t="n">
        <v>16.692338</v>
      </c>
    </row>
    <row r="8625">
      <c r="A8625" s="24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5" t="n">
        <v>12.7331</v>
      </c>
    </row>
    <row r="8626">
      <c r="A8626" s="24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5" t="n">
        <v>10.958552</v>
      </c>
    </row>
    <row r="8627">
      <c r="A8627" s="24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5" t="n">
        <v>7.628062</v>
      </c>
    </row>
    <row r="8628">
      <c r="A8628" s="24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5" t="n">
        <v>7.519883</v>
      </c>
    </row>
    <row r="8629">
      <c r="A8629" s="24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5" t="n">
        <v>5.274937</v>
      </c>
    </row>
    <row r="8630">
      <c r="A8630" s="24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5" t="n">
        <v>5.174145</v>
      </c>
    </row>
    <row r="8631">
      <c r="A8631" s="24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5" t="n">
        <v>4.073101</v>
      </c>
    </row>
    <row r="8632">
      <c r="A8632" s="24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5" t="n">
        <v>3.553614</v>
      </c>
    </row>
    <row r="8633">
      <c r="A8633" s="24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5" t="n">
        <v>3.339656</v>
      </c>
    </row>
    <row r="8634">
      <c r="A8634" s="24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5" t="n">
        <v>2.463129</v>
      </c>
    </row>
    <row r="8635">
      <c r="A8635" s="24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5" t="n">
        <v>2.782967</v>
      </c>
    </row>
    <row r="8636">
      <c r="A8636" s="24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5" t="n">
        <v>1.760713</v>
      </c>
    </row>
    <row r="8637">
      <c r="A8637" s="24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5" t="n">
        <v>2.292517</v>
      </c>
    </row>
    <row r="8638">
      <c r="A8638" s="24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5" t="n">
        <v>1.330098</v>
      </c>
    </row>
    <row r="8639">
      <c r="A8639" s="24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5" t="n">
        <v>11.630766</v>
      </c>
    </row>
    <row r="8640">
      <c r="A8640" s="24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5" t="n">
        <v>15.066171</v>
      </c>
    </row>
    <row r="8641">
      <c r="A8641" s="24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5" t="n">
        <v>22.294156</v>
      </c>
    </row>
    <row r="8642">
      <c r="A8642" s="24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5" t="n">
        <v>33.637781</v>
      </c>
    </row>
    <row r="8643">
      <c r="A8643" s="24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5" t="n">
        <v>38.082918</v>
      </c>
    </row>
    <row r="8644">
      <c r="A8644" s="24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5" t="n">
        <v>31.060911</v>
      </c>
    </row>
    <row r="8645">
      <c r="A8645" s="24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5" t="n">
        <v>30.156131</v>
      </c>
    </row>
    <row r="8646">
      <c r="A8646" s="24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5" t="n">
        <v>35.701509</v>
      </c>
    </row>
    <row r="8647">
      <c r="A8647" s="24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5" t="n">
        <v>46.717186</v>
      </c>
    </row>
    <row r="8648">
      <c r="A8648" s="24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5" t="n">
        <v>40.782006</v>
      </c>
    </row>
    <row r="8649">
      <c r="A8649" s="24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5" t="n">
        <v>30.792648</v>
      </c>
    </row>
    <row r="8650">
      <c r="A8650" s="24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5" t="n">
        <v>21.795393</v>
      </c>
    </row>
    <row r="8651">
      <c r="A8651" s="24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5" t="n">
        <v>30.561388</v>
      </c>
    </row>
    <row r="8652">
      <c r="A8652" s="24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5" t="n">
        <v>48.695816</v>
      </c>
    </row>
    <row r="8653">
      <c r="A8653" s="24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5" t="n">
        <v>56.767446</v>
      </c>
    </row>
    <row r="8654">
      <c r="A8654" s="24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5" t="n">
        <v>56.417739</v>
      </c>
    </row>
    <row r="8655">
      <c r="A8655" s="24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5" t="n">
        <v>43.335262</v>
      </c>
    </row>
    <row r="8656">
      <c r="A8656" s="24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5" t="n">
        <v>47.931998</v>
      </c>
    </row>
    <row r="8657">
      <c r="A8657" s="24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5" t="n">
        <v>61.900297</v>
      </c>
    </row>
    <row r="8658">
      <c r="A8658" s="24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5" t="n">
        <v>65.468569</v>
      </c>
    </row>
    <row r="8659">
      <c r="A8659" s="24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5" t="n">
        <v>57.439588</v>
      </c>
    </row>
    <row r="8660">
      <c r="A8660" s="24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5" t="n">
        <v>46.437823</v>
      </c>
    </row>
    <row r="8661">
      <c r="A8661" s="24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5" t="n">
        <v>32.092861</v>
      </c>
    </row>
    <row r="8662">
      <c r="A8662" s="24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5" t="n">
        <v>27.468151</v>
      </c>
    </row>
    <row r="8663">
      <c r="A8663" s="24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5" t="n">
        <v>20.496382</v>
      </c>
    </row>
    <row r="8664">
      <c r="A8664" s="24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5" t="n">
        <v>17.18064</v>
      </c>
    </row>
    <row r="8665">
      <c r="A8665" s="24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5" t="n">
        <v>14.460281</v>
      </c>
    </row>
    <row r="8666">
      <c r="A8666" s="24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5" t="n">
        <v>11.187345</v>
      </c>
    </row>
    <row r="8667">
      <c r="A8667" s="24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5" t="n">
        <v>10.876745</v>
      </c>
    </row>
    <row r="8668">
      <c r="A8668" s="24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5" t="n">
        <v>7.588497</v>
      </c>
    </row>
    <row r="8669">
      <c r="A8669" s="24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5" t="n">
        <v>20.462421</v>
      </c>
    </row>
    <row r="8670">
      <c r="A8670" s="24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5" t="n">
        <v>23.549264</v>
      </c>
    </row>
    <row r="8671">
      <c r="A8671" s="24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5" t="n">
        <v>16.674142</v>
      </c>
    </row>
    <row r="8672">
      <c r="A8672" s="24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5" t="n">
        <v>12.653457</v>
      </c>
    </row>
    <row r="8673">
      <c r="A8673" s="24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5" t="n">
        <v>14.772982</v>
      </c>
    </row>
    <row r="8674">
      <c r="A8674" s="24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5" t="n">
        <v>8.683581999999999</v>
      </c>
    </row>
    <row r="8675">
      <c r="A8675" s="24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5" t="n">
        <v>21.062521</v>
      </c>
    </row>
    <row r="8676">
      <c r="A8676" s="24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5" t="n">
        <v>22.767366</v>
      </c>
    </row>
    <row r="8677">
      <c r="A8677" s="24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5" t="n">
        <v>14.494655</v>
      </c>
    </row>
    <row r="8678">
      <c r="A8678" s="24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5" t="n">
        <v>10.853239</v>
      </c>
    </row>
    <row r="8679">
      <c r="A8679" s="24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5" t="n">
        <v>9.596454</v>
      </c>
    </row>
    <row r="8680">
      <c r="A8680" s="24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5" t="n">
        <v>20.818261</v>
      </c>
    </row>
    <row r="8681">
      <c r="A8681" s="24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5" t="n">
        <v>38.391909</v>
      </c>
    </row>
    <row r="8682">
      <c r="A8682" s="24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5" t="n">
        <v>32.164183</v>
      </c>
    </row>
    <row r="8683">
      <c r="A8683" s="24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5" t="n">
        <v>19.12892</v>
      </c>
    </row>
    <row r="8684">
      <c r="A8684" s="24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5" t="n">
        <v>32.145552</v>
      </c>
    </row>
    <row r="8685">
      <c r="A8685" s="24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5" t="n">
        <v>46.396018</v>
      </c>
    </row>
    <row r="8686">
      <c r="A8686" s="24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5" t="n">
        <v>45.021234</v>
      </c>
    </row>
    <row r="8687">
      <c r="A8687" s="24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5" t="n">
        <v>34.431281</v>
      </c>
    </row>
    <row r="8688">
      <c r="A8688" s="24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5" t="n">
        <v>37.640715</v>
      </c>
    </row>
    <row r="8689">
      <c r="A8689" s="24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5" t="n">
        <v>30.204109</v>
      </c>
    </row>
    <row r="8690">
      <c r="A8690" s="24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5" t="n">
        <v>21.966236</v>
      </c>
    </row>
    <row r="8691">
      <c r="A8691" s="24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5" t="n">
        <v>16.970419</v>
      </c>
    </row>
    <row r="8692">
      <c r="A8692" s="24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5" t="n">
        <v>13.859002</v>
      </c>
    </row>
    <row r="8693">
      <c r="A8693" s="24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5" t="n">
        <v>17.489361</v>
      </c>
    </row>
    <row r="8694">
      <c r="A8694" s="24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5" t="n">
        <v>18.616552</v>
      </c>
    </row>
    <row r="8695">
      <c r="A8695" s="24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5" t="n">
        <v>12.542802</v>
      </c>
    </row>
    <row r="8696">
      <c r="A8696" s="24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5" t="n">
        <v>9.645909</v>
      </c>
    </row>
    <row r="8697">
      <c r="A8697" s="24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5" t="n">
        <v>9.18684</v>
      </c>
    </row>
    <row r="8698">
      <c r="A8698" s="24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5" t="n">
        <v>5.821537</v>
      </c>
    </row>
    <row r="8699">
      <c r="A8699" s="24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5" t="n">
        <v>6.819239</v>
      </c>
    </row>
    <row r="8700">
      <c r="A8700" s="24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5" t="n">
        <v>4.029356</v>
      </c>
    </row>
    <row r="8701">
      <c r="A8701" s="24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5" t="n">
        <v>5.00843</v>
      </c>
    </row>
    <row r="8702">
      <c r="A8702" s="24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5" t="n">
        <v>3.117964</v>
      </c>
    </row>
    <row r="8703">
      <c r="A8703" s="24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5" t="n">
        <v>3.645671</v>
      </c>
    </row>
    <row r="8704">
      <c r="A8704" s="24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5" t="n">
        <v>2.576364</v>
      </c>
    </row>
    <row r="8705">
      <c r="A8705" s="24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5" t="n">
        <v>2.652197</v>
      </c>
    </row>
    <row r="8706">
      <c r="A8706" s="24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5" t="n">
        <v>2.181199</v>
      </c>
    </row>
    <row r="8707">
      <c r="A8707" s="24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5" t="n">
        <v>1.949431</v>
      </c>
    </row>
    <row r="8708">
      <c r="A8708" s="24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5" t="n">
        <v>1.845153</v>
      </c>
    </row>
    <row r="8709">
      <c r="A8709" s="24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5" t="n">
        <v>1.46222</v>
      </c>
    </row>
    <row r="8710">
      <c r="A8710" s="24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5" t="n">
        <v>1.54208</v>
      </c>
    </row>
    <row r="8711">
      <c r="A8711" s="24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5" t="n">
        <v>1.126008</v>
      </c>
    </row>
    <row r="8712">
      <c r="A8712" s="24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5" t="n">
        <v>1.269786</v>
      </c>
    </row>
    <row r="8713">
      <c r="A8713" s="24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5" t="n">
        <v>0.890251</v>
      </c>
    </row>
    <row r="8714">
      <c r="A8714" s="24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5" t="n">
        <v>1.032349</v>
      </c>
    </row>
    <row r="8715">
      <c r="A8715" s="24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5" t="n">
        <v>0.718494</v>
      </c>
    </row>
    <row r="8716">
      <c r="A8716" s="24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5" t="n">
        <v>0.832739</v>
      </c>
    </row>
    <row r="8717">
      <c r="A8717" s="24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5" t="n">
        <v>0.5864780000000001</v>
      </c>
    </row>
    <row r="8718">
      <c r="A8718" s="24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5" t="n">
        <v>0.670647</v>
      </c>
    </row>
    <row r="8719">
      <c r="A8719" s="24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5" t="n">
        <v>0.479409</v>
      </c>
    </row>
    <row r="8720">
      <c r="A8720" s="24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5" t="n">
        <v>0.542703</v>
      </c>
    </row>
    <row r="8721">
      <c r="A8721" s="24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5" t="n">
        <v>0.38917</v>
      </c>
    </row>
    <row r="8722">
      <c r="A8722" s="24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5" t="n">
        <v>0.443564</v>
      </c>
    </row>
    <row r="8723">
      <c r="A8723" s="24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5" t="n">
        <v>0.311901</v>
      </c>
    </row>
    <row r="8724">
      <c r="A8724" s="24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5" t="n">
        <v>0.369145</v>
      </c>
    </row>
    <row r="8725">
      <c r="A8725" s="24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5" t="n">
        <v>3.736152</v>
      </c>
    </row>
    <row r="8726">
      <c r="A8726" s="24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5" t="n">
        <v>7.785925</v>
      </c>
    </row>
    <row r="8727">
      <c r="A8727" s="24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5" t="n">
        <v>6.303843</v>
      </c>
    </row>
    <row r="8728">
      <c r="A8728" s="24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5" t="n">
        <v>7.172361</v>
      </c>
    </row>
    <row r="8729">
      <c r="A8729" s="24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5" t="n">
        <v>7.903019</v>
      </c>
    </row>
    <row r="8730">
      <c r="A8730" s="24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5" t="n">
        <v>4.648358</v>
      </c>
    </row>
    <row r="8731">
      <c r="A8731" s="24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5" t="n">
        <v>9.101877</v>
      </c>
    </row>
    <row r="8732">
      <c r="A8732" s="24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5" t="n">
        <v>14.054017</v>
      </c>
    </row>
    <row r="8733">
      <c r="A8733" s="24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5" t="n">
        <v>10.055074</v>
      </c>
    </row>
    <row r="8734">
      <c r="A8734" s="24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5" t="n">
        <v>7.104601</v>
      </c>
    </row>
    <row r="8735">
      <c r="A8735" s="24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5" t="n">
        <v>5.445737</v>
      </c>
    </row>
    <row r="8736">
      <c r="A8736" s="24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5" t="n">
        <v>4.071322</v>
      </c>
    </row>
    <row r="8737">
      <c r="A8737" s="24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5" t="n">
        <v>3.360571</v>
      </c>
    </row>
    <row r="8738">
      <c r="A8738" s="24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5" t="n">
        <v>2.589361</v>
      </c>
    </row>
    <row r="8739">
      <c r="A8739" s="24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5" t="n">
        <v>4.209725</v>
      </c>
    </row>
    <row r="8740">
      <c r="A8740" s="24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5" t="n">
        <v>6.527976</v>
      </c>
    </row>
    <row r="8741">
      <c r="A8741" s="24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5" t="n">
        <v>10.466737</v>
      </c>
    </row>
    <row r="8742">
      <c r="A8742" s="24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5" t="n">
        <v>10.427347</v>
      </c>
    </row>
    <row r="8743">
      <c r="A8743" s="24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5" t="n">
        <v>6.55071</v>
      </c>
    </row>
    <row r="8744">
      <c r="A8744" s="24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5" t="n">
        <v>10.947355</v>
      </c>
    </row>
    <row r="8745">
      <c r="A8745" s="24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5" t="n">
        <v>13.140865</v>
      </c>
    </row>
    <row r="8746">
      <c r="A8746" s="24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5" t="n">
        <v>8.294142000000001</v>
      </c>
    </row>
    <row r="8747">
      <c r="A8747" s="24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5" t="n">
        <v>17.759443</v>
      </c>
    </row>
    <row r="8748">
      <c r="A8748" s="24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5" t="n">
        <v>25.877493</v>
      </c>
    </row>
    <row r="8749">
      <c r="A8749" s="24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5" t="n">
        <v>19.268595</v>
      </c>
    </row>
    <row r="8750">
      <c r="A8750" s="24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5" t="n">
        <v>13.294528</v>
      </c>
    </row>
    <row r="8751">
      <c r="A8751" s="24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5" t="n">
        <v>10.24655</v>
      </c>
    </row>
    <row r="8752">
      <c r="A8752" s="24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5" t="n">
        <v>7.754143</v>
      </c>
    </row>
    <row r="8753">
      <c r="A8753" s="24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5" t="n">
        <v>11.717176</v>
      </c>
    </row>
    <row r="8754">
      <c r="A8754" s="24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5" t="n">
        <v>12.816613</v>
      </c>
    </row>
    <row r="8755">
      <c r="A8755" s="24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5" t="n">
        <v>22.082603</v>
      </c>
    </row>
    <row r="8756">
      <c r="A8756" s="24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5" t="n">
        <v>33.493887</v>
      </c>
    </row>
    <row r="8757">
      <c r="A8757" s="24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5" t="n">
        <v>25.951084</v>
      </c>
    </row>
    <row r="8758">
      <c r="A8758" s="24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5" t="n">
        <v>15.718482</v>
      </c>
    </row>
    <row r="8759">
      <c r="A8759" s="24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5" t="n">
        <v>26.321872</v>
      </c>
    </row>
    <row r="8760">
      <c r="A8760" s="24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5" t="n">
        <v>27.267918</v>
      </c>
    </row>
    <row r="8761">
      <c r="A8761" s="24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5" t="n">
        <v>19.139977</v>
      </c>
    </row>
    <row r="8762">
      <c r="A8762" s="24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5" t="n">
        <v>13.255295</v>
      </c>
    </row>
    <row r="8763">
      <c r="A8763" s="24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5" t="n">
        <v>15.424152</v>
      </c>
    </row>
    <row r="8764">
      <c r="A8764" s="24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5" t="n">
        <v>12.995301</v>
      </c>
    </row>
    <row r="8765">
      <c r="A8765" s="24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5" t="n">
        <v>10.109114</v>
      </c>
    </row>
    <row r="8766">
      <c r="A8766" s="24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5" t="n">
        <v>9.983252</v>
      </c>
    </row>
    <row r="8767">
      <c r="A8767" s="24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5" t="n">
        <v>19.468531</v>
      </c>
    </row>
    <row r="8768">
      <c r="A8768" s="24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5" t="n">
        <v>35.472892</v>
      </c>
    </row>
    <row r="8769">
      <c r="A8769" s="24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5" t="n">
        <v>34.57743</v>
      </c>
    </row>
    <row r="8770">
      <c r="A8770" s="24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5" t="n">
        <v>33.314674</v>
      </c>
    </row>
    <row r="8771">
      <c r="A8771" s="24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5" t="n">
        <v>31.792559</v>
      </c>
    </row>
    <row r="8772">
      <c r="A8772" s="24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5" t="n">
        <v>22.075812</v>
      </c>
    </row>
    <row r="8773">
      <c r="A8773" s="24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5" t="n">
        <v>27.286362</v>
      </c>
    </row>
    <row r="8774">
      <c r="A8774" s="24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5" t="n">
        <v>41.664575</v>
      </c>
    </row>
    <row r="8775">
      <c r="A8775" s="24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5" t="n">
        <v>44.876892</v>
      </c>
    </row>
    <row r="8776">
      <c r="A8776" s="24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5" t="n">
        <v>49.913708</v>
      </c>
    </row>
    <row r="8777">
      <c r="A8777" s="24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5" t="n">
        <v>37.493102</v>
      </c>
    </row>
    <row r="8778">
      <c r="A8778" s="24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5" t="n">
        <v>38.417012</v>
      </c>
    </row>
    <row r="8779">
      <c r="A8779" s="24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5" t="n">
        <v>38.791137</v>
      </c>
    </row>
    <row r="8780">
      <c r="A8780" s="24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5" t="n">
        <v>23.527461</v>
      </c>
    </row>
    <row r="8781">
      <c r="A8781" s="24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5" t="n">
        <v>20.623701</v>
      </c>
    </row>
    <row r="8782">
      <c r="A8782" s="24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5" t="n">
        <v>15.37341</v>
      </c>
    </row>
    <row r="8783">
      <c r="A8783" s="24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5" t="n">
        <v>17.160229</v>
      </c>
    </row>
    <row r="8784">
      <c r="A8784" s="24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5" t="n">
        <v>17.045075</v>
      </c>
    </row>
    <row r="8785">
      <c r="A8785" s="24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5" t="n">
        <v>11.907303</v>
      </c>
    </row>
    <row r="8786">
      <c r="A8786" s="24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5" t="n">
        <v>9.732863</v>
      </c>
    </row>
    <row r="8787">
      <c r="A8787" s="24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5" t="n">
        <v>8.589491000000001</v>
      </c>
    </row>
    <row r="8788">
      <c r="A8788" s="24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5" t="n">
        <v>6.341411</v>
      </c>
    </row>
    <row r="8789">
      <c r="A8789" s="24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5" t="n">
        <v>6.314458</v>
      </c>
    </row>
    <row r="8790">
      <c r="A8790" s="24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5" t="n">
        <v>4.620783</v>
      </c>
    </row>
    <row r="8791">
      <c r="A8791" s="24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5" t="n">
        <v>4.593805</v>
      </c>
    </row>
    <row r="8792">
      <c r="A8792" s="24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5" t="n">
        <v>15.322378</v>
      </c>
    </row>
    <row r="8793">
      <c r="A8793" s="24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5" t="n">
        <v>19.913697</v>
      </c>
    </row>
    <row r="8794">
      <c r="A8794" s="24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5" t="n">
        <v>11.60029</v>
      </c>
    </row>
    <row r="8795">
      <c r="A8795" s="24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5" t="n">
        <v>13.844037</v>
      </c>
    </row>
    <row r="8796">
      <c r="A8796" s="24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5" t="n">
        <v>20.263574</v>
      </c>
    </row>
    <row r="8797">
      <c r="A8797" s="24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5" t="n">
        <v>22.380086</v>
      </c>
    </row>
    <row r="8798">
      <c r="A8798" s="24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5" t="n">
        <v>24.147177</v>
      </c>
    </row>
    <row r="8799">
      <c r="A8799" s="24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5" t="n">
        <v>13.856634</v>
      </c>
    </row>
    <row r="8800">
      <c r="A8800" s="24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5" t="n">
        <v>11.676591</v>
      </c>
    </row>
    <row r="8801">
      <c r="A8801" s="24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5" t="n">
        <v>9.320199000000001</v>
      </c>
    </row>
    <row r="8802">
      <c r="A8802" s="24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5" t="n">
        <v>10.491068</v>
      </c>
    </row>
    <row r="8803">
      <c r="A8803" s="24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5" t="n">
        <v>27.361508</v>
      </c>
    </row>
    <row r="8804">
      <c r="A8804" s="24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5" t="n">
        <v>43.92754</v>
      </c>
    </row>
    <row r="8805">
      <c r="A8805" s="24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5" t="n">
        <v>53.362665</v>
      </c>
    </row>
    <row r="8806">
      <c r="A8806" s="24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5" t="n">
        <v>44.537992</v>
      </c>
    </row>
    <row r="8807">
      <c r="A8807" s="24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5" t="n">
        <v>34.825364</v>
      </c>
    </row>
    <row r="8808">
      <c r="A8808" s="24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5" t="n">
        <v>35.806962</v>
      </c>
    </row>
    <row r="8809">
      <c r="A8809" s="24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5" t="n">
        <v>31.737638</v>
      </c>
    </row>
    <row r="8810">
      <c r="A8810" s="24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5" t="n">
        <v>33.243823</v>
      </c>
    </row>
    <row r="8811">
      <c r="A8811" s="24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5" t="n">
        <v>42.935441</v>
      </c>
    </row>
    <row r="8812">
      <c r="A8812" s="24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5" t="n">
        <v>32.759304</v>
      </c>
    </row>
    <row r="8813">
      <c r="A8813" s="24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5" t="n">
        <v>22.351941</v>
      </c>
    </row>
    <row r="8814">
      <c r="A8814" s="24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5" t="n">
        <v>19.39943</v>
      </c>
    </row>
    <row r="8815">
      <c r="A8815" s="24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5" t="n">
        <v>13.440607</v>
      </c>
    </row>
    <row r="8816">
      <c r="A8816" s="24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5" t="n">
        <v>12.54465</v>
      </c>
    </row>
    <row r="8817">
      <c r="A8817" s="24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5" t="n">
        <v>10.788169</v>
      </c>
    </row>
    <row r="8818">
      <c r="A8818" s="24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5" t="n">
        <v>10.8313</v>
      </c>
    </row>
    <row r="8819">
      <c r="A8819" s="24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5" t="n">
        <v>15.265319</v>
      </c>
    </row>
    <row r="8820">
      <c r="A8820" s="24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5" t="n">
        <v>24.36671</v>
      </c>
    </row>
    <row r="8821">
      <c r="A8821" s="24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5" t="n">
        <v>21.900461</v>
      </c>
    </row>
    <row r="8822">
      <c r="A8822" s="24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5" t="n">
        <v>21.630426</v>
      </c>
    </row>
    <row r="8823">
      <c r="A8823" s="24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5" t="n">
        <v>40.055847</v>
      </c>
    </row>
    <row r="8824">
      <c r="A8824" s="24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5" t="n">
        <v>51.764954</v>
      </c>
    </row>
    <row r="8825">
      <c r="A8825" s="24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5" t="n">
        <v>48.251611</v>
      </c>
    </row>
    <row r="8826">
      <c r="A8826" s="24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5" t="n">
        <v>34.503234</v>
      </c>
    </row>
    <row r="8827">
      <c r="A8827" s="24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5" t="n">
        <v>25.790741</v>
      </c>
    </row>
    <row r="8828">
      <c r="A8828" s="24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5" t="n">
        <v>29.165593</v>
      </c>
    </row>
    <row r="8829">
      <c r="A8829" s="24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5" t="n">
        <v>33.200817</v>
      </c>
    </row>
    <row r="8830">
      <c r="A8830" s="24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5" t="n">
        <v>27.606795</v>
      </c>
    </row>
    <row r="8831">
      <c r="A8831" s="24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5" t="n">
        <v>20.800175</v>
      </c>
    </row>
    <row r="8832">
      <c r="A8832" s="24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5" t="n">
        <v>16.741751</v>
      </c>
    </row>
    <row r="8833">
      <c r="A8833" s="24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5" t="n">
        <v>12.438365</v>
      </c>
    </row>
    <row r="8834">
      <c r="A8834" s="24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5" t="n">
        <v>10.95566</v>
      </c>
    </row>
    <row r="8835">
      <c r="A8835" s="24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5" t="n">
        <v>8.433508</v>
      </c>
    </row>
    <row r="8836">
      <c r="A8836" s="24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5" t="n">
        <v>10.198576</v>
      </c>
    </row>
    <row r="8837">
      <c r="A8837" s="24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5" t="n">
        <v>10.06326</v>
      </c>
    </row>
    <row r="8838">
      <c r="A8838" s="24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5" t="n">
        <v>7.287003</v>
      </c>
    </row>
    <row r="8839">
      <c r="A8839" s="24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5" t="n">
        <v>6.099364</v>
      </c>
    </row>
    <row r="8840">
      <c r="A8840" s="24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5" t="n">
        <v>8.754137</v>
      </c>
    </row>
    <row r="8841">
      <c r="A8841" s="24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5" t="n">
        <v>9.177991</v>
      </c>
    </row>
    <row r="8842">
      <c r="A8842" s="24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5" t="n">
        <v>6.469926</v>
      </c>
    </row>
    <row r="8843">
      <c r="A8843" s="24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5" t="n">
        <v>4.912528</v>
      </c>
    </row>
    <row r="8844">
      <c r="A8844" s="24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5" t="n">
        <v>4.733644</v>
      </c>
    </row>
    <row r="8845">
      <c r="A8845" s="24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5" t="n">
        <v>15.598191</v>
      </c>
    </row>
    <row r="8846">
      <c r="A8846" s="24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5" t="n">
        <v>23.67418</v>
      </c>
    </row>
    <row r="8847">
      <c r="A8847" s="24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5" t="n">
        <v>24.606118</v>
      </c>
    </row>
    <row r="8848">
      <c r="A8848" s="24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5" t="n">
        <v>24.572775</v>
      </c>
    </row>
    <row r="8849">
      <c r="A8849" s="24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5" t="n">
        <v>16.479183</v>
      </c>
    </row>
    <row r="8850">
      <c r="A8850" s="24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5" t="n">
        <v>10.828216</v>
      </c>
    </row>
    <row r="8851">
      <c r="A8851" s="24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5" t="n">
        <v>10.983665</v>
      </c>
    </row>
    <row r="8852">
      <c r="A8852" s="24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5" t="n">
        <v>9.082342000000001</v>
      </c>
    </row>
    <row r="8853">
      <c r="A8853" s="24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5" t="n">
        <v>12.410128</v>
      </c>
    </row>
    <row r="8854">
      <c r="A8854" s="24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5" t="n">
        <v>12.140205</v>
      </c>
    </row>
    <row r="8855">
      <c r="A8855" s="24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5" t="n">
        <v>22.546412</v>
      </c>
    </row>
    <row r="8856">
      <c r="A8856" s="24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5" t="n">
        <v>29.114413</v>
      </c>
    </row>
    <row r="8857">
      <c r="A8857" s="24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5" t="n">
        <v>21.533267</v>
      </c>
    </row>
    <row r="8858">
      <c r="A8858" s="24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5" t="n">
        <v>15.973914</v>
      </c>
    </row>
    <row r="8859">
      <c r="A8859" s="24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5" t="n">
        <v>11.195335</v>
      </c>
    </row>
    <row r="8860">
      <c r="A8860" s="24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5" t="n">
        <v>9.925345999999999</v>
      </c>
    </row>
    <row r="8861">
      <c r="A8861" s="24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5" t="n">
        <v>6.738547</v>
      </c>
    </row>
    <row r="8862">
      <c r="A8862" s="24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5" t="n">
        <v>7.004773</v>
      </c>
    </row>
    <row r="8863">
      <c r="A8863" s="24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5" t="n">
        <v>14.299195</v>
      </c>
    </row>
    <row r="8864">
      <c r="A8864" s="24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5" t="n">
        <v>31.725363</v>
      </c>
    </row>
    <row r="8865">
      <c r="A8865" s="24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5" t="n">
        <v>45.824625</v>
      </c>
    </row>
    <row r="8866">
      <c r="A8866" s="24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5" t="n">
        <v>55.036957</v>
      </c>
    </row>
    <row r="8867">
      <c r="A8867" s="24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5" t="n">
        <v>53.807603</v>
      </c>
    </row>
    <row r="8868">
      <c r="A8868" s="24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5" t="n">
        <v>39.263669</v>
      </c>
    </row>
    <row r="8869">
      <c r="A8869" s="24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5" t="n">
        <v>32.970621</v>
      </c>
    </row>
    <row r="8870">
      <c r="A8870" s="24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5" t="n">
        <v>28.781545</v>
      </c>
    </row>
    <row r="8871">
      <c r="A8871" s="24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5" t="n">
        <v>37.812107</v>
      </c>
    </row>
    <row r="8872">
      <c r="A8872" s="24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5" t="n">
        <v>52.603432</v>
      </c>
    </row>
    <row r="8873">
      <c r="A8873" s="24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5" t="n">
        <v>46.264384</v>
      </c>
    </row>
    <row r="8874">
      <c r="A8874" s="24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5" t="n">
        <v>33.773691</v>
      </c>
    </row>
    <row r="8875">
      <c r="A8875" s="24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5" t="n">
        <v>32.304117</v>
      </c>
    </row>
    <row r="8876">
      <c r="A8876" s="24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5" t="n">
        <v>25.285868</v>
      </c>
    </row>
    <row r="8877">
      <c r="A8877" s="24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5" t="n">
        <v>37.612934</v>
      </c>
    </row>
    <row r="8878">
      <c r="A8878" s="24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5" t="n">
        <v>43.388042</v>
      </c>
    </row>
    <row r="8879">
      <c r="A8879" s="24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5" t="n">
        <v>36.668391</v>
      </c>
    </row>
    <row r="8880">
      <c r="A8880" s="24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5" t="n">
        <v>31.904721</v>
      </c>
    </row>
    <row r="8881">
      <c r="A8881" s="24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5" t="n">
        <v>22.502429</v>
      </c>
    </row>
    <row r="8882">
      <c r="A8882" s="24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5" t="n">
        <v>20.56342</v>
      </c>
    </row>
    <row r="8883">
      <c r="A8883" s="24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5" t="n">
        <v>27.889857</v>
      </c>
    </row>
    <row r="8884">
      <c r="A8884" s="24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5" t="n">
        <v>40.620304</v>
      </c>
    </row>
    <row r="8885">
      <c r="A8885" s="24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5" t="n">
        <v>54.5352</v>
      </c>
    </row>
    <row r="8886">
      <c r="A8886" s="24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5" t="n">
        <v>59.765348</v>
      </c>
    </row>
    <row r="8887">
      <c r="A8887" s="24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5" t="n">
        <v>58.236019</v>
      </c>
    </row>
    <row r="8888">
      <c r="A8888" s="24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5" t="n">
        <v>46.058049</v>
      </c>
    </row>
    <row r="8889">
      <c r="A8889" s="24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5" t="n">
        <v>32.125172</v>
      </c>
    </row>
    <row r="8890">
      <c r="A8890" s="24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5" t="n">
        <v>26.006863</v>
      </c>
    </row>
    <row r="8891">
      <c r="A8891" s="24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5" t="n">
        <v>19.70033</v>
      </c>
    </row>
    <row r="8892">
      <c r="A8892" s="24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5" t="n">
        <v>16.545616</v>
      </c>
    </row>
    <row r="8893">
      <c r="A8893" s="24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5" t="n">
        <v>18.982997</v>
      </c>
    </row>
    <row r="8894">
      <c r="A8894" s="24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5" t="n">
        <v>29.073276</v>
      </c>
    </row>
    <row r="8895">
      <c r="A8895" s="24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5" t="n">
        <v>26.739005</v>
      </c>
    </row>
    <row r="8896">
      <c r="A8896" s="24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5" t="n">
        <v>32.06668</v>
      </c>
    </row>
    <row r="8897">
      <c r="A8897" s="24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5" t="n">
        <v>49.300271</v>
      </c>
    </row>
    <row r="8898">
      <c r="A8898" s="24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5" t="n">
        <v>49.237966</v>
      </c>
    </row>
    <row r="8899">
      <c r="A8899" s="24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5" t="n">
        <v>38.573695</v>
      </c>
    </row>
    <row r="8900">
      <c r="A8900" s="24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5" t="n">
        <v>33.978512</v>
      </c>
    </row>
    <row r="8901">
      <c r="A8901" s="24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5" t="n">
        <v>32.426128</v>
      </c>
    </row>
    <row r="8902">
      <c r="A8902" s="24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5" t="n">
        <v>34.973179</v>
      </c>
    </row>
    <row r="8903">
      <c r="A8903" s="24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5" t="n">
        <v>27.342634</v>
      </c>
    </row>
    <row r="8904">
      <c r="A8904" s="24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5" t="n">
        <v>19.692476</v>
      </c>
    </row>
    <row r="8905">
      <c r="A8905" s="24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5" t="n">
        <v>16.804685</v>
      </c>
    </row>
    <row r="8906">
      <c r="A8906" s="24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5" t="n">
        <v>18.274906</v>
      </c>
    </row>
    <row r="8907">
      <c r="A8907" s="24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5" t="n">
        <v>20.434039</v>
      </c>
    </row>
    <row r="8908">
      <c r="A8908" s="24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5" t="n">
        <v>24.930751</v>
      </c>
    </row>
    <row r="8909">
      <c r="A8909" s="24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5" t="n">
        <v>27.324611</v>
      </c>
    </row>
    <row r="8910">
      <c r="A8910" s="24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5" t="n">
        <v>22.966145</v>
      </c>
    </row>
    <row r="8911">
      <c r="A8911" s="24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5" t="n">
        <v>26.093973</v>
      </c>
    </row>
    <row r="8912">
      <c r="A8912" s="24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5" t="n">
        <v>23.730539</v>
      </c>
    </row>
    <row r="8913">
      <c r="A8913" s="24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5" t="n">
        <v>14.396837</v>
      </c>
    </row>
    <row r="8914">
      <c r="A8914" s="24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5" t="n">
        <v>24.35884</v>
      </c>
    </row>
    <row r="8915">
      <c r="A8915" s="24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5" t="n">
        <v>32.286835</v>
      </c>
    </row>
    <row r="8916">
      <c r="A8916" s="24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5" t="n">
        <v>27.57981</v>
      </c>
    </row>
    <row r="8917">
      <c r="A8917" s="24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5" t="n">
        <v>18.164697</v>
      </c>
    </row>
    <row r="8918">
      <c r="A8918" s="24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5" t="n">
        <v>14.819878</v>
      </c>
    </row>
    <row r="8919">
      <c r="A8919" s="24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5" t="n">
        <v>11.807591</v>
      </c>
    </row>
    <row r="8920">
      <c r="A8920" s="24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5" t="n">
        <v>8.887119999999999</v>
      </c>
    </row>
    <row r="8921">
      <c r="A8921" s="24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5" t="n">
        <v>8.404548</v>
      </c>
    </row>
    <row r="8922">
      <c r="A8922" s="24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5" t="n">
        <v>11.211985</v>
      </c>
    </row>
    <row r="8923">
      <c r="A8923" s="24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5" t="n">
        <v>28.758212</v>
      </c>
    </row>
    <row r="8924">
      <c r="A8924" s="24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5" t="n">
        <v>44.684648</v>
      </c>
    </row>
    <row r="8925">
      <c r="A8925" s="24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5" t="n">
        <v>55.187029</v>
      </c>
    </row>
    <row r="8926">
      <c r="A8926" s="24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5" t="n">
        <v>56.165706</v>
      </c>
    </row>
    <row r="8927">
      <c r="A8927" s="24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5" t="n">
        <v>44.50021</v>
      </c>
    </row>
    <row r="8928">
      <c r="A8928" s="24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5" t="n">
        <v>30.026515</v>
      </c>
    </row>
    <row r="8929">
      <c r="A8929" s="24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5" t="n">
        <v>39.971866</v>
      </c>
    </row>
    <row r="8930">
      <c r="A8930" s="24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5" t="n">
        <v>56.67469</v>
      </c>
    </row>
    <row r="8931">
      <c r="A8931" s="24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5" t="n">
        <v>60.528661</v>
      </c>
    </row>
    <row r="8932">
      <c r="A8932" s="24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5" t="n">
        <v>58.015101</v>
      </c>
    </row>
    <row r="8933">
      <c r="A8933" s="24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5" t="n">
        <v>45.457557</v>
      </c>
    </row>
    <row r="8934">
      <c r="A8934" s="24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5" t="n">
        <v>46.834</v>
      </c>
    </row>
    <row r="8935">
      <c r="A8935" s="24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5" t="n">
        <v>61.450215</v>
      </c>
    </row>
    <row r="8936">
      <c r="A8936" s="24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5" t="n">
        <v>67.887612</v>
      </c>
    </row>
    <row r="8937">
      <c r="A8937" s="24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5" t="n">
        <v>70.27629399999999</v>
      </c>
    </row>
    <row r="8938">
      <c r="A8938" s="24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5" t="n">
        <v>64.84008</v>
      </c>
    </row>
    <row r="8939">
      <c r="A8939" s="24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5" t="n">
        <v>49.819733</v>
      </c>
    </row>
    <row r="8940">
      <c r="A8940" s="24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5" t="n">
        <v>41.585895</v>
      </c>
    </row>
    <row r="8941">
      <c r="A8941" s="24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5" t="n">
        <v>38.024171</v>
      </c>
    </row>
    <row r="8942">
      <c r="A8942" s="24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5" t="n">
        <v>38.358448</v>
      </c>
    </row>
    <row r="8943">
      <c r="A8943" s="24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5" t="n">
        <v>49.307167</v>
      </c>
    </row>
    <row r="8944">
      <c r="A8944" s="24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5" t="n">
        <v>65.697633</v>
      </c>
    </row>
    <row r="8945">
      <c r="A8945" s="24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5" t="n">
        <v>69.64106</v>
      </c>
    </row>
    <row r="8946">
      <c r="A8946" s="24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5" t="n">
        <v>67.045669</v>
      </c>
    </row>
    <row r="8947">
      <c r="A8947" s="24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5" t="n">
        <v>72.869331</v>
      </c>
    </row>
    <row r="8948">
      <c r="A8948" s="24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5" t="n">
        <v>58.128223</v>
      </c>
    </row>
    <row r="8949">
      <c r="A8949" s="24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5" t="n">
        <v>49.519709</v>
      </c>
    </row>
    <row r="8950">
      <c r="A8950" s="24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5" t="n">
        <v>43.32154</v>
      </c>
    </row>
    <row r="8951">
      <c r="A8951" s="24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5" t="n">
        <v>33.764895</v>
      </c>
    </row>
    <row r="8952">
      <c r="A8952" s="24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5" t="n">
        <v>30.376977</v>
      </c>
    </row>
    <row r="8953">
      <c r="A8953" s="24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5" t="n">
        <v>45.010768</v>
      </c>
    </row>
    <row r="8954">
      <c r="A8954" s="24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5" t="n">
        <v>59.142478</v>
      </c>
    </row>
    <row r="8955">
      <c r="A8955" s="24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5" t="n">
        <v>65.489254</v>
      </c>
    </row>
    <row r="8956">
      <c r="A8956" s="24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5" t="n">
        <v>64.84386000000001</v>
      </c>
    </row>
    <row r="8957">
      <c r="A8957" s="24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5" t="n">
        <v>58.484932</v>
      </c>
    </row>
    <row r="8958">
      <c r="A8958" s="24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5" t="n">
        <v>61.436342</v>
      </c>
    </row>
    <row r="8959">
      <c r="A8959" s="24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5" t="n">
        <v>58.320608</v>
      </c>
    </row>
    <row r="8960">
      <c r="A8960" s="24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5" t="n">
        <v>54.258222</v>
      </c>
    </row>
    <row r="8961">
      <c r="A8961" s="24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5" t="n">
        <v>59.302485</v>
      </c>
    </row>
    <row r="8962">
      <c r="A8962" s="24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5" t="n">
        <v>54.001009</v>
      </c>
    </row>
    <row r="8963">
      <c r="A8963" s="24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5" t="n">
        <v>52.275477</v>
      </c>
    </row>
    <row r="8964">
      <c r="A8964" s="24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5" t="n">
        <v>69.659492</v>
      </c>
    </row>
    <row r="8965">
      <c r="A8965" s="24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5" t="n">
        <v>79.55081</v>
      </c>
    </row>
    <row r="8966">
      <c r="A8966" s="24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5" t="n">
        <v>90.92429199999999</v>
      </c>
    </row>
    <row r="8967">
      <c r="A8967" s="24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5" t="n">
        <v>126.137026</v>
      </c>
    </row>
    <row r="8968">
      <c r="A8968" s="24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5" t="n">
        <v>164.690388</v>
      </c>
    </row>
    <row r="8969">
      <c r="A8969" s="24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5" t="n">
        <v>136.377811</v>
      </c>
    </row>
    <row r="8970">
      <c r="A8970" s="24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5" t="n">
        <v>118.993415</v>
      </c>
    </row>
    <row r="8971">
      <c r="A8971" s="24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5" t="n">
        <v>148.654548</v>
      </c>
    </row>
    <row r="8972">
      <c r="A8972" s="24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5" t="n">
        <v>111.338646</v>
      </c>
    </row>
    <row r="8973">
      <c r="A8973" s="24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5" t="n">
        <v>82.06583999999999</v>
      </c>
    </row>
    <row r="8974">
      <c r="A8974" s="24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5" t="n">
        <v>77.618011</v>
      </c>
    </row>
    <row r="8975">
      <c r="A8975" s="24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5" t="n">
        <v>53.448722</v>
      </c>
    </row>
    <row r="8976">
      <c r="A8976" s="24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5" t="n">
        <v>43.265926</v>
      </c>
    </row>
    <row r="8977">
      <c r="A8977" s="24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5" t="n">
        <v>39.775684</v>
      </c>
    </row>
    <row r="8978">
      <c r="A8978" s="24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5" t="n">
        <v>50.304811</v>
      </c>
    </row>
    <row r="8979">
      <c r="A8979" s="24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5" t="n">
        <v>63.481154</v>
      </c>
    </row>
    <row r="8980">
      <c r="A8980" s="24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5" t="n">
        <v>52.916588</v>
      </c>
    </row>
    <row r="8981">
      <c r="A8981" s="24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5" t="n">
        <v>37.505104</v>
      </c>
    </row>
    <row r="8982">
      <c r="A8982" s="24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5" t="n">
        <v>29.57974</v>
      </c>
    </row>
    <row r="8983">
      <c r="A8983" s="24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5" t="n">
        <v>24.481732</v>
      </c>
    </row>
    <row r="8984">
      <c r="A8984" s="24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5" t="n">
        <v>19.079823</v>
      </c>
    </row>
    <row r="8985">
      <c r="A8985" s="24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5" t="n">
        <v>16.858155</v>
      </c>
    </row>
    <row r="8986">
      <c r="A8986" s="24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5" t="n">
        <v>13.580749</v>
      </c>
    </row>
    <row r="8987">
      <c r="A8987" s="24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5" t="n">
        <v>25.371586</v>
      </c>
    </row>
    <row r="8988">
      <c r="A8988" s="24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5" t="n">
        <v>42.136786</v>
      </c>
    </row>
    <row r="8989">
      <c r="A8989" s="24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5" t="n">
        <v>36.052462</v>
      </c>
    </row>
    <row r="8990">
      <c r="A8990" s="24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5" t="n">
        <v>39.24083</v>
      </c>
    </row>
    <row r="8991">
      <c r="A8991" s="24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5" t="n">
        <v>57.357664</v>
      </c>
    </row>
    <row r="8992">
      <c r="A8992" s="24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5" t="n">
        <v>63.707764</v>
      </c>
    </row>
    <row r="8993">
      <c r="A8993" s="24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5" t="n">
        <v>65.23648</v>
      </c>
    </row>
    <row r="8994">
      <c r="A8994" s="24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5" t="n">
        <v>68.568906</v>
      </c>
    </row>
    <row r="8995">
      <c r="A8995" s="24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5" t="n">
        <v>66.639685</v>
      </c>
    </row>
    <row r="8996">
      <c r="A8996" s="24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5" t="n">
        <v>73.891899</v>
      </c>
    </row>
    <row r="8997">
      <c r="A8997" s="24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5" t="n">
        <v>76.124681</v>
      </c>
    </row>
    <row r="8998">
      <c r="A8998" s="24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5" t="n">
        <v>65.95947099999999</v>
      </c>
    </row>
    <row r="8999">
      <c r="A8999" s="24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5" t="n">
        <v>62.71285</v>
      </c>
    </row>
    <row r="9000">
      <c r="A9000" s="24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5" t="n">
        <v>72.63374399999999</v>
      </c>
    </row>
    <row r="9001">
      <c r="A9001" s="24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5" t="n">
        <v>69.028319</v>
      </c>
    </row>
    <row r="9002">
      <c r="A9002" s="24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5" t="n">
        <v>53.728243</v>
      </c>
    </row>
    <row r="9003">
      <c r="A9003" s="24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5" t="n">
        <v>47.428202</v>
      </c>
    </row>
    <row r="9004">
      <c r="A9004" s="24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5" t="n">
        <v>78.664231</v>
      </c>
    </row>
    <row r="9005">
      <c r="A9005" s="24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5" t="n">
        <v>120.308508</v>
      </c>
    </row>
    <row r="9006">
      <c r="A9006" s="24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5" t="n">
        <v>180.533224</v>
      </c>
    </row>
    <row r="9007">
      <c r="A9007" s="24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5" t="n">
        <v>250.36279</v>
      </c>
    </row>
    <row r="9008">
      <c r="A9008" s="24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5" t="n">
        <v>187.051394</v>
      </c>
    </row>
    <row r="9009">
      <c r="A9009" s="24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5" t="n">
        <v>99.090104</v>
      </c>
    </row>
    <row r="9010">
      <c r="A9010" s="24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5" t="n">
        <v>124.561054</v>
      </c>
    </row>
    <row r="9011">
      <c r="A9011" s="24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5" t="n">
        <v>137.445714</v>
      </c>
    </row>
    <row r="9012">
      <c r="A9012" s="24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5" t="n">
        <v>106.079996</v>
      </c>
    </row>
    <row r="9013">
      <c r="A9013" s="24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5" t="n">
        <v>73.880933</v>
      </c>
    </row>
    <row r="9014">
      <c r="A9014" s="24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5" t="n">
        <v>54.505083</v>
      </c>
    </row>
    <row r="9015">
      <c r="A9015" s="24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5" t="n">
        <v>43.884221</v>
      </c>
    </row>
    <row r="9016">
      <c r="A9016" s="24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5" t="n">
        <v>30.836915</v>
      </c>
    </row>
    <row r="9017">
      <c r="A9017" s="24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5" t="n">
        <v>29.050387</v>
      </c>
    </row>
    <row r="9018">
      <c r="A9018" s="24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5" t="n">
        <v>24.534623</v>
      </c>
    </row>
    <row r="9019">
      <c r="A9019" s="24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5" t="n">
        <v>25.917568</v>
      </c>
    </row>
    <row r="9020">
      <c r="A9020" s="24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5" t="n">
        <v>18.061888</v>
      </c>
    </row>
    <row r="9021">
      <c r="A9021" s="24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5" t="n">
        <v>20.768342</v>
      </c>
    </row>
    <row r="9022">
      <c r="A9022" s="24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5" t="n">
        <v>22.420748</v>
      </c>
    </row>
    <row r="9023">
      <c r="A9023" s="24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5" t="n">
        <v>15.753563</v>
      </c>
    </row>
    <row r="9024">
      <c r="A9024" s="24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5" t="n">
        <v>14.567752</v>
      </c>
    </row>
    <row r="9025">
      <c r="A9025" s="24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5" t="n">
        <v>10.389789</v>
      </c>
    </row>
    <row r="9026">
      <c r="A9026" s="24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5" t="n">
        <v>10.784887</v>
      </c>
    </row>
    <row r="9027">
      <c r="A9027" s="24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5" t="n">
        <v>7.784503</v>
      </c>
    </row>
    <row r="9028">
      <c r="A9028" s="24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5" t="n">
        <v>20.530828</v>
      </c>
    </row>
    <row r="9029">
      <c r="A9029" s="24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5" t="n">
        <v>28.229276</v>
      </c>
    </row>
    <row r="9030">
      <c r="A9030" s="24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5" t="n">
        <v>22.139864</v>
      </c>
    </row>
    <row r="9031">
      <c r="A9031" s="24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5" t="n">
        <v>14.146791</v>
      </c>
    </row>
    <row r="9032">
      <c r="A9032" s="24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5" t="n">
        <v>13.425696</v>
      </c>
    </row>
    <row r="9033">
      <c r="A9033" s="24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5" t="n">
        <v>8.933483000000001</v>
      </c>
    </row>
    <row r="9034">
      <c r="A9034" s="24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5" t="n">
        <v>8.954516999999999</v>
      </c>
    </row>
    <row r="9035">
      <c r="A9035" s="24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5" t="n">
        <v>11.469925</v>
      </c>
    </row>
    <row r="9036">
      <c r="A9036" s="24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5" t="n">
        <v>16.994046</v>
      </c>
    </row>
    <row r="9037">
      <c r="A9037" s="24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5" t="n">
        <v>30.059459</v>
      </c>
    </row>
    <row r="9038">
      <c r="A9038" s="24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5" t="n">
        <v>45.191403</v>
      </c>
    </row>
    <row r="9039">
      <c r="A9039" s="24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5" t="n">
        <v>39.584546</v>
      </c>
    </row>
    <row r="9040">
      <c r="A9040" s="24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5" t="n">
        <v>23.244311</v>
      </c>
    </row>
    <row r="9041">
      <c r="A9041" s="24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5" t="n">
        <v>20.797764</v>
      </c>
    </row>
    <row r="9042">
      <c r="A9042" s="24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5" t="n">
        <v>14.137596</v>
      </c>
    </row>
    <row r="9043">
      <c r="A9043" s="24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5" t="n">
        <v>12.313245</v>
      </c>
    </row>
    <row r="9044">
      <c r="A9044" s="24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5" t="n">
        <v>9.455120000000001</v>
      </c>
    </row>
    <row r="9045">
      <c r="A9045" s="24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5" t="n">
        <v>19.80281</v>
      </c>
    </row>
    <row r="9046">
      <c r="A9046" s="24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5" t="n">
        <v>25.808403</v>
      </c>
    </row>
    <row r="9047">
      <c r="A9047" s="24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5" t="n">
        <v>17.248895</v>
      </c>
    </row>
    <row r="9048">
      <c r="A9048" s="24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5" t="n">
        <v>12.493359</v>
      </c>
    </row>
    <row r="9049">
      <c r="A9049" s="24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5" t="n">
        <v>12.152305</v>
      </c>
    </row>
    <row r="9050">
      <c r="A9050" s="24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5" t="n">
        <v>15.127187</v>
      </c>
    </row>
    <row r="9051">
      <c r="A9051" s="24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5" t="n">
        <v>32.04853</v>
      </c>
    </row>
    <row r="9052">
      <c r="A9052" s="24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5" t="n">
        <v>47.450792</v>
      </c>
    </row>
    <row r="9053">
      <c r="A9053" s="24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5" t="n">
        <v>56.593711</v>
      </c>
    </row>
    <row r="9054">
      <c r="A9054" s="24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5" t="n">
        <v>54.013169</v>
      </c>
    </row>
    <row r="9055">
      <c r="A9055" s="24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5" t="n">
        <v>40.692143</v>
      </c>
    </row>
    <row r="9056">
      <c r="A9056" s="24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5" t="n">
        <v>29.155721</v>
      </c>
    </row>
    <row r="9057">
      <c r="A9057" s="24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5" t="n">
        <v>22.634738</v>
      </c>
    </row>
    <row r="9058">
      <c r="A9058" s="24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5" t="n">
        <v>18.059445</v>
      </c>
    </row>
    <row r="9059">
      <c r="A9059" s="24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5" t="n">
        <v>14.487679</v>
      </c>
    </row>
    <row r="9060">
      <c r="A9060" s="24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5" t="n">
        <v>15.141027</v>
      </c>
    </row>
    <row r="9061">
      <c r="A9061" s="24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5" t="n">
        <v>12.527725</v>
      </c>
    </row>
    <row r="9062">
      <c r="A9062" s="24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5" t="n">
        <v>10.357116</v>
      </c>
    </row>
    <row r="9063">
      <c r="A9063" s="24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5" t="n">
        <v>13.913584</v>
      </c>
    </row>
    <row r="9064">
      <c r="A9064" s="24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5" t="n">
        <v>15.999001</v>
      </c>
    </row>
    <row r="9065">
      <c r="A9065" s="24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5" t="n">
        <v>16.148249</v>
      </c>
    </row>
    <row r="9066">
      <c r="A9066" s="24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5" t="n">
        <v>23.943745</v>
      </c>
    </row>
    <row r="9067">
      <c r="A9067" s="24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5" t="n">
        <v>24.527907</v>
      </c>
    </row>
    <row r="9068">
      <c r="A9068" s="24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5" t="n">
        <v>17.500204</v>
      </c>
    </row>
    <row r="9069">
      <c r="A9069" s="24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5" t="n">
        <v>26.686133</v>
      </c>
    </row>
    <row r="9070">
      <c r="A9070" s="24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5" t="n">
        <v>30.367058</v>
      </c>
    </row>
    <row r="9071">
      <c r="A9071" s="24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5" t="n">
        <v>22.776154</v>
      </c>
    </row>
    <row r="9072">
      <c r="A9072" s="24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5" t="n">
        <v>20.48582</v>
      </c>
    </row>
    <row r="9073">
      <c r="A9073" s="24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5" t="n">
        <v>20.856448</v>
      </c>
    </row>
    <row r="9074">
      <c r="A9074" s="24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5" t="n">
        <v>25.395858</v>
      </c>
    </row>
    <row r="9075">
      <c r="A9075" s="24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5" t="n">
        <v>35.149693</v>
      </c>
    </row>
    <row r="9076">
      <c r="A9076" s="24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5" t="n">
        <v>25.172483</v>
      </c>
    </row>
    <row r="9077">
      <c r="A9077" s="24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5" t="n">
        <v>17.088617</v>
      </c>
    </row>
    <row r="9078">
      <c r="A9078" s="24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5" t="n">
        <v>15.471389</v>
      </c>
    </row>
    <row r="9079">
      <c r="A9079" s="24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5" t="n">
        <v>9.924303</v>
      </c>
    </row>
    <row r="9080">
      <c r="A9080" s="24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5" t="n">
        <v>10.155743</v>
      </c>
    </row>
    <row r="9081">
      <c r="A9081" s="24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5" t="n">
        <v>6.658797</v>
      </c>
    </row>
    <row r="9082">
      <c r="A9082" s="24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5" t="n">
        <v>10.000415</v>
      </c>
    </row>
    <row r="9083">
      <c r="A9083" s="24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5" t="n">
        <v>9.589886</v>
      </c>
    </row>
    <row r="9084">
      <c r="A9084" s="24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5" t="n">
        <v>6.925855</v>
      </c>
    </row>
    <row r="9085">
      <c r="A9085" s="24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5" t="n">
        <v>19.728124</v>
      </c>
    </row>
    <row r="9086">
      <c r="A9086" s="24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5" t="n">
        <v>36.972781</v>
      </c>
    </row>
    <row r="9087">
      <c r="A9087" s="24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5" t="n">
        <v>30.968424</v>
      </c>
    </row>
    <row r="9088">
      <c r="A9088" s="24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5" t="n">
        <v>18.660977</v>
      </c>
    </row>
    <row r="9089">
      <c r="A9089" s="24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5" t="n">
        <v>28.925776</v>
      </c>
    </row>
    <row r="9090">
      <c r="A9090" s="24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5" t="n">
        <v>42.626122</v>
      </c>
    </row>
    <row r="9091">
      <c r="A9091" s="24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5" t="n">
        <v>37.417727</v>
      </c>
    </row>
    <row r="9092">
      <c r="A9092" s="24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5" t="n">
        <v>23.451953</v>
      </c>
    </row>
    <row r="9093">
      <c r="A9093" s="24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5" t="n">
        <v>29.10755</v>
      </c>
    </row>
    <row r="9094">
      <c r="A9094" s="24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5" t="n">
        <v>28.784138</v>
      </c>
    </row>
    <row r="9095">
      <c r="A9095" s="24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5" t="n">
        <v>19.844783</v>
      </c>
    </row>
    <row r="9096">
      <c r="A9096" s="24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5" t="n">
        <v>17.047561</v>
      </c>
    </row>
    <row r="9097">
      <c r="A9097" s="24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5" t="n">
        <v>13.57368</v>
      </c>
    </row>
    <row r="9098">
      <c r="A9098" s="24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5" t="n">
        <v>19.732278</v>
      </c>
    </row>
    <row r="9099">
      <c r="A9099" s="24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5" t="n">
        <v>24.051178</v>
      </c>
    </row>
    <row r="9100">
      <c r="A9100" s="24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5" t="n">
        <v>15.298534</v>
      </c>
    </row>
    <row r="9101">
      <c r="A9101" s="24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5" t="n">
        <v>11.923185</v>
      </c>
    </row>
    <row r="9102">
      <c r="A9102" s="24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5" t="n">
        <v>10.51071</v>
      </c>
    </row>
    <row r="9103">
      <c r="A9103" s="24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5" t="n">
        <v>6.858189</v>
      </c>
    </row>
    <row r="9104">
      <c r="A9104" s="24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5" t="n">
        <v>7.538033</v>
      </c>
    </row>
    <row r="9105">
      <c r="A9105" s="24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5" t="n">
        <v>4.566261</v>
      </c>
    </row>
    <row r="9106">
      <c r="A9106" s="24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5" t="n">
        <v>5.519993</v>
      </c>
    </row>
    <row r="9107">
      <c r="A9107" s="24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5" t="n">
        <v>3.662735</v>
      </c>
    </row>
    <row r="9108">
      <c r="A9108" s="24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5" t="n">
        <v>18.184565</v>
      </c>
    </row>
    <row r="9109">
      <c r="A9109" s="24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5" t="n">
        <v>37.981073</v>
      </c>
    </row>
    <row r="9110">
      <c r="A9110" s="24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5" t="n">
        <v>46.458337</v>
      </c>
    </row>
    <row r="9111">
      <c r="A9111" s="24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5" t="n">
        <v>38.916932</v>
      </c>
    </row>
    <row r="9112">
      <c r="A9112" s="24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5" t="n">
        <v>41.422259</v>
      </c>
    </row>
    <row r="9113">
      <c r="A9113" s="24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5" t="n">
        <v>40.569881</v>
      </c>
    </row>
    <row r="9114">
      <c r="A9114" s="24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5" t="n">
        <v>26.65559</v>
      </c>
    </row>
    <row r="9115">
      <c r="A9115" s="24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5" t="n">
        <v>19.988973</v>
      </c>
    </row>
    <row r="9116">
      <c r="A9116" s="24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5" t="n">
        <v>18.562309</v>
      </c>
    </row>
    <row r="9117">
      <c r="A9117" s="24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5" t="n">
        <v>11.929136</v>
      </c>
    </row>
    <row r="9118">
      <c r="A9118" s="24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5" t="n">
        <v>19.165446</v>
      </c>
    </row>
    <row r="9119">
      <c r="A9119" s="24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5" t="n">
        <v>24.113905</v>
      </c>
    </row>
    <row r="9120">
      <c r="A9120" s="24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5" t="n">
        <v>20.338051</v>
      </c>
    </row>
    <row r="9121">
      <c r="A9121" s="24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5" t="n">
        <v>14.282048</v>
      </c>
    </row>
    <row r="9122">
      <c r="A9122" s="24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5" t="n">
        <v>10.937812</v>
      </c>
    </row>
    <row r="9123">
      <c r="A9123" s="24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5" t="n">
        <v>9.724264</v>
      </c>
    </row>
    <row r="9124">
      <c r="A9124" s="24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5" t="n">
        <v>18.313167</v>
      </c>
    </row>
    <row r="9125">
      <c r="A9125" s="24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5" t="n">
        <v>27.278411</v>
      </c>
    </row>
    <row r="9126">
      <c r="A9126" s="24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5" t="n">
        <v>17.704016</v>
      </c>
    </row>
    <row r="9127">
      <c r="A9127" s="24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5" t="n">
        <v>13.655446</v>
      </c>
    </row>
    <row r="9128">
      <c r="A9128" s="24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5" t="n">
        <v>10.832708</v>
      </c>
    </row>
    <row r="9129">
      <c r="A9129" s="24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5" t="n">
        <v>18.905652</v>
      </c>
    </row>
    <row r="9130">
      <c r="A9130" s="24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5" t="n">
        <v>36.9079</v>
      </c>
    </row>
    <row r="9131">
      <c r="A9131" s="24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5" t="n">
        <v>33.30482</v>
      </c>
    </row>
    <row r="9132">
      <c r="A9132" s="24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5" t="n">
        <v>20.907566</v>
      </c>
    </row>
    <row r="9133">
      <c r="A9133" s="24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5" t="n">
        <v>16.384075</v>
      </c>
    </row>
    <row r="9134">
      <c r="A9134" s="24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5" t="n">
        <v>13.126867</v>
      </c>
    </row>
    <row r="9135">
      <c r="A9135" s="24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5" t="n">
        <v>14.451663</v>
      </c>
    </row>
    <row r="9136">
      <c r="A9136" s="24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5" t="n">
        <v>18.146839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2026-10-14T12:42:43Z</dcterms:created>
  <dcterms:modified xsi:type="dcterms:W3CDTF">2026-10-14T12:42:44Z</dcterms:modified>
</cp:coreProperties>
</file>