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ETERSEDIAAN_2025" sheetId="2" state="visible" r:id="rId2"/>
    <sheet name="WEIBULL_15HARIAN" sheetId="3" state="visible" r:id="rId3"/>
    <sheet name="DEBIT_15HARIAN" sheetId="4" state="visible" r:id="rId4"/>
    <sheet name="DEBIT_HARI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yyyy-mm-dd h:mm:ss"/>
    <numFmt numFmtId="167" formatCode="dd-mm-yyyy"/>
    <numFmt numFmtId="168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1" fontId="3" fillId="0" borderId="1" pivotButton="0" quotePrefix="0" xfId="0"/>
    <xf numFmtId="164" fontId="2" fillId="0" borderId="1" pivotButton="0" quotePrefix="0" xfId="0"/>
    <xf numFmtId="168" fontId="3" fillId="0" borderId="1" pivotButton="0" quotePrefix="0" xfId="0"/>
    <xf numFmtId="164" fontId="3" fillId="4" borderId="1" pivotButton="0" quotePrefix="0" xfId="0"/>
    <xf numFmtId="164" fontId="3" fillId="0" borderId="1" pivotButton="0" quotePrefix="0" xfId="0"/>
    <xf numFmtId="0" fontId="3" fillId="2" borderId="1" pivotButton="0" quotePrefix="0" xfId="0"/>
    <xf numFmtId="1" fontId="2" fillId="2" borderId="1" pivotButton="0" quotePrefix="0" xfId="0"/>
    <xf numFmtId="164" fontId="2" fillId="2" borderId="1" pivotButton="0" quotePrefix="0" xfId="0"/>
    <xf numFmtId="168" fontId="2" fillId="2" borderId="1" pivotButton="0" quotePrefix="0" xfId="0"/>
    <xf numFmtId="0" fontId="2" fillId="0" borderId="1" pivotButton="0" quotePrefix="0" xfId="0"/>
    <xf numFmtId="9" fontId="6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2" borderId="1" pivotButton="0" quotePrefix="0" xfId="0"/>
    <xf numFmtId="165" fontId="3" fillId="0" borderId="1" pivotButton="0" quotePrefix="0" xfId="0"/>
    <xf numFmtId="167" fontId="0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Ketersediaan air 15 harian tahun 2025 -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v>Debit 2025</v>
          </tx>
          <spPr>
            <a:solidFill>
              <a:srgbClr val="5B9BD5"/>
            </a:solidFill>
            <a:ln>
              <a:solidFill>
                <a:srgbClr val="2E75B6"/>
              </a:solidFill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'KETERSEDIAAN_2025'!$G$6:$G$29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Q80 andalan</v>
          </tx>
          <spPr>
            <a:ln w="25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'KETERSEDIAAN_2025'!$I$6:$I$29</f>
            </numRef>
          </val>
          <smooth val="0"/>
        </ser>
        <ser>
          <idx val="2"/>
          <order val="2"/>
          <tx>
            <v>Q50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'KETERSEDIAAN_2025'!$J$6:$J$29</f>
            </numRef>
          </val>
          <smooth val="0"/>
        </ser>
        <ser>
          <idx val="3"/>
          <order val="3"/>
          <tx>
            <v>Q90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'KETERSEDIAAN_2025'!$N$6:$N$29</f>
            </numRef>
          </cat>
          <val>
            <numRef>
              <f>'KETERSEDIAAN_2025'!$K$6:$K$29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 15 harian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ketersediaan air 15 harian tahun 2025</a:t>
            </a:r>
          </a:p>
        </rich>
      </tx>
    </title>
    <plotArea>
      <barChart>
        <barDir val="col"/>
        <grouping val="clustered"/>
        <ser>
          <idx val="0"/>
          <order val="0"/>
          <tx>
            <v>Volume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'KETERSEDIAAN_2025'!$N$6:$N$29</f>
            </numRef>
          </cat>
          <val>
            <numRef>
              <f>'KETERSEDIAAN_2025'!$H$6:$H$29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(juta m³)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7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97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15 HARIAN TAHUN 2025 - Wae_Ruatan (Outlet)</t>
        </is>
      </c>
    </row>
    <row r="3">
      <c r="A3" s="2" t="inlineStr">
        <is>
          <t>DAS / proyek</t>
        </is>
      </c>
      <c r="B3" s="3" t="inlineStr">
        <is>
          <t>Wae_Ruatan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903.6779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20-10-2026 23:22 -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KETERSEDIAAN_2025: debit rata-rata tiap 15 harian tahun 2025 (periode I = tanggal 1-15, periode II = tanggal 16 s/d akhir bulan) dan volumenya, dibandingkan dengan debit andalan 15 harian.</t>
        </is>
      </c>
    </row>
    <row r="16">
      <c r="A16" s="5" t="inlineStr">
        <is>
          <t>- Debit andalan (Q50/Q80/Q90) dari lembar WEIBULL_15HARIAN: debit 15 harian semua tahun lengkap diurutkan, P = m/(n+1) (Weibull), diinterpolasi linier.</t>
        </is>
      </c>
    </row>
    <row r="17">
      <c r="A17" s="5" t="inlineStr">
        <is>
          <t>- Volume (juta m³) = debit rata-rata x jumlah hari periode x 86.400 / 1.000.000.</t>
        </is>
      </c>
    </row>
    <row r="18">
      <c r="A18" s="5" t="inlineStr">
        <is>
          <t>- Tahun ini lengkap.</t>
        </is>
      </c>
    </row>
    <row r="19">
      <c r="A19" s="5" t="inlineStr">
        <is>
          <t>- Semua angka turunan adalah rumus Excel yang merujuk lembar DEBIT_HARIAN (angka biru = hasil simulasi).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9" customWidth="1" min="4" max="4"/>
    <col width="8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  <col width="11" customWidth="1" min="11" max="11"/>
    <col width="15" customWidth="1" min="12" max="12"/>
  </cols>
  <sheetData>
    <row r="1">
      <c r="A1" s="1" t="inlineStr">
        <is>
          <t>KETERSEDIAAN AIR 15 HARIAN TAHUN 2025 - Outlet</t>
        </is>
      </c>
    </row>
    <row r="2">
      <c r="A2" s="6" t="inlineStr">
        <is>
          <t>Wae_Ruatan · luas tangkapan 903.68 km² · debit rata-rata periode dari debit harian hasil simulasi</t>
        </is>
      </c>
    </row>
    <row r="3">
      <c r="A3" s="4" t="inlineStr">
        <is>
          <t>Tahun</t>
        </is>
      </c>
      <c r="C3" s="7" t="n">
        <v>2025</v>
      </c>
    </row>
    <row r="5">
      <c r="A5" s="8" t="inlineStr">
        <is>
          <t>No</t>
        </is>
      </c>
      <c r="B5" s="8" t="inlineStr">
        <is>
          <t>Bulan</t>
        </is>
      </c>
      <c r="C5" s="8" t="inlineStr">
        <is>
          <t>Periode</t>
        </is>
      </c>
      <c r="D5" s="8" t="inlineStr">
        <is>
          <t>Tanggal</t>
        </is>
      </c>
      <c r="E5" s="8" t="inlineStr">
        <is>
          <t>Jumlah hari</t>
        </is>
      </c>
      <c r="F5" s="8" t="inlineStr">
        <is>
          <t>Hari berdata</t>
        </is>
      </c>
      <c r="G5" s="8" t="inlineStr">
        <is>
          <t>Debit rata-rata (m³/s)</t>
        </is>
      </c>
      <c r="H5" s="8" t="inlineStr">
        <is>
          <t>Volume (juta m³)</t>
        </is>
      </c>
      <c r="I5" s="8" t="inlineStr">
        <is>
          <t>Q80 andalan (m³/s)</t>
        </is>
      </c>
      <c r="J5" s="8" t="inlineStr">
        <is>
          <t>Q50 (m³/s)</t>
        </is>
      </c>
      <c r="K5" s="8" t="inlineStr">
        <is>
          <t>Q90 (m³/s)</t>
        </is>
      </c>
      <c r="L5" s="8" t="inlineStr">
        <is>
          <t>Terhadap Q80</t>
        </is>
      </c>
      <c r="N5" s="6" t="inlineStr">
        <is>
          <t>Label grafik</t>
        </is>
      </c>
    </row>
    <row r="6">
      <c r="A6" s="9" t="n">
        <v>1</v>
      </c>
      <c r="B6" s="3" t="inlineStr">
        <is>
          <t>Januari</t>
        </is>
      </c>
      <c r="C6" s="3" t="inlineStr">
        <is>
          <t>I</t>
        </is>
      </c>
      <c r="D6" s="3" t="inlineStr">
        <is>
          <t>1-15</t>
        </is>
      </c>
      <c r="E6" s="9" t="n">
        <v>15</v>
      </c>
      <c r="F6" s="9">
        <f>COUNTIFS(DEBIT_HARIAN!$B$6:$B$9136,$C$3,DEBIT_HARIAN!$C$6:$C$9136,1,DEBIT_HARIAN!$E$6:$E$9136,1)</f>
        <v/>
      </c>
      <c r="G6" s="10">
        <f>IFERROR(AVERAGEIFS(DEBIT_HARIAN!$F$6:$F$9136,DEBIT_HARIAN!$B$6:$B$9136,$C$3,DEBIT_HARIAN!$C$6:$C$9136,1,DEBIT_HARIAN!$E$6:$E$9136,1),"")</f>
        <v/>
      </c>
      <c r="H6" s="11">
        <f>IF(G6="","",G6*E6*86400/1000000)</f>
        <v/>
      </c>
      <c r="I6" s="12">
        <f>WEIBULL_15HARIAN!C$7</f>
        <v/>
      </c>
      <c r="J6" s="13">
        <f>WEIBULL_15HARIAN!C$6</f>
        <v/>
      </c>
      <c r="K6" s="13">
        <f>WEIBULL_15HARIAN!C$8</f>
        <v/>
      </c>
      <c r="L6" s="3">
        <f>IF(OR(G6="",I6=""),"",IF(G6&gt;=I6,"di atas Q80","di bawah Q80"))</f>
        <v/>
      </c>
      <c r="N6" s="6" t="inlineStr">
        <is>
          <t>Jan I</t>
        </is>
      </c>
    </row>
    <row r="7">
      <c r="A7" s="9" t="n">
        <v>2</v>
      </c>
      <c r="B7" s="3" t="inlineStr">
        <is>
          <t>Januari</t>
        </is>
      </c>
      <c r="C7" s="3" t="inlineStr">
        <is>
          <t>II</t>
        </is>
      </c>
      <c r="D7" s="3">
        <f>16&amp;"-"&amp;DAY(DATE($C$3,1+1,0))</f>
        <v/>
      </c>
      <c r="E7" s="9">
        <f>DAY(DATE($C$3,1+1,0))-15</f>
        <v/>
      </c>
      <c r="F7" s="9">
        <f>COUNTIFS(DEBIT_HARIAN!$B$6:$B$9136,$C$3,DEBIT_HARIAN!$C$6:$C$9136,1,DEBIT_HARIAN!$E$6:$E$9136,2)</f>
        <v/>
      </c>
      <c r="G7" s="10">
        <f>IFERROR(AVERAGEIFS(DEBIT_HARIAN!$F$6:$F$9136,DEBIT_HARIAN!$B$6:$B$9136,$C$3,DEBIT_HARIAN!$C$6:$C$9136,1,DEBIT_HARIAN!$E$6:$E$9136,2),"")</f>
        <v/>
      </c>
      <c r="H7" s="11">
        <f>IF(G7="","",G7*E7*86400/1000000)</f>
        <v/>
      </c>
      <c r="I7" s="12">
        <f>WEIBULL_15HARIAN!D$7</f>
        <v/>
      </c>
      <c r="J7" s="13">
        <f>WEIBULL_15HARIAN!D$6</f>
        <v/>
      </c>
      <c r="K7" s="13">
        <f>WEIBULL_15HARIAN!D$8</f>
        <v/>
      </c>
      <c r="L7" s="3">
        <f>IF(OR(G7="",I7=""),"",IF(G7&gt;=I7,"di atas Q80","di bawah Q80"))</f>
        <v/>
      </c>
      <c r="N7" s="6" t="inlineStr">
        <is>
          <t>Jan II</t>
        </is>
      </c>
    </row>
    <row r="8">
      <c r="A8" s="9" t="n">
        <v>3</v>
      </c>
      <c r="B8" s="3" t="inlineStr">
        <is>
          <t>Februari</t>
        </is>
      </c>
      <c r="C8" s="3" t="inlineStr">
        <is>
          <t>I</t>
        </is>
      </c>
      <c r="D8" s="3" t="inlineStr">
        <is>
          <t>1-15</t>
        </is>
      </c>
      <c r="E8" s="9" t="n">
        <v>15</v>
      </c>
      <c r="F8" s="9">
        <f>COUNTIFS(DEBIT_HARIAN!$B$6:$B$9136,$C$3,DEBIT_HARIAN!$C$6:$C$9136,2,DEBIT_HARIAN!$E$6:$E$9136,1)</f>
        <v/>
      </c>
      <c r="G8" s="10">
        <f>IFERROR(AVERAGEIFS(DEBIT_HARIAN!$F$6:$F$9136,DEBIT_HARIAN!$B$6:$B$9136,$C$3,DEBIT_HARIAN!$C$6:$C$9136,2,DEBIT_HARIAN!$E$6:$E$9136,1),"")</f>
        <v/>
      </c>
      <c r="H8" s="11">
        <f>IF(G8="","",G8*E8*86400/1000000)</f>
        <v/>
      </c>
      <c r="I8" s="12">
        <f>WEIBULL_15HARIAN!E$7</f>
        <v/>
      </c>
      <c r="J8" s="13">
        <f>WEIBULL_15HARIAN!E$6</f>
        <v/>
      </c>
      <c r="K8" s="13">
        <f>WEIBULL_15HARIAN!E$8</f>
        <v/>
      </c>
      <c r="L8" s="3">
        <f>IF(OR(G8="",I8=""),"",IF(G8&gt;=I8,"di atas Q80","di bawah Q80"))</f>
        <v/>
      </c>
      <c r="N8" s="6" t="inlineStr">
        <is>
          <t>Feb I</t>
        </is>
      </c>
    </row>
    <row r="9">
      <c r="A9" s="9" t="n">
        <v>4</v>
      </c>
      <c r="B9" s="3" t="inlineStr">
        <is>
          <t>Februari</t>
        </is>
      </c>
      <c r="C9" s="3" t="inlineStr">
        <is>
          <t>II</t>
        </is>
      </c>
      <c r="D9" s="3">
        <f>16&amp;"-"&amp;DAY(DATE($C$3,2+1,0))</f>
        <v/>
      </c>
      <c r="E9" s="9">
        <f>DAY(DATE($C$3,2+1,0))-15</f>
        <v/>
      </c>
      <c r="F9" s="9">
        <f>COUNTIFS(DEBIT_HARIAN!$B$6:$B$9136,$C$3,DEBIT_HARIAN!$C$6:$C$9136,2,DEBIT_HARIAN!$E$6:$E$9136,2)</f>
        <v/>
      </c>
      <c r="G9" s="10">
        <f>IFERROR(AVERAGEIFS(DEBIT_HARIAN!$F$6:$F$9136,DEBIT_HARIAN!$B$6:$B$9136,$C$3,DEBIT_HARIAN!$C$6:$C$9136,2,DEBIT_HARIAN!$E$6:$E$9136,2),"")</f>
        <v/>
      </c>
      <c r="H9" s="11">
        <f>IF(G9="","",G9*E9*86400/1000000)</f>
        <v/>
      </c>
      <c r="I9" s="12">
        <f>WEIBULL_15HARIAN!F$7</f>
        <v/>
      </c>
      <c r="J9" s="13">
        <f>WEIBULL_15HARIAN!F$6</f>
        <v/>
      </c>
      <c r="K9" s="13">
        <f>WEIBULL_15HARIAN!F$8</f>
        <v/>
      </c>
      <c r="L9" s="3">
        <f>IF(OR(G9="",I9=""),"",IF(G9&gt;=I9,"di atas Q80","di bawah Q80"))</f>
        <v/>
      </c>
      <c r="N9" s="6" t="inlineStr">
        <is>
          <t>Feb II</t>
        </is>
      </c>
    </row>
    <row r="10">
      <c r="A10" s="9" t="n">
        <v>5</v>
      </c>
      <c r="B10" s="3" t="inlineStr">
        <is>
          <t>Maret</t>
        </is>
      </c>
      <c r="C10" s="3" t="inlineStr">
        <is>
          <t>I</t>
        </is>
      </c>
      <c r="D10" s="3" t="inlineStr">
        <is>
          <t>1-15</t>
        </is>
      </c>
      <c r="E10" s="9" t="n">
        <v>15</v>
      </c>
      <c r="F10" s="9">
        <f>COUNTIFS(DEBIT_HARIAN!$B$6:$B$9136,$C$3,DEBIT_HARIAN!$C$6:$C$9136,3,DEBIT_HARIAN!$E$6:$E$9136,1)</f>
        <v/>
      </c>
      <c r="G10" s="10">
        <f>IFERROR(AVERAGEIFS(DEBIT_HARIAN!$F$6:$F$9136,DEBIT_HARIAN!$B$6:$B$9136,$C$3,DEBIT_HARIAN!$C$6:$C$9136,3,DEBIT_HARIAN!$E$6:$E$9136,1),"")</f>
        <v/>
      </c>
      <c r="H10" s="11">
        <f>IF(G10="","",G10*E10*86400/1000000)</f>
        <v/>
      </c>
      <c r="I10" s="12">
        <f>WEIBULL_15HARIAN!G$7</f>
        <v/>
      </c>
      <c r="J10" s="13">
        <f>WEIBULL_15HARIAN!G$6</f>
        <v/>
      </c>
      <c r="K10" s="13">
        <f>WEIBULL_15HARIAN!G$8</f>
        <v/>
      </c>
      <c r="L10" s="3">
        <f>IF(OR(G10="",I10=""),"",IF(G10&gt;=I10,"di atas Q80","di bawah Q80"))</f>
        <v/>
      </c>
      <c r="N10" s="6" t="inlineStr">
        <is>
          <t>Mar I</t>
        </is>
      </c>
    </row>
    <row r="11">
      <c r="A11" s="9" t="n">
        <v>6</v>
      </c>
      <c r="B11" s="3" t="inlineStr">
        <is>
          <t>Maret</t>
        </is>
      </c>
      <c r="C11" s="3" t="inlineStr">
        <is>
          <t>II</t>
        </is>
      </c>
      <c r="D11" s="3">
        <f>16&amp;"-"&amp;DAY(DATE($C$3,3+1,0))</f>
        <v/>
      </c>
      <c r="E11" s="9">
        <f>DAY(DATE($C$3,3+1,0))-15</f>
        <v/>
      </c>
      <c r="F11" s="9">
        <f>COUNTIFS(DEBIT_HARIAN!$B$6:$B$9136,$C$3,DEBIT_HARIAN!$C$6:$C$9136,3,DEBIT_HARIAN!$E$6:$E$9136,2)</f>
        <v/>
      </c>
      <c r="G11" s="10">
        <f>IFERROR(AVERAGEIFS(DEBIT_HARIAN!$F$6:$F$9136,DEBIT_HARIAN!$B$6:$B$9136,$C$3,DEBIT_HARIAN!$C$6:$C$9136,3,DEBIT_HARIAN!$E$6:$E$9136,2),"")</f>
        <v/>
      </c>
      <c r="H11" s="11">
        <f>IF(G11="","",G11*E11*86400/1000000)</f>
        <v/>
      </c>
      <c r="I11" s="12">
        <f>WEIBULL_15HARIAN!H$7</f>
        <v/>
      </c>
      <c r="J11" s="13">
        <f>WEIBULL_15HARIAN!H$6</f>
        <v/>
      </c>
      <c r="K11" s="13">
        <f>WEIBULL_15HARIAN!H$8</f>
        <v/>
      </c>
      <c r="L11" s="3">
        <f>IF(OR(G11="",I11=""),"",IF(G11&gt;=I11,"di atas Q80","di bawah Q80"))</f>
        <v/>
      </c>
      <c r="N11" s="6" t="inlineStr">
        <is>
          <t>Mar II</t>
        </is>
      </c>
    </row>
    <row r="12">
      <c r="A12" s="9" t="n">
        <v>7</v>
      </c>
      <c r="B12" s="3" t="inlineStr">
        <is>
          <t>April</t>
        </is>
      </c>
      <c r="C12" s="3" t="inlineStr">
        <is>
          <t>I</t>
        </is>
      </c>
      <c r="D12" s="3" t="inlineStr">
        <is>
          <t>1-15</t>
        </is>
      </c>
      <c r="E12" s="9" t="n">
        <v>15</v>
      </c>
      <c r="F12" s="9">
        <f>COUNTIFS(DEBIT_HARIAN!$B$6:$B$9136,$C$3,DEBIT_HARIAN!$C$6:$C$9136,4,DEBIT_HARIAN!$E$6:$E$9136,1)</f>
        <v/>
      </c>
      <c r="G12" s="10">
        <f>IFERROR(AVERAGEIFS(DEBIT_HARIAN!$F$6:$F$9136,DEBIT_HARIAN!$B$6:$B$9136,$C$3,DEBIT_HARIAN!$C$6:$C$9136,4,DEBIT_HARIAN!$E$6:$E$9136,1),"")</f>
        <v/>
      </c>
      <c r="H12" s="11">
        <f>IF(G12="","",G12*E12*86400/1000000)</f>
        <v/>
      </c>
      <c r="I12" s="12">
        <f>WEIBULL_15HARIAN!I$7</f>
        <v/>
      </c>
      <c r="J12" s="13">
        <f>WEIBULL_15HARIAN!I$6</f>
        <v/>
      </c>
      <c r="K12" s="13">
        <f>WEIBULL_15HARIAN!I$8</f>
        <v/>
      </c>
      <c r="L12" s="3">
        <f>IF(OR(G12="",I12=""),"",IF(G12&gt;=I12,"di atas Q80","di bawah Q80"))</f>
        <v/>
      </c>
      <c r="N12" s="6" t="inlineStr">
        <is>
          <t>Apr I</t>
        </is>
      </c>
    </row>
    <row r="13">
      <c r="A13" s="9" t="n">
        <v>8</v>
      </c>
      <c r="B13" s="3" t="inlineStr">
        <is>
          <t>April</t>
        </is>
      </c>
      <c r="C13" s="3" t="inlineStr">
        <is>
          <t>II</t>
        </is>
      </c>
      <c r="D13" s="3">
        <f>16&amp;"-"&amp;DAY(DATE($C$3,4+1,0))</f>
        <v/>
      </c>
      <c r="E13" s="9">
        <f>DAY(DATE($C$3,4+1,0))-15</f>
        <v/>
      </c>
      <c r="F13" s="9">
        <f>COUNTIFS(DEBIT_HARIAN!$B$6:$B$9136,$C$3,DEBIT_HARIAN!$C$6:$C$9136,4,DEBIT_HARIAN!$E$6:$E$9136,2)</f>
        <v/>
      </c>
      <c r="G13" s="10">
        <f>IFERROR(AVERAGEIFS(DEBIT_HARIAN!$F$6:$F$9136,DEBIT_HARIAN!$B$6:$B$9136,$C$3,DEBIT_HARIAN!$C$6:$C$9136,4,DEBIT_HARIAN!$E$6:$E$9136,2),"")</f>
        <v/>
      </c>
      <c r="H13" s="11">
        <f>IF(G13="","",G13*E13*86400/1000000)</f>
        <v/>
      </c>
      <c r="I13" s="12">
        <f>WEIBULL_15HARIAN!J$7</f>
        <v/>
      </c>
      <c r="J13" s="13">
        <f>WEIBULL_15HARIAN!J$6</f>
        <v/>
      </c>
      <c r="K13" s="13">
        <f>WEIBULL_15HARIAN!J$8</f>
        <v/>
      </c>
      <c r="L13" s="3">
        <f>IF(OR(G13="",I13=""),"",IF(G13&gt;=I13,"di atas Q80","di bawah Q80"))</f>
        <v/>
      </c>
      <c r="N13" s="6" t="inlineStr">
        <is>
          <t>Apr II</t>
        </is>
      </c>
    </row>
    <row r="14">
      <c r="A14" s="9" t="n">
        <v>9</v>
      </c>
      <c r="B14" s="3" t="inlineStr">
        <is>
          <t>Mei</t>
        </is>
      </c>
      <c r="C14" s="3" t="inlineStr">
        <is>
          <t>I</t>
        </is>
      </c>
      <c r="D14" s="3" t="inlineStr">
        <is>
          <t>1-15</t>
        </is>
      </c>
      <c r="E14" s="9" t="n">
        <v>15</v>
      </c>
      <c r="F14" s="9">
        <f>COUNTIFS(DEBIT_HARIAN!$B$6:$B$9136,$C$3,DEBIT_HARIAN!$C$6:$C$9136,5,DEBIT_HARIAN!$E$6:$E$9136,1)</f>
        <v/>
      </c>
      <c r="G14" s="10">
        <f>IFERROR(AVERAGEIFS(DEBIT_HARIAN!$F$6:$F$9136,DEBIT_HARIAN!$B$6:$B$9136,$C$3,DEBIT_HARIAN!$C$6:$C$9136,5,DEBIT_HARIAN!$E$6:$E$9136,1),"")</f>
        <v/>
      </c>
      <c r="H14" s="11">
        <f>IF(G14="","",G14*E14*86400/1000000)</f>
        <v/>
      </c>
      <c r="I14" s="12">
        <f>WEIBULL_15HARIAN!K$7</f>
        <v/>
      </c>
      <c r="J14" s="13">
        <f>WEIBULL_15HARIAN!K$6</f>
        <v/>
      </c>
      <c r="K14" s="13">
        <f>WEIBULL_15HARIAN!K$8</f>
        <v/>
      </c>
      <c r="L14" s="3">
        <f>IF(OR(G14="",I14=""),"",IF(G14&gt;=I14,"di atas Q80","di bawah Q80"))</f>
        <v/>
      </c>
      <c r="N14" s="6" t="inlineStr">
        <is>
          <t>Mei I</t>
        </is>
      </c>
    </row>
    <row r="15">
      <c r="A15" s="9" t="n">
        <v>10</v>
      </c>
      <c r="B15" s="3" t="inlineStr">
        <is>
          <t>Mei</t>
        </is>
      </c>
      <c r="C15" s="3" t="inlineStr">
        <is>
          <t>II</t>
        </is>
      </c>
      <c r="D15" s="3">
        <f>16&amp;"-"&amp;DAY(DATE($C$3,5+1,0))</f>
        <v/>
      </c>
      <c r="E15" s="9">
        <f>DAY(DATE($C$3,5+1,0))-15</f>
        <v/>
      </c>
      <c r="F15" s="9">
        <f>COUNTIFS(DEBIT_HARIAN!$B$6:$B$9136,$C$3,DEBIT_HARIAN!$C$6:$C$9136,5,DEBIT_HARIAN!$E$6:$E$9136,2)</f>
        <v/>
      </c>
      <c r="G15" s="10">
        <f>IFERROR(AVERAGEIFS(DEBIT_HARIAN!$F$6:$F$9136,DEBIT_HARIAN!$B$6:$B$9136,$C$3,DEBIT_HARIAN!$C$6:$C$9136,5,DEBIT_HARIAN!$E$6:$E$9136,2),"")</f>
        <v/>
      </c>
      <c r="H15" s="11">
        <f>IF(G15="","",G15*E15*86400/1000000)</f>
        <v/>
      </c>
      <c r="I15" s="12">
        <f>WEIBULL_15HARIAN!L$7</f>
        <v/>
      </c>
      <c r="J15" s="13">
        <f>WEIBULL_15HARIAN!L$6</f>
        <v/>
      </c>
      <c r="K15" s="13">
        <f>WEIBULL_15HARIAN!L$8</f>
        <v/>
      </c>
      <c r="L15" s="3">
        <f>IF(OR(G15="",I15=""),"",IF(G15&gt;=I15,"di atas Q80","di bawah Q80"))</f>
        <v/>
      </c>
      <c r="N15" s="6" t="inlineStr">
        <is>
          <t>Mei II</t>
        </is>
      </c>
    </row>
    <row r="16">
      <c r="A16" s="9" t="n">
        <v>11</v>
      </c>
      <c r="B16" s="3" t="inlineStr">
        <is>
          <t>Juni</t>
        </is>
      </c>
      <c r="C16" s="3" t="inlineStr">
        <is>
          <t>I</t>
        </is>
      </c>
      <c r="D16" s="3" t="inlineStr">
        <is>
          <t>1-15</t>
        </is>
      </c>
      <c r="E16" s="9" t="n">
        <v>15</v>
      </c>
      <c r="F16" s="9">
        <f>COUNTIFS(DEBIT_HARIAN!$B$6:$B$9136,$C$3,DEBIT_HARIAN!$C$6:$C$9136,6,DEBIT_HARIAN!$E$6:$E$9136,1)</f>
        <v/>
      </c>
      <c r="G16" s="10">
        <f>IFERROR(AVERAGEIFS(DEBIT_HARIAN!$F$6:$F$9136,DEBIT_HARIAN!$B$6:$B$9136,$C$3,DEBIT_HARIAN!$C$6:$C$9136,6,DEBIT_HARIAN!$E$6:$E$9136,1),"")</f>
        <v/>
      </c>
      <c r="H16" s="11">
        <f>IF(G16="","",G16*E16*86400/1000000)</f>
        <v/>
      </c>
      <c r="I16" s="12">
        <f>WEIBULL_15HARIAN!M$7</f>
        <v/>
      </c>
      <c r="J16" s="13">
        <f>WEIBULL_15HARIAN!M$6</f>
        <v/>
      </c>
      <c r="K16" s="13">
        <f>WEIBULL_15HARIAN!M$8</f>
        <v/>
      </c>
      <c r="L16" s="3">
        <f>IF(OR(G16="",I16=""),"",IF(G16&gt;=I16,"di atas Q80","di bawah Q80"))</f>
        <v/>
      </c>
      <c r="N16" s="6" t="inlineStr">
        <is>
          <t>Jun I</t>
        </is>
      </c>
    </row>
    <row r="17">
      <c r="A17" s="9" t="n">
        <v>12</v>
      </c>
      <c r="B17" s="3" t="inlineStr">
        <is>
          <t>Juni</t>
        </is>
      </c>
      <c r="C17" s="3" t="inlineStr">
        <is>
          <t>II</t>
        </is>
      </c>
      <c r="D17" s="3">
        <f>16&amp;"-"&amp;DAY(DATE($C$3,6+1,0))</f>
        <v/>
      </c>
      <c r="E17" s="9">
        <f>DAY(DATE($C$3,6+1,0))-15</f>
        <v/>
      </c>
      <c r="F17" s="9">
        <f>COUNTIFS(DEBIT_HARIAN!$B$6:$B$9136,$C$3,DEBIT_HARIAN!$C$6:$C$9136,6,DEBIT_HARIAN!$E$6:$E$9136,2)</f>
        <v/>
      </c>
      <c r="G17" s="10">
        <f>IFERROR(AVERAGEIFS(DEBIT_HARIAN!$F$6:$F$9136,DEBIT_HARIAN!$B$6:$B$9136,$C$3,DEBIT_HARIAN!$C$6:$C$9136,6,DEBIT_HARIAN!$E$6:$E$9136,2),"")</f>
        <v/>
      </c>
      <c r="H17" s="11">
        <f>IF(G17="","",G17*E17*86400/1000000)</f>
        <v/>
      </c>
      <c r="I17" s="12">
        <f>WEIBULL_15HARIAN!N$7</f>
        <v/>
      </c>
      <c r="J17" s="13">
        <f>WEIBULL_15HARIAN!N$6</f>
        <v/>
      </c>
      <c r="K17" s="13">
        <f>WEIBULL_15HARIAN!N$8</f>
        <v/>
      </c>
      <c r="L17" s="3">
        <f>IF(OR(G17="",I17=""),"",IF(G17&gt;=I17,"di atas Q80","di bawah Q80"))</f>
        <v/>
      </c>
      <c r="N17" s="6" t="inlineStr">
        <is>
          <t>Jun II</t>
        </is>
      </c>
    </row>
    <row r="18">
      <c r="A18" s="9" t="n">
        <v>13</v>
      </c>
      <c r="B18" s="3" t="inlineStr">
        <is>
          <t>Juli</t>
        </is>
      </c>
      <c r="C18" s="3" t="inlineStr">
        <is>
          <t>I</t>
        </is>
      </c>
      <c r="D18" s="3" t="inlineStr">
        <is>
          <t>1-15</t>
        </is>
      </c>
      <c r="E18" s="9" t="n">
        <v>15</v>
      </c>
      <c r="F18" s="9">
        <f>COUNTIFS(DEBIT_HARIAN!$B$6:$B$9136,$C$3,DEBIT_HARIAN!$C$6:$C$9136,7,DEBIT_HARIAN!$E$6:$E$9136,1)</f>
        <v/>
      </c>
      <c r="G18" s="10">
        <f>IFERROR(AVERAGEIFS(DEBIT_HARIAN!$F$6:$F$9136,DEBIT_HARIAN!$B$6:$B$9136,$C$3,DEBIT_HARIAN!$C$6:$C$9136,7,DEBIT_HARIAN!$E$6:$E$9136,1),"")</f>
        <v/>
      </c>
      <c r="H18" s="11">
        <f>IF(G18="","",G18*E18*86400/1000000)</f>
        <v/>
      </c>
      <c r="I18" s="12">
        <f>WEIBULL_15HARIAN!O$7</f>
        <v/>
      </c>
      <c r="J18" s="13">
        <f>WEIBULL_15HARIAN!O$6</f>
        <v/>
      </c>
      <c r="K18" s="13">
        <f>WEIBULL_15HARIAN!O$8</f>
        <v/>
      </c>
      <c r="L18" s="3">
        <f>IF(OR(G18="",I18=""),"",IF(G18&gt;=I18,"di atas Q80","di bawah Q80"))</f>
        <v/>
      </c>
      <c r="N18" s="6" t="inlineStr">
        <is>
          <t>Jul I</t>
        </is>
      </c>
    </row>
    <row r="19">
      <c r="A19" s="9" t="n">
        <v>14</v>
      </c>
      <c r="B19" s="3" t="inlineStr">
        <is>
          <t>Juli</t>
        </is>
      </c>
      <c r="C19" s="3" t="inlineStr">
        <is>
          <t>II</t>
        </is>
      </c>
      <c r="D19" s="3">
        <f>16&amp;"-"&amp;DAY(DATE($C$3,7+1,0))</f>
        <v/>
      </c>
      <c r="E19" s="9">
        <f>DAY(DATE($C$3,7+1,0))-15</f>
        <v/>
      </c>
      <c r="F19" s="9">
        <f>COUNTIFS(DEBIT_HARIAN!$B$6:$B$9136,$C$3,DEBIT_HARIAN!$C$6:$C$9136,7,DEBIT_HARIAN!$E$6:$E$9136,2)</f>
        <v/>
      </c>
      <c r="G19" s="10">
        <f>IFERROR(AVERAGEIFS(DEBIT_HARIAN!$F$6:$F$9136,DEBIT_HARIAN!$B$6:$B$9136,$C$3,DEBIT_HARIAN!$C$6:$C$9136,7,DEBIT_HARIAN!$E$6:$E$9136,2),"")</f>
        <v/>
      </c>
      <c r="H19" s="11">
        <f>IF(G19="","",G19*E19*86400/1000000)</f>
        <v/>
      </c>
      <c r="I19" s="12">
        <f>WEIBULL_15HARIAN!P$7</f>
        <v/>
      </c>
      <c r="J19" s="13">
        <f>WEIBULL_15HARIAN!P$6</f>
        <v/>
      </c>
      <c r="K19" s="13">
        <f>WEIBULL_15HARIAN!P$8</f>
        <v/>
      </c>
      <c r="L19" s="3">
        <f>IF(OR(G19="",I19=""),"",IF(G19&gt;=I19,"di atas Q80","di bawah Q80"))</f>
        <v/>
      </c>
      <c r="N19" s="6" t="inlineStr">
        <is>
          <t>Jul II</t>
        </is>
      </c>
    </row>
    <row r="20">
      <c r="A20" s="9" t="n">
        <v>15</v>
      </c>
      <c r="B20" s="3" t="inlineStr">
        <is>
          <t>Agustus</t>
        </is>
      </c>
      <c r="C20" s="3" t="inlineStr">
        <is>
          <t>I</t>
        </is>
      </c>
      <c r="D20" s="3" t="inlineStr">
        <is>
          <t>1-15</t>
        </is>
      </c>
      <c r="E20" s="9" t="n">
        <v>15</v>
      </c>
      <c r="F20" s="9">
        <f>COUNTIFS(DEBIT_HARIAN!$B$6:$B$9136,$C$3,DEBIT_HARIAN!$C$6:$C$9136,8,DEBIT_HARIAN!$E$6:$E$9136,1)</f>
        <v/>
      </c>
      <c r="G20" s="10">
        <f>IFERROR(AVERAGEIFS(DEBIT_HARIAN!$F$6:$F$9136,DEBIT_HARIAN!$B$6:$B$9136,$C$3,DEBIT_HARIAN!$C$6:$C$9136,8,DEBIT_HARIAN!$E$6:$E$9136,1),"")</f>
        <v/>
      </c>
      <c r="H20" s="11">
        <f>IF(G20="","",G20*E20*86400/1000000)</f>
        <v/>
      </c>
      <c r="I20" s="12">
        <f>WEIBULL_15HARIAN!Q$7</f>
        <v/>
      </c>
      <c r="J20" s="13">
        <f>WEIBULL_15HARIAN!Q$6</f>
        <v/>
      </c>
      <c r="K20" s="13">
        <f>WEIBULL_15HARIAN!Q$8</f>
        <v/>
      </c>
      <c r="L20" s="3">
        <f>IF(OR(G20="",I20=""),"",IF(G20&gt;=I20,"di atas Q80","di bawah Q80"))</f>
        <v/>
      </c>
      <c r="N20" s="6" t="inlineStr">
        <is>
          <t>Agu I</t>
        </is>
      </c>
    </row>
    <row r="21">
      <c r="A21" s="9" t="n">
        <v>16</v>
      </c>
      <c r="B21" s="3" t="inlineStr">
        <is>
          <t>Agustus</t>
        </is>
      </c>
      <c r="C21" s="3" t="inlineStr">
        <is>
          <t>II</t>
        </is>
      </c>
      <c r="D21" s="3">
        <f>16&amp;"-"&amp;DAY(DATE($C$3,8+1,0))</f>
        <v/>
      </c>
      <c r="E21" s="9">
        <f>DAY(DATE($C$3,8+1,0))-15</f>
        <v/>
      </c>
      <c r="F21" s="9">
        <f>COUNTIFS(DEBIT_HARIAN!$B$6:$B$9136,$C$3,DEBIT_HARIAN!$C$6:$C$9136,8,DEBIT_HARIAN!$E$6:$E$9136,2)</f>
        <v/>
      </c>
      <c r="G21" s="10">
        <f>IFERROR(AVERAGEIFS(DEBIT_HARIAN!$F$6:$F$9136,DEBIT_HARIAN!$B$6:$B$9136,$C$3,DEBIT_HARIAN!$C$6:$C$9136,8,DEBIT_HARIAN!$E$6:$E$9136,2),"")</f>
        <v/>
      </c>
      <c r="H21" s="11">
        <f>IF(G21="","",G21*E21*86400/1000000)</f>
        <v/>
      </c>
      <c r="I21" s="12">
        <f>WEIBULL_15HARIAN!R$7</f>
        <v/>
      </c>
      <c r="J21" s="13">
        <f>WEIBULL_15HARIAN!R$6</f>
        <v/>
      </c>
      <c r="K21" s="13">
        <f>WEIBULL_15HARIAN!R$8</f>
        <v/>
      </c>
      <c r="L21" s="3">
        <f>IF(OR(G21="",I21=""),"",IF(G21&gt;=I21,"di atas Q80","di bawah Q80"))</f>
        <v/>
      </c>
      <c r="N21" s="6" t="inlineStr">
        <is>
          <t>Agu II</t>
        </is>
      </c>
    </row>
    <row r="22">
      <c r="A22" s="9" t="n">
        <v>17</v>
      </c>
      <c r="B22" s="3" t="inlineStr">
        <is>
          <t>September</t>
        </is>
      </c>
      <c r="C22" s="3" t="inlineStr">
        <is>
          <t>I</t>
        </is>
      </c>
      <c r="D22" s="3" t="inlineStr">
        <is>
          <t>1-15</t>
        </is>
      </c>
      <c r="E22" s="9" t="n">
        <v>15</v>
      </c>
      <c r="F22" s="9">
        <f>COUNTIFS(DEBIT_HARIAN!$B$6:$B$9136,$C$3,DEBIT_HARIAN!$C$6:$C$9136,9,DEBIT_HARIAN!$E$6:$E$9136,1)</f>
        <v/>
      </c>
      <c r="G22" s="10">
        <f>IFERROR(AVERAGEIFS(DEBIT_HARIAN!$F$6:$F$9136,DEBIT_HARIAN!$B$6:$B$9136,$C$3,DEBIT_HARIAN!$C$6:$C$9136,9,DEBIT_HARIAN!$E$6:$E$9136,1),"")</f>
        <v/>
      </c>
      <c r="H22" s="11">
        <f>IF(G22="","",G22*E22*86400/1000000)</f>
        <v/>
      </c>
      <c r="I22" s="12">
        <f>WEIBULL_15HARIAN!S$7</f>
        <v/>
      </c>
      <c r="J22" s="13">
        <f>WEIBULL_15HARIAN!S$6</f>
        <v/>
      </c>
      <c r="K22" s="13">
        <f>WEIBULL_15HARIAN!S$8</f>
        <v/>
      </c>
      <c r="L22" s="3">
        <f>IF(OR(G22="",I22=""),"",IF(G22&gt;=I22,"di atas Q80","di bawah Q80"))</f>
        <v/>
      </c>
      <c r="N22" s="6" t="inlineStr">
        <is>
          <t>Sep I</t>
        </is>
      </c>
    </row>
    <row r="23">
      <c r="A23" s="9" t="n">
        <v>18</v>
      </c>
      <c r="B23" s="3" t="inlineStr">
        <is>
          <t>September</t>
        </is>
      </c>
      <c r="C23" s="3" t="inlineStr">
        <is>
          <t>II</t>
        </is>
      </c>
      <c r="D23" s="3">
        <f>16&amp;"-"&amp;DAY(DATE($C$3,9+1,0))</f>
        <v/>
      </c>
      <c r="E23" s="9">
        <f>DAY(DATE($C$3,9+1,0))-15</f>
        <v/>
      </c>
      <c r="F23" s="9">
        <f>COUNTIFS(DEBIT_HARIAN!$B$6:$B$9136,$C$3,DEBIT_HARIAN!$C$6:$C$9136,9,DEBIT_HARIAN!$E$6:$E$9136,2)</f>
        <v/>
      </c>
      <c r="G23" s="10">
        <f>IFERROR(AVERAGEIFS(DEBIT_HARIAN!$F$6:$F$9136,DEBIT_HARIAN!$B$6:$B$9136,$C$3,DEBIT_HARIAN!$C$6:$C$9136,9,DEBIT_HARIAN!$E$6:$E$9136,2),"")</f>
        <v/>
      </c>
      <c r="H23" s="11">
        <f>IF(G23="","",G23*E23*86400/1000000)</f>
        <v/>
      </c>
      <c r="I23" s="12">
        <f>WEIBULL_15HARIAN!T$7</f>
        <v/>
      </c>
      <c r="J23" s="13">
        <f>WEIBULL_15HARIAN!T$6</f>
        <v/>
      </c>
      <c r="K23" s="13">
        <f>WEIBULL_15HARIAN!T$8</f>
        <v/>
      </c>
      <c r="L23" s="3">
        <f>IF(OR(G23="",I23=""),"",IF(G23&gt;=I23,"di atas Q80","di bawah Q80"))</f>
        <v/>
      </c>
      <c r="N23" s="6" t="inlineStr">
        <is>
          <t>Sep II</t>
        </is>
      </c>
    </row>
    <row r="24">
      <c r="A24" s="9" t="n">
        <v>19</v>
      </c>
      <c r="B24" s="3" t="inlineStr">
        <is>
          <t>Oktober</t>
        </is>
      </c>
      <c r="C24" s="3" t="inlineStr">
        <is>
          <t>I</t>
        </is>
      </c>
      <c r="D24" s="3" t="inlineStr">
        <is>
          <t>1-15</t>
        </is>
      </c>
      <c r="E24" s="9" t="n">
        <v>15</v>
      </c>
      <c r="F24" s="9">
        <f>COUNTIFS(DEBIT_HARIAN!$B$6:$B$9136,$C$3,DEBIT_HARIAN!$C$6:$C$9136,10,DEBIT_HARIAN!$E$6:$E$9136,1)</f>
        <v/>
      </c>
      <c r="G24" s="10">
        <f>IFERROR(AVERAGEIFS(DEBIT_HARIAN!$F$6:$F$9136,DEBIT_HARIAN!$B$6:$B$9136,$C$3,DEBIT_HARIAN!$C$6:$C$9136,10,DEBIT_HARIAN!$E$6:$E$9136,1),"")</f>
        <v/>
      </c>
      <c r="H24" s="11">
        <f>IF(G24="","",G24*E24*86400/1000000)</f>
        <v/>
      </c>
      <c r="I24" s="12">
        <f>WEIBULL_15HARIAN!U$7</f>
        <v/>
      </c>
      <c r="J24" s="13">
        <f>WEIBULL_15HARIAN!U$6</f>
        <v/>
      </c>
      <c r="K24" s="13">
        <f>WEIBULL_15HARIAN!U$8</f>
        <v/>
      </c>
      <c r="L24" s="3">
        <f>IF(OR(G24="",I24=""),"",IF(G24&gt;=I24,"di atas Q80","di bawah Q80"))</f>
        <v/>
      </c>
      <c r="N24" s="6" t="inlineStr">
        <is>
          <t>Okt I</t>
        </is>
      </c>
    </row>
    <row r="25">
      <c r="A25" s="9" t="n">
        <v>20</v>
      </c>
      <c r="B25" s="3" t="inlineStr">
        <is>
          <t>Oktober</t>
        </is>
      </c>
      <c r="C25" s="3" t="inlineStr">
        <is>
          <t>II</t>
        </is>
      </c>
      <c r="D25" s="3">
        <f>16&amp;"-"&amp;DAY(DATE($C$3,10+1,0))</f>
        <v/>
      </c>
      <c r="E25" s="9">
        <f>DAY(DATE($C$3,10+1,0))-15</f>
        <v/>
      </c>
      <c r="F25" s="9">
        <f>COUNTIFS(DEBIT_HARIAN!$B$6:$B$9136,$C$3,DEBIT_HARIAN!$C$6:$C$9136,10,DEBIT_HARIAN!$E$6:$E$9136,2)</f>
        <v/>
      </c>
      <c r="G25" s="10">
        <f>IFERROR(AVERAGEIFS(DEBIT_HARIAN!$F$6:$F$9136,DEBIT_HARIAN!$B$6:$B$9136,$C$3,DEBIT_HARIAN!$C$6:$C$9136,10,DEBIT_HARIAN!$E$6:$E$9136,2),"")</f>
        <v/>
      </c>
      <c r="H25" s="11">
        <f>IF(G25="","",G25*E25*86400/1000000)</f>
        <v/>
      </c>
      <c r="I25" s="12">
        <f>WEIBULL_15HARIAN!V$7</f>
        <v/>
      </c>
      <c r="J25" s="13">
        <f>WEIBULL_15HARIAN!V$6</f>
        <v/>
      </c>
      <c r="K25" s="13">
        <f>WEIBULL_15HARIAN!V$8</f>
        <v/>
      </c>
      <c r="L25" s="3">
        <f>IF(OR(G25="",I25=""),"",IF(G25&gt;=I25,"di atas Q80","di bawah Q80"))</f>
        <v/>
      </c>
      <c r="N25" s="6" t="inlineStr">
        <is>
          <t>Okt II</t>
        </is>
      </c>
    </row>
    <row r="26">
      <c r="A26" s="9" t="n">
        <v>21</v>
      </c>
      <c r="B26" s="3" t="inlineStr">
        <is>
          <t>November</t>
        </is>
      </c>
      <c r="C26" s="3" t="inlineStr">
        <is>
          <t>I</t>
        </is>
      </c>
      <c r="D26" s="3" t="inlineStr">
        <is>
          <t>1-15</t>
        </is>
      </c>
      <c r="E26" s="9" t="n">
        <v>15</v>
      </c>
      <c r="F26" s="9">
        <f>COUNTIFS(DEBIT_HARIAN!$B$6:$B$9136,$C$3,DEBIT_HARIAN!$C$6:$C$9136,11,DEBIT_HARIAN!$E$6:$E$9136,1)</f>
        <v/>
      </c>
      <c r="G26" s="10">
        <f>IFERROR(AVERAGEIFS(DEBIT_HARIAN!$F$6:$F$9136,DEBIT_HARIAN!$B$6:$B$9136,$C$3,DEBIT_HARIAN!$C$6:$C$9136,11,DEBIT_HARIAN!$E$6:$E$9136,1),"")</f>
        <v/>
      </c>
      <c r="H26" s="11">
        <f>IF(G26="","",G26*E26*86400/1000000)</f>
        <v/>
      </c>
      <c r="I26" s="12">
        <f>WEIBULL_15HARIAN!W$7</f>
        <v/>
      </c>
      <c r="J26" s="13">
        <f>WEIBULL_15HARIAN!W$6</f>
        <v/>
      </c>
      <c r="K26" s="13">
        <f>WEIBULL_15HARIAN!W$8</f>
        <v/>
      </c>
      <c r="L26" s="3">
        <f>IF(OR(G26="",I26=""),"",IF(G26&gt;=I26,"di atas Q80","di bawah Q80"))</f>
        <v/>
      </c>
      <c r="N26" s="6" t="inlineStr">
        <is>
          <t>Nov I</t>
        </is>
      </c>
    </row>
    <row r="27">
      <c r="A27" s="9" t="n">
        <v>22</v>
      </c>
      <c r="B27" s="3" t="inlineStr">
        <is>
          <t>November</t>
        </is>
      </c>
      <c r="C27" s="3" t="inlineStr">
        <is>
          <t>II</t>
        </is>
      </c>
      <c r="D27" s="3">
        <f>16&amp;"-"&amp;DAY(DATE($C$3,11+1,0))</f>
        <v/>
      </c>
      <c r="E27" s="9">
        <f>DAY(DATE($C$3,11+1,0))-15</f>
        <v/>
      </c>
      <c r="F27" s="9">
        <f>COUNTIFS(DEBIT_HARIAN!$B$6:$B$9136,$C$3,DEBIT_HARIAN!$C$6:$C$9136,11,DEBIT_HARIAN!$E$6:$E$9136,2)</f>
        <v/>
      </c>
      <c r="G27" s="10">
        <f>IFERROR(AVERAGEIFS(DEBIT_HARIAN!$F$6:$F$9136,DEBIT_HARIAN!$B$6:$B$9136,$C$3,DEBIT_HARIAN!$C$6:$C$9136,11,DEBIT_HARIAN!$E$6:$E$9136,2),"")</f>
        <v/>
      </c>
      <c r="H27" s="11">
        <f>IF(G27="","",G27*E27*86400/1000000)</f>
        <v/>
      </c>
      <c r="I27" s="12">
        <f>WEIBULL_15HARIAN!X$7</f>
        <v/>
      </c>
      <c r="J27" s="13">
        <f>WEIBULL_15HARIAN!X$6</f>
        <v/>
      </c>
      <c r="K27" s="13">
        <f>WEIBULL_15HARIAN!X$8</f>
        <v/>
      </c>
      <c r="L27" s="3">
        <f>IF(OR(G27="",I27=""),"",IF(G27&gt;=I27,"di atas Q80","di bawah Q80"))</f>
        <v/>
      </c>
      <c r="N27" s="6" t="inlineStr">
        <is>
          <t>Nov II</t>
        </is>
      </c>
    </row>
    <row r="28">
      <c r="A28" s="9" t="n">
        <v>23</v>
      </c>
      <c r="B28" s="3" t="inlineStr">
        <is>
          <t>Desember</t>
        </is>
      </c>
      <c r="C28" s="3" t="inlineStr">
        <is>
          <t>I</t>
        </is>
      </c>
      <c r="D28" s="3" t="inlineStr">
        <is>
          <t>1-15</t>
        </is>
      </c>
      <c r="E28" s="9" t="n">
        <v>15</v>
      </c>
      <c r="F28" s="9">
        <f>COUNTIFS(DEBIT_HARIAN!$B$6:$B$9136,$C$3,DEBIT_HARIAN!$C$6:$C$9136,12,DEBIT_HARIAN!$E$6:$E$9136,1)</f>
        <v/>
      </c>
      <c r="G28" s="10">
        <f>IFERROR(AVERAGEIFS(DEBIT_HARIAN!$F$6:$F$9136,DEBIT_HARIAN!$B$6:$B$9136,$C$3,DEBIT_HARIAN!$C$6:$C$9136,12,DEBIT_HARIAN!$E$6:$E$9136,1),"")</f>
        <v/>
      </c>
      <c r="H28" s="11">
        <f>IF(G28="","",G28*E28*86400/1000000)</f>
        <v/>
      </c>
      <c r="I28" s="12">
        <f>WEIBULL_15HARIAN!Y$7</f>
        <v/>
      </c>
      <c r="J28" s="13">
        <f>WEIBULL_15HARIAN!Y$6</f>
        <v/>
      </c>
      <c r="K28" s="13">
        <f>WEIBULL_15HARIAN!Y$8</f>
        <v/>
      </c>
      <c r="L28" s="3">
        <f>IF(OR(G28="",I28=""),"",IF(G28&gt;=I28,"di atas Q80","di bawah Q80"))</f>
        <v/>
      </c>
      <c r="N28" s="6" t="inlineStr">
        <is>
          <t>Des I</t>
        </is>
      </c>
    </row>
    <row r="29">
      <c r="A29" s="9" t="n">
        <v>24</v>
      </c>
      <c r="B29" s="3" t="inlineStr">
        <is>
          <t>Desember</t>
        </is>
      </c>
      <c r="C29" s="3" t="inlineStr">
        <is>
          <t>II</t>
        </is>
      </c>
      <c r="D29" s="3">
        <f>16&amp;"-"&amp;DAY(DATE($C$3,12+1,0))</f>
        <v/>
      </c>
      <c r="E29" s="9">
        <f>DAY(DATE($C$3,12+1,0))-15</f>
        <v/>
      </c>
      <c r="F29" s="9">
        <f>COUNTIFS(DEBIT_HARIAN!$B$6:$B$9136,$C$3,DEBIT_HARIAN!$C$6:$C$9136,12,DEBIT_HARIAN!$E$6:$E$9136,2)</f>
        <v/>
      </c>
      <c r="G29" s="10">
        <f>IFERROR(AVERAGEIFS(DEBIT_HARIAN!$F$6:$F$9136,DEBIT_HARIAN!$B$6:$B$9136,$C$3,DEBIT_HARIAN!$C$6:$C$9136,12,DEBIT_HARIAN!$E$6:$E$9136,2),"")</f>
        <v/>
      </c>
      <c r="H29" s="11">
        <f>IF(G29="","",G29*E29*86400/1000000)</f>
        <v/>
      </c>
      <c r="I29" s="12">
        <f>WEIBULL_15HARIAN!Z$7</f>
        <v/>
      </c>
      <c r="J29" s="13">
        <f>WEIBULL_15HARIAN!Z$6</f>
        <v/>
      </c>
      <c r="K29" s="13">
        <f>WEIBULL_15HARIAN!Z$8</f>
        <v/>
      </c>
      <c r="L29" s="3">
        <f>IF(OR(G29="",I29=""),"",IF(G29&gt;=I29,"di atas Q80","di bawah Q80"))</f>
        <v/>
      </c>
      <c r="N29" s="6" t="inlineStr">
        <is>
          <t>Des II</t>
        </is>
      </c>
    </row>
    <row r="30">
      <c r="A30" s="14" t="inlineStr"/>
      <c r="B30" s="2" t="inlineStr">
        <is>
          <t>Tahun 2025</t>
        </is>
      </c>
      <c r="C30" s="14" t="inlineStr"/>
      <c r="D30" s="14" t="inlineStr"/>
      <c r="E30" s="15">
        <f>SUM(E6:E29)</f>
        <v/>
      </c>
      <c r="F30" s="15">
        <f>SUM(F6:F29)</f>
        <v/>
      </c>
      <c r="G30" s="16">
        <f>IFERROR(AVERAGEIFS(DEBIT_HARIAN!$F$6:$F$9136,DEBIT_HARIAN!$B$6:$B$9136,$C$3),"")</f>
        <v/>
      </c>
      <c r="H30" s="17">
        <f>SUM(H6:H29)</f>
        <v/>
      </c>
      <c r="I30" s="14" t="inlineStr"/>
      <c r="J30" s="14" t="inlineStr"/>
      <c r="K30" s="14" t="inlineStr"/>
      <c r="L30" s="2">
        <f>IF(COUNT(G6:G29)=0,"",COUNTIF(L6:L29,"di atas Q80")&amp;" dari "&amp;COUNT(G6:G29)&amp;" periode di atas Q80")</f>
        <v/>
      </c>
    </row>
    <row r="31">
      <c r="A31" s="6" t="inlineStr">
        <is>
          <t>Baris jumlah: debit = rata-rata debit harian setahun; volume = jumlah volume 24 periode. Ubah sel C3 untuk menampilkan tahun lain yang ada di DEBIT_HARIAN.</t>
        </is>
      </c>
    </row>
  </sheetData>
  <mergeCells count="1">
    <mergeCell ref="A3:B3"/>
  </mergeCell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18" t="inlineStr">
        <is>
          <t>Q50 (m³/s)</t>
        </is>
      </c>
      <c r="B6" s="19" t="n">
        <v>0.5</v>
      </c>
      <c r="C6" s="13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3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3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3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3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3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3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3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3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3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3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3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3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3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3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3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3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3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3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3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3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3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3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3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20" t="inlineStr">
        <is>
          <t>Q80 (m³/s)</t>
        </is>
      </c>
      <c r="B7" s="19" t="n">
        <v>0.8</v>
      </c>
      <c r="C7" s="21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21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21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21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21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21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21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21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21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21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21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21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21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21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21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21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21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21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21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21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21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21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21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21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18" t="inlineStr">
        <is>
          <t>Q90 (m³/s)</t>
        </is>
      </c>
      <c r="B8" s="19" t="n">
        <v>0.9</v>
      </c>
      <c r="C8" s="13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3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3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3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3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3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3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3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3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3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3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3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3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3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3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3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3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3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3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3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3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3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3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3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18" t="inlineStr">
        <is>
          <t>Q95 (m³/s)</t>
        </is>
      </c>
      <c r="B9" s="19" t="n">
        <v>0.95</v>
      </c>
      <c r="C9" s="13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3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3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3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3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3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3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3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3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3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3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3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3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3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3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3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3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3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3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3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3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3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3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3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22">
        <f>IFERROR(AVERAGE(DEBIT_15HARIAN!$B$7:$B$31),"")</f>
        <v/>
      </c>
      <c r="D10" s="22">
        <f>IFERROR(AVERAGE(DEBIT_15HARIAN!$C$7:$C$31),"")</f>
        <v/>
      </c>
      <c r="E10" s="22">
        <f>IFERROR(AVERAGE(DEBIT_15HARIAN!$D$7:$D$31),"")</f>
        <v/>
      </c>
      <c r="F10" s="22">
        <f>IFERROR(AVERAGE(DEBIT_15HARIAN!$E$7:$E$31),"")</f>
        <v/>
      </c>
      <c r="G10" s="22">
        <f>IFERROR(AVERAGE(DEBIT_15HARIAN!$F$7:$F$31),"")</f>
        <v/>
      </c>
      <c r="H10" s="22">
        <f>IFERROR(AVERAGE(DEBIT_15HARIAN!$G$7:$G$31),"")</f>
        <v/>
      </c>
      <c r="I10" s="22">
        <f>IFERROR(AVERAGE(DEBIT_15HARIAN!$H$7:$H$31),"")</f>
        <v/>
      </c>
      <c r="J10" s="22">
        <f>IFERROR(AVERAGE(DEBIT_15HARIAN!$I$7:$I$31),"")</f>
        <v/>
      </c>
      <c r="K10" s="22">
        <f>IFERROR(AVERAGE(DEBIT_15HARIAN!$J$7:$J$31),"")</f>
        <v/>
      </c>
      <c r="L10" s="22">
        <f>IFERROR(AVERAGE(DEBIT_15HARIAN!$K$7:$K$31),"")</f>
        <v/>
      </c>
      <c r="M10" s="22">
        <f>IFERROR(AVERAGE(DEBIT_15HARIAN!$L$7:$L$31),"")</f>
        <v/>
      </c>
      <c r="N10" s="22">
        <f>IFERROR(AVERAGE(DEBIT_15HARIAN!$M$7:$M$31),"")</f>
        <v/>
      </c>
      <c r="O10" s="22">
        <f>IFERROR(AVERAGE(DEBIT_15HARIAN!$N$7:$N$31),"")</f>
        <v/>
      </c>
      <c r="P10" s="22">
        <f>IFERROR(AVERAGE(DEBIT_15HARIAN!$O$7:$O$31),"")</f>
        <v/>
      </c>
      <c r="Q10" s="22">
        <f>IFERROR(AVERAGE(DEBIT_15HARIAN!$P$7:$P$31),"")</f>
        <v/>
      </c>
      <c r="R10" s="22">
        <f>IFERROR(AVERAGE(DEBIT_15HARIAN!$Q$7:$Q$31),"")</f>
        <v/>
      </c>
      <c r="S10" s="22">
        <f>IFERROR(AVERAGE(DEBIT_15HARIAN!$R$7:$R$31),"")</f>
        <v/>
      </c>
      <c r="T10" s="22">
        <f>IFERROR(AVERAGE(DEBIT_15HARIAN!$S$7:$S$31),"")</f>
        <v/>
      </c>
      <c r="U10" s="22">
        <f>IFERROR(AVERAGE(DEBIT_15HARIAN!$T$7:$T$31),"")</f>
        <v/>
      </c>
      <c r="V10" s="22">
        <f>IFERROR(AVERAGE(DEBIT_15HARIAN!$U$7:$U$31),"")</f>
        <v/>
      </c>
      <c r="W10" s="22">
        <f>IFERROR(AVERAGE(DEBIT_15HARIAN!$V$7:$V$31),"")</f>
        <v/>
      </c>
      <c r="X10" s="22">
        <f>IFERROR(AVERAGE(DEBIT_15HARIAN!$W$7:$W$31),"")</f>
        <v/>
      </c>
      <c r="Y10" s="22">
        <f>IFERROR(AVERAGE(DEBIT_15HARIAN!$X$7:$X$31),"")</f>
        <v/>
      </c>
      <c r="Z10" s="22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9" t="n">
        <v>1</v>
      </c>
      <c r="B35" s="23">
        <f>IF(A35&gt;$C$3,"",A35/($C$3+1))</f>
        <v/>
      </c>
      <c r="C35" s="13">
        <f>IF($A35&gt;$C$3,"",LARGE(DEBIT_15HARIAN!$B$7:$B$31,$A35))</f>
        <v/>
      </c>
      <c r="D35" s="13">
        <f>IF($A35&gt;$C$3,"",LARGE(DEBIT_15HARIAN!$C$7:$C$31,$A35))</f>
        <v/>
      </c>
      <c r="E35" s="13">
        <f>IF($A35&gt;$C$3,"",LARGE(DEBIT_15HARIAN!$D$7:$D$31,$A35))</f>
        <v/>
      </c>
      <c r="F35" s="13">
        <f>IF($A35&gt;$C$3,"",LARGE(DEBIT_15HARIAN!$E$7:$E$31,$A35))</f>
        <v/>
      </c>
      <c r="G35" s="13">
        <f>IF($A35&gt;$C$3,"",LARGE(DEBIT_15HARIAN!$F$7:$F$31,$A35))</f>
        <v/>
      </c>
      <c r="H35" s="13">
        <f>IF($A35&gt;$C$3,"",LARGE(DEBIT_15HARIAN!$G$7:$G$31,$A35))</f>
        <v/>
      </c>
      <c r="I35" s="13">
        <f>IF($A35&gt;$C$3,"",LARGE(DEBIT_15HARIAN!$H$7:$H$31,$A35))</f>
        <v/>
      </c>
      <c r="J35" s="13">
        <f>IF($A35&gt;$C$3,"",LARGE(DEBIT_15HARIAN!$I$7:$I$31,$A35))</f>
        <v/>
      </c>
      <c r="K35" s="13">
        <f>IF($A35&gt;$C$3,"",LARGE(DEBIT_15HARIAN!$J$7:$J$31,$A35))</f>
        <v/>
      </c>
      <c r="L35" s="13">
        <f>IF($A35&gt;$C$3,"",LARGE(DEBIT_15HARIAN!$K$7:$K$31,$A35))</f>
        <v/>
      </c>
      <c r="M35" s="13">
        <f>IF($A35&gt;$C$3,"",LARGE(DEBIT_15HARIAN!$L$7:$L$31,$A35))</f>
        <v/>
      </c>
      <c r="N35" s="13">
        <f>IF($A35&gt;$C$3,"",LARGE(DEBIT_15HARIAN!$M$7:$M$31,$A35))</f>
        <v/>
      </c>
      <c r="O35" s="13">
        <f>IF($A35&gt;$C$3,"",LARGE(DEBIT_15HARIAN!$N$7:$N$31,$A35))</f>
        <v/>
      </c>
      <c r="P35" s="13">
        <f>IF($A35&gt;$C$3,"",LARGE(DEBIT_15HARIAN!$O$7:$O$31,$A35))</f>
        <v/>
      </c>
      <c r="Q35" s="13">
        <f>IF($A35&gt;$C$3,"",LARGE(DEBIT_15HARIAN!$P$7:$P$31,$A35))</f>
        <v/>
      </c>
      <c r="R35" s="13">
        <f>IF($A35&gt;$C$3,"",LARGE(DEBIT_15HARIAN!$Q$7:$Q$31,$A35))</f>
        <v/>
      </c>
      <c r="S35" s="13">
        <f>IF($A35&gt;$C$3,"",LARGE(DEBIT_15HARIAN!$R$7:$R$31,$A35))</f>
        <v/>
      </c>
      <c r="T35" s="13">
        <f>IF($A35&gt;$C$3,"",LARGE(DEBIT_15HARIAN!$S$7:$S$31,$A35))</f>
        <v/>
      </c>
      <c r="U35" s="13">
        <f>IF($A35&gt;$C$3,"",LARGE(DEBIT_15HARIAN!$T$7:$T$31,$A35))</f>
        <v/>
      </c>
      <c r="V35" s="13">
        <f>IF($A35&gt;$C$3,"",LARGE(DEBIT_15HARIAN!$U$7:$U$31,$A35))</f>
        <v/>
      </c>
      <c r="W35" s="13">
        <f>IF($A35&gt;$C$3,"",LARGE(DEBIT_15HARIAN!$V$7:$V$31,$A35))</f>
        <v/>
      </c>
      <c r="X35" s="13">
        <f>IF($A35&gt;$C$3,"",LARGE(DEBIT_15HARIAN!$W$7:$W$31,$A35))</f>
        <v/>
      </c>
      <c r="Y35" s="13">
        <f>IF($A35&gt;$C$3,"",LARGE(DEBIT_15HARIAN!$X$7:$X$31,$A35))</f>
        <v/>
      </c>
      <c r="Z35" s="13">
        <f>IF($A35&gt;$C$3,"",LARGE(DEBIT_15HARIAN!$Y$7:$Y$31,$A35))</f>
        <v/>
      </c>
    </row>
    <row r="36">
      <c r="A36" s="9" t="n">
        <v>2</v>
      </c>
      <c r="B36" s="23">
        <f>IF(A36&gt;$C$3,"",A36/($C$3+1))</f>
        <v/>
      </c>
      <c r="C36" s="13">
        <f>IF($A36&gt;$C$3,"",LARGE(DEBIT_15HARIAN!$B$7:$B$31,$A36))</f>
        <v/>
      </c>
      <c r="D36" s="13">
        <f>IF($A36&gt;$C$3,"",LARGE(DEBIT_15HARIAN!$C$7:$C$31,$A36))</f>
        <v/>
      </c>
      <c r="E36" s="13">
        <f>IF($A36&gt;$C$3,"",LARGE(DEBIT_15HARIAN!$D$7:$D$31,$A36))</f>
        <v/>
      </c>
      <c r="F36" s="13">
        <f>IF($A36&gt;$C$3,"",LARGE(DEBIT_15HARIAN!$E$7:$E$31,$A36))</f>
        <v/>
      </c>
      <c r="G36" s="13">
        <f>IF($A36&gt;$C$3,"",LARGE(DEBIT_15HARIAN!$F$7:$F$31,$A36))</f>
        <v/>
      </c>
      <c r="H36" s="13">
        <f>IF($A36&gt;$C$3,"",LARGE(DEBIT_15HARIAN!$G$7:$G$31,$A36))</f>
        <v/>
      </c>
      <c r="I36" s="13">
        <f>IF($A36&gt;$C$3,"",LARGE(DEBIT_15HARIAN!$H$7:$H$31,$A36))</f>
        <v/>
      </c>
      <c r="J36" s="13">
        <f>IF($A36&gt;$C$3,"",LARGE(DEBIT_15HARIAN!$I$7:$I$31,$A36))</f>
        <v/>
      </c>
      <c r="K36" s="13">
        <f>IF($A36&gt;$C$3,"",LARGE(DEBIT_15HARIAN!$J$7:$J$31,$A36))</f>
        <v/>
      </c>
      <c r="L36" s="13">
        <f>IF($A36&gt;$C$3,"",LARGE(DEBIT_15HARIAN!$K$7:$K$31,$A36))</f>
        <v/>
      </c>
      <c r="M36" s="13">
        <f>IF($A36&gt;$C$3,"",LARGE(DEBIT_15HARIAN!$L$7:$L$31,$A36))</f>
        <v/>
      </c>
      <c r="N36" s="13">
        <f>IF($A36&gt;$C$3,"",LARGE(DEBIT_15HARIAN!$M$7:$M$31,$A36))</f>
        <v/>
      </c>
      <c r="O36" s="13">
        <f>IF($A36&gt;$C$3,"",LARGE(DEBIT_15HARIAN!$N$7:$N$31,$A36))</f>
        <v/>
      </c>
      <c r="P36" s="13">
        <f>IF($A36&gt;$C$3,"",LARGE(DEBIT_15HARIAN!$O$7:$O$31,$A36))</f>
        <v/>
      </c>
      <c r="Q36" s="13">
        <f>IF($A36&gt;$C$3,"",LARGE(DEBIT_15HARIAN!$P$7:$P$31,$A36))</f>
        <v/>
      </c>
      <c r="R36" s="13">
        <f>IF($A36&gt;$C$3,"",LARGE(DEBIT_15HARIAN!$Q$7:$Q$31,$A36))</f>
        <v/>
      </c>
      <c r="S36" s="13">
        <f>IF($A36&gt;$C$3,"",LARGE(DEBIT_15HARIAN!$R$7:$R$31,$A36))</f>
        <v/>
      </c>
      <c r="T36" s="13">
        <f>IF($A36&gt;$C$3,"",LARGE(DEBIT_15HARIAN!$S$7:$S$31,$A36))</f>
        <v/>
      </c>
      <c r="U36" s="13">
        <f>IF($A36&gt;$C$3,"",LARGE(DEBIT_15HARIAN!$T$7:$T$31,$A36))</f>
        <v/>
      </c>
      <c r="V36" s="13">
        <f>IF($A36&gt;$C$3,"",LARGE(DEBIT_15HARIAN!$U$7:$U$31,$A36))</f>
        <v/>
      </c>
      <c r="W36" s="13">
        <f>IF($A36&gt;$C$3,"",LARGE(DEBIT_15HARIAN!$V$7:$V$31,$A36))</f>
        <v/>
      </c>
      <c r="X36" s="13">
        <f>IF($A36&gt;$C$3,"",LARGE(DEBIT_15HARIAN!$W$7:$W$31,$A36))</f>
        <v/>
      </c>
      <c r="Y36" s="13">
        <f>IF($A36&gt;$C$3,"",LARGE(DEBIT_15HARIAN!$X$7:$X$31,$A36))</f>
        <v/>
      </c>
      <c r="Z36" s="13">
        <f>IF($A36&gt;$C$3,"",LARGE(DEBIT_15HARIAN!$Y$7:$Y$31,$A36))</f>
        <v/>
      </c>
    </row>
    <row r="37">
      <c r="A37" s="9" t="n">
        <v>3</v>
      </c>
      <c r="B37" s="23">
        <f>IF(A37&gt;$C$3,"",A37/($C$3+1))</f>
        <v/>
      </c>
      <c r="C37" s="13">
        <f>IF($A37&gt;$C$3,"",LARGE(DEBIT_15HARIAN!$B$7:$B$31,$A37))</f>
        <v/>
      </c>
      <c r="D37" s="13">
        <f>IF($A37&gt;$C$3,"",LARGE(DEBIT_15HARIAN!$C$7:$C$31,$A37))</f>
        <v/>
      </c>
      <c r="E37" s="13">
        <f>IF($A37&gt;$C$3,"",LARGE(DEBIT_15HARIAN!$D$7:$D$31,$A37))</f>
        <v/>
      </c>
      <c r="F37" s="13">
        <f>IF($A37&gt;$C$3,"",LARGE(DEBIT_15HARIAN!$E$7:$E$31,$A37))</f>
        <v/>
      </c>
      <c r="G37" s="13">
        <f>IF($A37&gt;$C$3,"",LARGE(DEBIT_15HARIAN!$F$7:$F$31,$A37))</f>
        <v/>
      </c>
      <c r="H37" s="13">
        <f>IF($A37&gt;$C$3,"",LARGE(DEBIT_15HARIAN!$G$7:$G$31,$A37))</f>
        <v/>
      </c>
      <c r="I37" s="13">
        <f>IF($A37&gt;$C$3,"",LARGE(DEBIT_15HARIAN!$H$7:$H$31,$A37))</f>
        <v/>
      </c>
      <c r="J37" s="13">
        <f>IF($A37&gt;$C$3,"",LARGE(DEBIT_15HARIAN!$I$7:$I$31,$A37))</f>
        <v/>
      </c>
      <c r="K37" s="13">
        <f>IF($A37&gt;$C$3,"",LARGE(DEBIT_15HARIAN!$J$7:$J$31,$A37))</f>
        <v/>
      </c>
      <c r="L37" s="13">
        <f>IF($A37&gt;$C$3,"",LARGE(DEBIT_15HARIAN!$K$7:$K$31,$A37))</f>
        <v/>
      </c>
      <c r="M37" s="13">
        <f>IF($A37&gt;$C$3,"",LARGE(DEBIT_15HARIAN!$L$7:$L$31,$A37))</f>
        <v/>
      </c>
      <c r="N37" s="13">
        <f>IF($A37&gt;$C$3,"",LARGE(DEBIT_15HARIAN!$M$7:$M$31,$A37))</f>
        <v/>
      </c>
      <c r="O37" s="13">
        <f>IF($A37&gt;$C$3,"",LARGE(DEBIT_15HARIAN!$N$7:$N$31,$A37))</f>
        <v/>
      </c>
      <c r="P37" s="13">
        <f>IF($A37&gt;$C$3,"",LARGE(DEBIT_15HARIAN!$O$7:$O$31,$A37))</f>
        <v/>
      </c>
      <c r="Q37" s="13">
        <f>IF($A37&gt;$C$3,"",LARGE(DEBIT_15HARIAN!$P$7:$P$31,$A37))</f>
        <v/>
      </c>
      <c r="R37" s="13">
        <f>IF($A37&gt;$C$3,"",LARGE(DEBIT_15HARIAN!$Q$7:$Q$31,$A37))</f>
        <v/>
      </c>
      <c r="S37" s="13">
        <f>IF($A37&gt;$C$3,"",LARGE(DEBIT_15HARIAN!$R$7:$R$31,$A37))</f>
        <v/>
      </c>
      <c r="T37" s="13">
        <f>IF($A37&gt;$C$3,"",LARGE(DEBIT_15HARIAN!$S$7:$S$31,$A37))</f>
        <v/>
      </c>
      <c r="U37" s="13">
        <f>IF($A37&gt;$C$3,"",LARGE(DEBIT_15HARIAN!$T$7:$T$31,$A37))</f>
        <v/>
      </c>
      <c r="V37" s="13">
        <f>IF($A37&gt;$C$3,"",LARGE(DEBIT_15HARIAN!$U$7:$U$31,$A37))</f>
        <v/>
      </c>
      <c r="W37" s="13">
        <f>IF($A37&gt;$C$3,"",LARGE(DEBIT_15HARIAN!$V$7:$V$31,$A37))</f>
        <v/>
      </c>
      <c r="X37" s="13">
        <f>IF($A37&gt;$C$3,"",LARGE(DEBIT_15HARIAN!$W$7:$W$31,$A37))</f>
        <v/>
      </c>
      <c r="Y37" s="13">
        <f>IF($A37&gt;$C$3,"",LARGE(DEBIT_15HARIAN!$X$7:$X$31,$A37))</f>
        <v/>
      </c>
      <c r="Z37" s="13">
        <f>IF($A37&gt;$C$3,"",LARGE(DEBIT_15HARIAN!$Y$7:$Y$31,$A37))</f>
        <v/>
      </c>
    </row>
    <row r="38">
      <c r="A38" s="9" t="n">
        <v>4</v>
      </c>
      <c r="B38" s="23">
        <f>IF(A38&gt;$C$3,"",A38/($C$3+1))</f>
        <v/>
      </c>
      <c r="C38" s="13">
        <f>IF($A38&gt;$C$3,"",LARGE(DEBIT_15HARIAN!$B$7:$B$31,$A38))</f>
        <v/>
      </c>
      <c r="D38" s="13">
        <f>IF($A38&gt;$C$3,"",LARGE(DEBIT_15HARIAN!$C$7:$C$31,$A38))</f>
        <v/>
      </c>
      <c r="E38" s="13">
        <f>IF($A38&gt;$C$3,"",LARGE(DEBIT_15HARIAN!$D$7:$D$31,$A38))</f>
        <v/>
      </c>
      <c r="F38" s="13">
        <f>IF($A38&gt;$C$3,"",LARGE(DEBIT_15HARIAN!$E$7:$E$31,$A38))</f>
        <v/>
      </c>
      <c r="G38" s="13">
        <f>IF($A38&gt;$C$3,"",LARGE(DEBIT_15HARIAN!$F$7:$F$31,$A38))</f>
        <v/>
      </c>
      <c r="H38" s="13">
        <f>IF($A38&gt;$C$3,"",LARGE(DEBIT_15HARIAN!$G$7:$G$31,$A38))</f>
        <v/>
      </c>
      <c r="I38" s="13">
        <f>IF($A38&gt;$C$3,"",LARGE(DEBIT_15HARIAN!$H$7:$H$31,$A38))</f>
        <v/>
      </c>
      <c r="J38" s="13">
        <f>IF($A38&gt;$C$3,"",LARGE(DEBIT_15HARIAN!$I$7:$I$31,$A38))</f>
        <v/>
      </c>
      <c r="K38" s="13">
        <f>IF($A38&gt;$C$3,"",LARGE(DEBIT_15HARIAN!$J$7:$J$31,$A38))</f>
        <v/>
      </c>
      <c r="L38" s="13">
        <f>IF($A38&gt;$C$3,"",LARGE(DEBIT_15HARIAN!$K$7:$K$31,$A38))</f>
        <v/>
      </c>
      <c r="M38" s="13">
        <f>IF($A38&gt;$C$3,"",LARGE(DEBIT_15HARIAN!$L$7:$L$31,$A38))</f>
        <v/>
      </c>
      <c r="N38" s="13">
        <f>IF($A38&gt;$C$3,"",LARGE(DEBIT_15HARIAN!$M$7:$M$31,$A38))</f>
        <v/>
      </c>
      <c r="O38" s="13">
        <f>IF($A38&gt;$C$3,"",LARGE(DEBIT_15HARIAN!$N$7:$N$31,$A38))</f>
        <v/>
      </c>
      <c r="P38" s="13">
        <f>IF($A38&gt;$C$3,"",LARGE(DEBIT_15HARIAN!$O$7:$O$31,$A38))</f>
        <v/>
      </c>
      <c r="Q38" s="13">
        <f>IF($A38&gt;$C$3,"",LARGE(DEBIT_15HARIAN!$P$7:$P$31,$A38))</f>
        <v/>
      </c>
      <c r="R38" s="13">
        <f>IF($A38&gt;$C$3,"",LARGE(DEBIT_15HARIAN!$Q$7:$Q$31,$A38))</f>
        <v/>
      </c>
      <c r="S38" s="13">
        <f>IF($A38&gt;$C$3,"",LARGE(DEBIT_15HARIAN!$R$7:$R$31,$A38))</f>
        <v/>
      </c>
      <c r="T38" s="13">
        <f>IF($A38&gt;$C$3,"",LARGE(DEBIT_15HARIAN!$S$7:$S$31,$A38))</f>
        <v/>
      </c>
      <c r="U38" s="13">
        <f>IF($A38&gt;$C$3,"",LARGE(DEBIT_15HARIAN!$T$7:$T$31,$A38))</f>
        <v/>
      </c>
      <c r="V38" s="13">
        <f>IF($A38&gt;$C$3,"",LARGE(DEBIT_15HARIAN!$U$7:$U$31,$A38))</f>
        <v/>
      </c>
      <c r="W38" s="13">
        <f>IF($A38&gt;$C$3,"",LARGE(DEBIT_15HARIAN!$V$7:$V$31,$A38))</f>
        <v/>
      </c>
      <c r="X38" s="13">
        <f>IF($A38&gt;$C$3,"",LARGE(DEBIT_15HARIAN!$W$7:$W$31,$A38))</f>
        <v/>
      </c>
      <c r="Y38" s="13">
        <f>IF($A38&gt;$C$3,"",LARGE(DEBIT_15HARIAN!$X$7:$X$31,$A38))</f>
        <v/>
      </c>
      <c r="Z38" s="13">
        <f>IF($A38&gt;$C$3,"",LARGE(DEBIT_15HARIAN!$Y$7:$Y$31,$A38))</f>
        <v/>
      </c>
    </row>
    <row r="39">
      <c r="A39" s="9" t="n">
        <v>5</v>
      </c>
      <c r="B39" s="23">
        <f>IF(A39&gt;$C$3,"",A39/($C$3+1))</f>
        <v/>
      </c>
      <c r="C39" s="13">
        <f>IF($A39&gt;$C$3,"",LARGE(DEBIT_15HARIAN!$B$7:$B$31,$A39))</f>
        <v/>
      </c>
      <c r="D39" s="13">
        <f>IF($A39&gt;$C$3,"",LARGE(DEBIT_15HARIAN!$C$7:$C$31,$A39))</f>
        <v/>
      </c>
      <c r="E39" s="13">
        <f>IF($A39&gt;$C$3,"",LARGE(DEBIT_15HARIAN!$D$7:$D$31,$A39))</f>
        <v/>
      </c>
      <c r="F39" s="13">
        <f>IF($A39&gt;$C$3,"",LARGE(DEBIT_15HARIAN!$E$7:$E$31,$A39))</f>
        <v/>
      </c>
      <c r="G39" s="13">
        <f>IF($A39&gt;$C$3,"",LARGE(DEBIT_15HARIAN!$F$7:$F$31,$A39))</f>
        <v/>
      </c>
      <c r="H39" s="13">
        <f>IF($A39&gt;$C$3,"",LARGE(DEBIT_15HARIAN!$G$7:$G$31,$A39))</f>
        <v/>
      </c>
      <c r="I39" s="13">
        <f>IF($A39&gt;$C$3,"",LARGE(DEBIT_15HARIAN!$H$7:$H$31,$A39))</f>
        <v/>
      </c>
      <c r="J39" s="13">
        <f>IF($A39&gt;$C$3,"",LARGE(DEBIT_15HARIAN!$I$7:$I$31,$A39))</f>
        <v/>
      </c>
      <c r="K39" s="13">
        <f>IF($A39&gt;$C$3,"",LARGE(DEBIT_15HARIAN!$J$7:$J$31,$A39))</f>
        <v/>
      </c>
      <c r="L39" s="13">
        <f>IF($A39&gt;$C$3,"",LARGE(DEBIT_15HARIAN!$K$7:$K$31,$A39))</f>
        <v/>
      </c>
      <c r="M39" s="13">
        <f>IF($A39&gt;$C$3,"",LARGE(DEBIT_15HARIAN!$L$7:$L$31,$A39))</f>
        <v/>
      </c>
      <c r="N39" s="13">
        <f>IF($A39&gt;$C$3,"",LARGE(DEBIT_15HARIAN!$M$7:$M$31,$A39))</f>
        <v/>
      </c>
      <c r="O39" s="13">
        <f>IF($A39&gt;$C$3,"",LARGE(DEBIT_15HARIAN!$N$7:$N$31,$A39))</f>
        <v/>
      </c>
      <c r="P39" s="13">
        <f>IF($A39&gt;$C$3,"",LARGE(DEBIT_15HARIAN!$O$7:$O$31,$A39))</f>
        <v/>
      </c>
      <c r="Q39" s="13">
        <f>IF($A39&gt;$C$3,"",LARGE(DEBIT_15HARIAN!$P$7:$P$31,$A39))</f>
        <v/>
      </c>
      <c r="R39" s="13">
        <f>IF($A39&gt;$C$3,"",LARGE(DEBIT_15HARIAN!$Q$7:$Q$31,$A39))</f>
        <v/>
      </c>
      <c r="S39" s="13">
        <f>IF($A39&gt;$C$3,"",LARGE(DEBIT_15HARIAN!$R$7:$R$31,$A39))</f>
        <v/>
      </c>
      <c r="T39" s="13">
        <f>IF($A39&gt;$C$3,"",LARGE(DEBIT_15HARIAN!$S$7:$S$31,$A39))</f>
        <v/>
      </c>
      <c r="U39" s="13">
        <f>IF($A39&gt;$C$3,"",LARGE(DEBIT_15HARIAN!$T$7:$T$31,$A39))</f>
        <v/>
      </c>
      <c r="V39" s="13">
        <f>IF($A39&gt;$C$3,"",LARGE(DEBIT_15HARIAN!$U$7:$U$31,$A39))</f>
        <v/>
      </c>
      <c r="W39" s="13">
        <f>IF($A39&gt;$C$3,"",LARGE(DEBIT_15HARIAN!$V$7:$V$31,$A39))</f>
        <v/>
      </c>
      <c r="X39" s="13">
        <f>IF($A39&gt;$C$3,"",LARGE(DEBIT_15HARIAN!$W$7:$W$31,$A39))</f>
        <v/>
      </c>
      <c r="Y39" s="13">
        <f>IF($A39&gt;$C$3,"",LARGE(DEBIT_15HARIAN!$X$7:$X$31,$A39))</f>
        <v/>
      </c>
      <c r="Z39" s="13">
        <f>IF($A39&gt;$C$3,"",LARGE(DEBIT_15HARIAN!$Y$7:$Y$31,$A39))</f>
        <v/>
      </c>
    </row>
    <row r="40">
      <c r="A40" s="9" t="n">
        <v>6</v>
      </c>
      <c r="B40" s="23">
        <f>IF(A40&gt;$C$3,"",A40/($C$3+1))</f>
        <v/>
      </c>
      <c r="C40" s="13">
        <f>IF($A40&gt;$C$3,"",LARGE(DEBIT_15HARIAN!$B$7:$B$31,$A40))</f>
        <v/>
      </c>
      <c r="D40" s="13">
        <f>IF($A40&gt;$C$3,"",LARGE(DEBIT_15HARIAN!$C$7:$C$31,$A40))</f>
        <v/>
      </c>
      <c r="E40" s="13">
        <f>IF($A40&gt;$C$3,"",LARGE(DEBIT_15HARIAN!$D$7:$D$31,$A40))</f>
        <v/>
      </c>
      <c r="F40" s="13">
        <f>IF($A40&gt;$C$3,"",LARGE(DEBIT_15HARIAN!$E$7:$E$31,$A40))</f>
        <v/>
      </c>
      <c r="G40" s="13">
        <f>IF($A40&gt;$C$3,"",LARGE(DEBIT_15HARIAN!$F$7:$F$31,$A40))</f>
        <v/>
      </c>
      <c r="H40" s="13">
        <f>IF($A40&gt;$C$3,"",LARGE(DEBIT_15HARIAN!$G$7:$G$31,$A40))</f>
        <v/>
      </c>
      <c r="I40" s="13">
        <f>IF($A40&gt;$C$3,"",LARGE(DEBIT_15HARIAN!$H$7:$H$31,$A40))</f>
        <v/>
      </c>
      <c r="J40" s="13">
        <f>IF($A40&gt;$C$3,"",LARGE(DEBIT_15HARIAN!$I$7:$I$31,$A40))</f>
        <v/>
      </c>
      <c r="K40" s="13">
        <f>IF($A40&gt;$C$3,"",LARGE(DEBIT_15HARIAN!$J$7:$J$31,$A40))</f>
        <v/>
      </c>
      <c r="L40" s="13">
        <f>IF($A40&gt;$C$3,"",LARGE(DEBIT_15HARIAN!$K$7:$K$31,$A40))</f>
        <v/>
      </c>
      <c r="M40" s="13">
        <f>IF($A40&gt;$C$3,"",LARGE(DEBIT_15HARIAN!$L$7:$L$31,$A40))</f>
        <v/>
      </c>
      <c r="N40" s="13">
        <f>IF($A40&gt;$C$3,"",LARGE(DEBIT_15HARIAN!$M$7:$M$31,$A40))</f>
        <v/>
      </c>
      <c r="O40" s="13">
        <f>IF($A40&gt;$C$3,"",LARGE(DEBIT_15HARIAN!$N$7:$N$31,$A40))</f>
        <v/>
      </c>
      <c r="P40" s="13">
        <f>IF($A40&gt;$C$3,"",LARGE(DEBIT_15HARIAN!$O$7:$O$31,$A40))</f>
        <v/>
      </c>
      <c r="Q40" s="13">
        <f>IF($A40&gt;$C$3,"",LARGE(DEBIT_15HARIAN!$P$7:$P$31,$A40))</f>
        <v/>
      </c>
      <c r="R40" s="13">
        <f>IF($A40&gt;$C$3,"",LARGE(DEBIT_15HARIAN!$Q$7:$Q$31,$A40))</f>
        <v/>
      </c>
      <c r="S40" s="13">
        <f>IF($A40&gt;$C$3,"",LARGE(DEBIT_15HARIAN!$R$7:$R$31,$A40))</f>
        <v/>
      </c>
      <c r="T40" s="13">
        <f>IF($A40&gt;$C$3,"",LARGE(DEBIT_15HARIAN!$S$7:$S$31,$A40))</f>
        <v/>
      </c>
      <c r="U40" s="13">
        <f>IF($A40&gt;$C$3,"",LARGE(DEBIT_15HARIAN!$T$7:$T$31,$A40))</f>
        <v/>
      </c>
      <c r="V40" s="13">
        <f>IF($A40&gt;$C$3,"",LARGE(DEBIT_15HARIAN!$U$7:$U$31,$A40))</f>
        <v/>
      </c>
      <c r="W40" s="13">
        <f>IF($A40&gt;$C$3,"",LARGE(DEBIT_15HARIAN!$V$7:$V$31,$A40))</f>
        <v/>
      </c>
      <c r="X40" s="13">
        <f>IF($A40&gt;$C$3,"",LARGE(DEBIT_15HARIAN!$W$7:$W$31,$A40))</f>
        <v/>
      </c>
      <c r="Y40" s="13">
        <f>IF($A40&gt;$C$3,"",LARGE(DEBIT_15HARIAN!$X$7:$X$31,$A40))</f>
        <v/>
      </c>
      <c r="Z40" s="13">
        <f>IF($A40&gt;$C$3,"",LARGE(DEBIT_15HARIAN!$Y$7:$Y$31,$A40))</f>
        <v/>
      </c>
    </row>
    <row r="41">
      <c r="A41" s="9" t="n">
        <v>7</v>
      </c>
      <c r="B41" s="23">
        <f>IF(A41&gt;$C$3,"",A41/($C$3+1))</f>
        <v/>
      </c>
      <c r="C41" s="13">
        <f>IF($A41&gt;$C$3,"",LARGE(DEBIT_15HARIAN!$B$7:$B$31,$A41))</f>
        <v/>
      </c>
      <c r="D41" s="13">
        <f>IF($A41&gt;$C$3,"",LARGE(DEBIT_15HARIAN!$C$7:$C$31,$A41))</f>
        <v/>
      </c>
      <c r="E41" s="13">
        <f>IF($A41&gt;$C$3,"",LARGE(DEBIT_15HARIAN!$D$7:$D$31,$A41))</f>
        <v/>
      </c>
      <c r="F41" s="13">
        <f>IF($A41&gt;$C$3,"",LARGE(DEBIT_15HARIAN!$E$7:$E$31,$A41))</f>
        <v/>
      </c>
      <c r="G41" s="13">
        <f>IF($A41&gt;$C$3,"",LARGE(DEBIT_15HARIAN!$F$7:$F$31,$A41))</f>
        <v/>
      </c>
      <c r="H41" s="13">
        <f>IF($A41&gt;$C$3,"",LARGE(DEBIT_15HARIAN!$G$7:$G$31,$A41))</f>
        <v/>
      </c>
      <c r="I41" s="13">
        <f>IF($A41&gt;$C$3,"",LARGE(DEBIT_15HARIAN!$H$7:$H$31,$A41))</f>
        <v/>
      </c>
      <c r="J41" s="13">
        <f>IF($A41&gt;$C$3,"",LARGE(DEBIT_15HARIAN!$I$7:$I$31,$A41))</f>
        <v/>
      </c>
      <c r="K41" s="13">
        <f>IF($A41&gt;$C$3,"",LARGE(DEBIT_15HARIAN!$J$7:$J$31,$A41))</f>
        <v/>
      </c>
      <c r="L41" s="13">
        <f>IF($A41&gt;$C$3,"",LARGE(DEBIT_15HARIAN!$K$7:$K$31,$A41))</f>
        <v/>
      </c>
      <c r="M41" s="13">
        <f>IF($A41&gt;$C$3,"",LARGE(DEBIT_15HARIAN!$L$7:$L$31,$A41))</f>
        <v/>
      </c>
      <c r="N41" s="13">
        <f>IF($A41&gt;$C$3,"",LARGE(DEBIT_15HARIAN!$M$7:$M$31,$A41))</f>
        <v/>
      </c>
      <c r="O41" s="13">
        <f>IF($A41&gt;$C$3,"",LARGE(DEBIT_15HARIAN!$N$7:$N$31,$A41))</f>
        <v/>
      </c>
      <c r="P41" s="13">
        <f>IF($A41&gt;$C$3,"",LARGE(DEBIT_15HARIAN!$O$7:$O$31,$A41))</f>
        <v/>
      </c>
      <c r="Q41" s="13">
        <f>IF($A41&gt;$C$3,"",LARGE(DEBIT_15HARIAN!$P$7:$P$31,$A41))</f>
        <v/>
      </c>
      <c r="R41" s="13">
        <f>IF($A41&gt;$C$3,"",LARGE(DEBIT_15HARIAN!$Q$7:$Q$31,$A41))</f>
        <v/>
      </c>
      <c r="S41" s="13">
        <f>IF($A41&gt;$C$3,"",LARGE(DEBIT_15HARIAN!$R$7:$R$31,$A41))</f>
        <v/>
      </c>
      <c r="T41" s="13">
        <f>IF($A41&gt;$C$3,"",LARGE(DEBIT_15HARIAN!$S$7:$S$31,$A41))</f>
        <v/>
      </c>
      <c r="U41" s="13">
        <f>IF($A41&gt;$C$3,"",LARGE(DEBIT_15HARIAN!$T$7:$T$31,$A41))</f>
        <v/>
      </c>
      <c r="V41" s="13">
        <f>IF($A41&gt;$C$3,"",LARGE(DEBIT_15HARIAN!$U$7:$U$31,$A41))</f>
        <v/>
      </c>
      <c r="W41" s="13">
        <f>IF($A41&gt;$C$3,"",LARGE(DEBIT_15HARIAN!$V$7:$V$31,$A41))</f>
        <v/>
      </c>
      <c r="X41" s="13">
        <f>IF($A41&gt;$C$3,"",LARGE(DEBIT_15HARIAN!$W$7:$W$31,$A41))</f>
        <v/>
      </c>
      <c r="Y41" s="13">
        <f>IF($A41&gt;$C$3,"",LARGE(DEBIT_15HARIAN!$X$7:$X$31,$A41))</f>
        <v/>
      </c>
      <c r="Z41" s="13">
        <f>IF($A41&gt;$C$3,"",LARGE(DEBIT_15HARIAN!$Y$7:$Y$31,$A41))</f>
        <v/>
      </c>
    </row>
    <row r="42">
      <c r="A42" s="9" t="n">
        <v>8</v>
      </c>
      <c r="B42" s="23">
        <f>IF(A42&gt;$C$3,"",A42/($C$3+1))</f>
        <v/>
      </c>
      <c r="C42" s="13">
        <f>IF($A42&gt;$C$3,"",LARGE(DEBIT_15HARIAN!$B$7:$B$31,$A42))</f>
        <v/>
      </c>
      <c r="D42" s="13">
        <f>IF($A42&gt;$C$3,"",LARGE(DEBIT_15HARIAN!$C$7:$C$31,$A42))</f>
        <v/>
      </c>
      <c r="E42" s="13">
        <f>IF($A42&gt;$C$3,"",LARGE(DEBIT_15HARIAN!$D$7:$D$31,$A42))</f>
        <v/>
      </c>
      <c r="F42" s="13">
        <f>IF($A42&gt;$C$3,"",LARGE(DEBIT_15HARIAN!$E$7:$E$31,$A42))</f>
        <v/>
      </c>
      <c r="G42" s="13">
        <f>IF($A42&gt;$C$3,"",LARGE(DEBIT_15HARIAN!$F$7:$F$31,$A42))</f>
        <v/>
      </c>
      <c r="H42" s="13">
        <f>IF($A42&gt;$C$3,"",LARGE(DEBIT_15HARIAN!$G$7:$G$31,$A42))</f>
        <v/>
      </c>
      <c r="I42" s="13">
        <f>IF($A42&gt;$C$3,"",LARGE(DEBIT_15HARIAN!$H$7:$H$31,$A42))</f>
        <v/>
      </c>
      <c r="J42" s="13">
        <f>IF($A42&gt;$C$3,"",LARGE(DEBIT_15HARIAN!$I$7:$I$31,$A42))</f>
        <v/>
      </c>
      <c r="K42" s="13">
        <f>IF($A42&gt;$C$3,"",LARGE(DEBIT_15HARIAN!$J$7:$J$31,$A42))</f>
        <v/>
      </c>
      <c r="L42" s="13">
        <f>IF($A42&gt;$C$3,"",LARGE(DEBIT_15HARIAN!$K$7:$K$31,$A42))</f>
        <v/>
      </c>
      <c r="M42" s="13">
        <f>IF($A42&gt;$C$3,"",LARGE(DEBIT_15HARIAN!$L$7:$L$31,$A42))</f>
        <v/>
      </c>
      <c r="N42" s="13">
        <f>IF($A42&gt;$C$3,"",LARGE(DEBIT_15HARIAN!$M$7:$M$31,$A42))</f>
        <v/>
      </c>
      <c r="O42" s="13">
        <f>IF($A42&gt;$C$3,"",LARGE(DEBIT_15HARIAN!$N$7:$N$31,$A42))</f>
        <v/>
      </c>
      <c r="P42" s="13">
        <f>IF($A42&gt;$C$3,"",LARGE(DEBIT_15HARIAN!$O$7:$O$31,$A42))</f>
        <v/>
      </c>
      <c r="Q42" s="13">
        <f>IF($A42&gt;$C$3,"",LARGE(DEBIT_15HARIAN!$P$7:$P$31,$A42))</f>
        <v/>
      </c>
      <c r="R42" s="13">
        <f>IF($A42&gt;$C$3,"",LARGE(DEBIT_15HARIAN!$Q$7:$Q$31,$A42))</f>
        <v/>
      </c>
      <c r="S42" s="13">
        <f>IF($A42&gt;$C$3,"",LARGE(DEBIT_15HARIAN!$R$7:$R$31,$A42))</f>
        <v/>
      </c>
      <c r="T42" s="13">
        <f>IF($A42&gt;$C$3,"",LARGE(DEBIT_15HARIAN!$S$7:$S$31,$A42))</f>
        <v/>
      </c>
      <c r="U42" s="13">
        <f>IF($A42&gt;$C$3,"",LARGE(DEBIT_15HARIAN!$T$7:$T$31,$A42))</f>
        <v/>
      </c>
      <c r="V42" s="13">
        <f>IF($A42&gt;$C$3,"",LARGE(DEBIT_15HARIAN!$U$7:$U$31,$A42))</f>
        <v/>
      </c>
      <c r="W42" s="13">
        <f>IF($A42&gt;$C$3,"",LARGE(DEBIT_15HARIAN!$V$7:$V$31,$A42))</f>
        <v/>
      </c>
      <c r="X42" s="13">
        <f>IF($A42&gt;$C$3,"",LARGE(DEBIT_15HARIAN!$W$7:$W$31,$A42))</f>
        <v/>
      </c>
      <c r="Y42" s="13">
        <f>IF($A42&gt;$C$3,"",LARGE(DEBIT_15HARIAN!$X$7:$X$31,$A42))</f>
        <v/>
      </c>
      <c r="Z42" s="13">
        <f>IF($A42&gt;$C$3,"",LARGE(DEBIT_15HARIAN!$Y$7:$Y$31,$A42))</f>
        <v/>
      </c>
    </row>
    <row r="43">
      <c r="A43" s="9" t="n">
        <v>9</v>
      </c>
      <c r="B43" s="23">
        <f>IF(A43&gt;$C$3,"",A43/($C$3+1))</f>
        <v/>
      </c>
      <c r="C43" s="13">
        <f>IF($A43&gt;$C$3,"",LARGE(DEBIT_15HARIAN!$B$7:$B$31,$A43))</f>
        <v/>
      </c>
      <c r="D43" s="13">
        <f>IF($A43&gt;$C$3,"",LARGE(DEBIT_15HARIAN!$C$7:$C$31,$A43))</f>
        <v/>
      </c>
      <c r="E43" s="13">
        <f>IF($A43&gt;$C$3,"",LARGE(DEBIT_15HARIAN!$D$7:$D$31,$A43))</f>
        <v/>
      </c>
      <c r="F43" s="13">
        <f>IF($A43&gt;$C$3,"",LARGE(DEBIT_15HARIAN!$E$7:$E$31,$A43))</f>
        <v/>
      </c>
      <c r="G43" s="13">
        <f>IF($A43&gt;$C$3,"",LARGE(DEBIT_15HARIAN!$F$7:$F$31,$A43))</f>
        <v/>
      </c>
      <c r="H43" s="13">
        <f>IF($A43&gt;$C$3,"",LARGE(DEBIT_15HARIAN!$G$7:$G$31,$A43))</f>
        <v/>
      </c>
      <c r="I43" s="13">
        <f>IF($A43&gt;$C$3,"",LARGE(DEBIT_15HARIAN!$H$7:$H$31,$A43))</f>
        <v/>
      </c>
      <c r="J43" s="13">
        <f>IF($A43&gt;$C$3,"",LARGE(DEBIT_15HARIAN!$I$7:$I$31,$A43))</f>
        <v/>
      </c>
      <c r="K43" s="13">
        <f>IF($A43&gt;$C$3,"",LARGE(DEBIT_15HARIAN!$J$7:$J$31,$A43))</f>
        <v/>
      </c>
      <c r="L43" s="13">
        <f>IF($A43&gt;$C$3,"",LARGE(DEBIT_15HARIAN!$K$7:$K$31,$A43))</f>
        <v/>
      </c>
      <c r="M43" s="13">
        <f>IF($A43&gt;$C$3,"",LARGE(DEBIT_15HARIAN!$L$7:$L$31,$A43))</f>
        <v/>
      </c>
      <c r="N43" s="13">
        <f>IF($A43&gt;$C$3,"",LARGE(DEBIT_15HARIAN!$M$7:$M$31,$A43))</f>
        <v/>
      </c>
      <c r="O43" s="13">
        <f>IF($A43&gt;$C$3,"",LARGE(DEBIT_15HARIAN!$N$7:$N$31,$A43))</f>
        <v/>
      </c>
      <c r="P43" s="13">
        <f>IF($A43&gt;$C$3,"",LARGE(DEBIT_15HARIAN!$O$7:$O$31,$A43))</f>
        <v/>
      </c>
      <c r="Q43" s="13">
        <f>IF($A43&gt;$C$3,"",LARGE(DEBIT_15HARIAN!$P$7:$P$31,$A43))</f>
        <v/>
      </c>
      <c r="R43" s="13">
        <f>IF($A43&gt;$C$3,"",LARGE(DEBIT_15HARIAN!$Q$7:$Q$31,$A43))</f>
        <v/>
      </c>
      <c r="S43" s="13">
        <f>IF($A43&gt;$C$3,"",LARGE(DEBIT_15HARIAN!$R$7:$R$31,$A43))</f>
        <v/>
      </c>
      <c r="T43" s="13">
        <f>IF($A43&gt;$C$3,"",LARGE(DEBIT_15HARIAN!$S$7:$S$31,$A43))</f>
        <v/>
      </c>
      <c r="U43" s="13">
        <f>IF($A43&gt;$C$3,"",LARGE(DEBIT_15HARIAN!$T$7:$T$31,$A43))</f>
        <v/>
      </c>
      <c r="V43" s="13">
        <f>IF($A43&gt;$C$3,"",LARGE(DEBIT_15HARIAN!$U$7:$U$31,$A43))</f>
        <v/>
      </c>
      <c r="W43" s="13">
        <f>IF($A43&gt;$C$3,"",LARGE(DEBIT_15HARIAN!$V$7:$V$31,$A43))</f>
        <v/>
      </c>
      <c r="X43" s="13">
        <f>IF($A43&gt;$C$3,"",LARGE(DEBIT_15HARIAN!$W$7:$W$31,$A43))</f>
        <v/>
      </c>
      <c r="Y43" s="13">
        <f>IF($A43&gt;$C$3,"",LARGE(DEBIT_15HARIAN!$X$7:$X$31,$A43))</f>
        <v/>
      </c>
      <c r="Z43" s="13">
        <f>IF($A43&gt;$C$3,"",LARGE(DEBIT_15HARIAN!$Y$7:$Y$31,$A43))</f>
        <v/>
      </c>
    </row>
    <row r="44">
      <c r="A44" s="9" t="n">
        <v>10</v>
      </c>
      <c r="B44" s="23">
        <f>IF(A44&gt;$C$3,"",A44/($C$3+1))</f>
        <v/>
      </c>
      <c r="C44" s="13">
        <f>IF($A44&gt;$C$3,"",LARGE(DEBIT_15HARIAN!$B$7:$B$31,$A44))</f>
        <v/>
      </c>
      <c r="D44" s="13">
        <f>IF($A44&gt;$C$3,"",LARGE(DEBIT_15HARIAN!$C$7:$C$31,$A44))</f>
        <v/>
      </c>
      <c r="E44" s="13">
        <f>IF($A44&gt;$C$3,"",LARGE(DEBIT_15HARIAN!$D$7:$D$31,$A44))</f>
        <v/>
      </c>
      <c r="F44" s="13">
        <f>IF($A44&gt;$C$3,"",LARGE(DEBIT_15HARIAN!$E$7:$E$31,$A44))</f>
        <v/>
      </c>
      <c r="G44" s="13">
        <f>IF($A44&gt;$C$3,"",LARGE(DEBIT_15HARIAN!$F$7:$F$31,$A44))</f>
        <v/>
      </c>
      <c r="H44" s="13">
        <f>IF($A44&gt;$C$3,"",LARGE(DEBIT_15HARIAN!$G$7:$G$31,$A44))</f>
        <v/>
      </c>
      <c r="I44" s="13">
        <f>IF($A44&gt;$C$3,"",LARGE(DEBIT_15HARIAN!$H$7:$H$31,$A44))</f>
        <v/>
      </c>
      <c r="J44" s="13">
        <f>IF($A44&gt;$C$3,"",LARGE(DEBIT_15HARIAN!$I$7:$I$31,$A44))</f>
        <v/>
      </c>
      <c r="K44" s="13">
        <f>IF($A44&gt;$C$3,"",LARGE(DEBIT_15HARIAN!$J$7:$J$31,$A44))</f>
        <v/>
      </c>
      <c r="L44" s="13">
        <f>IF($A44&gt;$C$3,"",LARGE(DEBIT_15HARIAN!$K$7:$K$31,$A44))</f>
        <v/>
      </c>
      <c r="M44" s="13">
        <f>IF($A44&gt;$C$3,"",LARGE(DEBIT_15HARIAN!$L$7:$L$31,$A44))</f>
        <v/>
      </c>
      <c r="N44" s="13">
        <f>IF($A44&gt;$C$3,"",LARGE(DEBIT_15HARIAN!$M$7:$M$31,$A44))</f>
        <v/>
      </c>
      <c r="O44" s="13">
        <f>IF($A44&gt;$C$3,"",LARGE(DEBIT_15HARIAN!$N$7:$N$31,$A44))</f>
        <v/>
      </c>
      <c r="P44" s="13">
        <f>IF($A44&gt;$C$3,"",LARGE(DEBIT_15HARIAN!$O$7:$O$31,$A44))</f>
        <v/>
      </c>
      <c r="Q44" s="13">
        <f>IF($A44&gt;$C$3,"",LARGE(DEBIT_15HARIAN!$P$7:$P$31,$A44))</f>
        <v/>
      </c>
      <c r="R44" s="13">
        <f>IF($A44&gt;$C$3,"",LARGE(DEBIT_15HARIAN!$Q$7:$Q$31,$A44))</f>
        <v/>
      </c>
      <c r="S44" s="13">
        <f>IF($A44&gt;$C$3,"",LARGE(DEBIT_15HARIAN!$R$7:$R$31,$A44))</f>
        <v/>
      </c>
      <c r="T44" s="13">
        <f>IF($A44&gt;$C$3,"",LARGE(DEBIT_15HARIAN!$S$7:$S$31,$A44))</f>
        <v/>
      </c>
      <c r="U44" s="13">
        <f>IF($A44&gt;$C$3,"",LARGE(DEBIT_15HARIAN!$T$7:$T$31,$A44))</f>
        <v/>
      </c>
      <c r="V44" s="13">
        <f>IF($A44&gt;$C$3,"",LARGE(DEBIT_15HARIAN!$U$7:$U$31,$A44))</f>
        <v/>
      </c>
      <c r="W44" s="13">
        <f>IF($A44&gt;$C$3,"",LARGE(DEBIT_15HARIAN!$V$7:$V$31,$A44))</f>
        <v/>
      </c>
      <c r="X44" s="13">
        <f>IF($A44&gt;$C$3,"",LARGE(DEBIT_15HARIAN!$W$7:$W$31,$A44))</f>
        <v/>
      </c>
      <c r="Y44" s="13">
        <f>IF($A44&gt;$C$3,"",LARGE(DEBIT_15HARIAN!$X$7:$X$31,$A44))</f>
        <v/>
      </c>
      <c r="Z44" s="13">
        <f>IF($A44&gt;$C$3,"",LARGE(DEBIT_15HARIAN!$Y$7:$Y$31,$A44))</f>
        <v/>
      </c>
    </row>
    <row r="45">
      <c r="A45" s="9" t="n">
        <v>11</v>
      </c>
      <c r="B45" s="23">
        <f>IF(A45&gt;$C$3,"",A45/($C$3+1))</f>
        <v/>
      </c>
      <c r="C45" s="13">
        <f>IF($A45&gt;$C$3,"",LARGE(DEBIT_15HARIAN!$B$7:$B$31,$A45))</f>
        <v/>
      </c>
      <c r="D45" s="13">
        <f>IF($A45&gt;$C$3,"",LARGE(DEBIT_15HARIAN!$C$7:$C$31,$A45))</f>
        <v/>
      </c>
      <c r="E45" s="13">
        <f>IF($A45&gt;$C$3,"",LARGE(DEBIT_15HARIAN!$D$7:$D$31,$A45))</f>
        <v/>
      </c>
      <c r="F45" s="13">
        <f>IF($A45&gt;$C$3,"",LARGE(DEBIT_15HARIAN!$E$7:$E$31,$A45))</f>
        <v/>
      </c>
      <c r="G45" s="13">
        <f>IF($A45&gt;$C$3,"",LARGE(DEBIT_15HARIAN!$F$7:$F$31,$A45))</f>
        <v/>
      </c>
      <c r="H45" s="13">
        <f>IF($A45&gt;$C$3,"",LARGE(DEBIT_15HARIAN!$G$7:$G$31,$A45))</f>
        <v/>
      </c>
      <c r="I45" s="13">
        <f>IF($A45&gt;$C$3,"",LARGE(DEBIT_15HARIAN!$H$7:$H$31,$A45))</f>
        <v/>
      </c>
      <c r="J45" s="13">
        <f>IF($A45&gt;$C$3,"",LARGE(DEBIT_15HARIAN!$I$7:$I$31,$A45))</f>
        <v/>
      </c>
      <c r="K45" s="13">
        <f>IF($A45&gt;$C$3,"",LARGE(DEBIT_15HARIAN!$J$7:$J$31,$A45))</f>
        <v/>
      </c>
      <c r="L45" s="13">
        <f>IF($A45&gt;$C$3,"",LARGE(DEBIT_15HARIAN!$K$7:$K$31,$A45))</f>
        <v/>
      </c>
      <c r="M45" s="13">
        <f>IF($A45&gt;$C$3,"",LARGE(DEBIT_15HARIAN!$L$7:$L$31,$A45))</f>
        <v/>
      </c>
      <c r="N45" s="13">
        <f>IF($A45&gt;$C$3,"",LARGE(DEBIT_15HARIAN!$M$7:$M$31,$A45))</f>
        <v/>
      </c>
      <c r="O45" s="13">
        <f>IF($A45&gt;$C$3,"",LARGE(DEBIT_15HARIAN!$N$7:$N$31,$A45))</f>
        <v/>
      </c>
      <c r="P45" s="13">
        <f>IF($A45&gt;$C$3,"",LARGE(DEBIT_15HARIAN!$O$7:$O$31,$A45))</f>
        <v/>
      </c>
      <c r="Q45" s="13">
        <f>IF($A45&gt;$C$3,"",LARGE(DEBIT_15HARIAN!$P$7:$P$31,$A45))</f>
        <v/>
      </c>
      <c r="R45" s="13">
        <f>IF($A45&gt;$C$3,"",LARGE(DEBIT_15HARIAN!$Q$7:$Q$31,$A45))</f>
        <v/>
      </c>
      <c r="S45" s="13">
        <f>IF($A45&gt;$C$3,"",LARGE(DEBIT_15HARIAN!$R$7:$R$31,$A45))</f>
        <v/>
      </c>
      <c r="T45" s="13">
        <f>IF($A45&gt;$C$3,"",LARGE(DEBIT_15HARIAN!$S$7:$S$31,$A45))</f>
        <v/>
      </c>
      <c r="U45" s="13">
        <f>IF($A45&gt;$C$3,"",LARGE(DEBIT_15HARIAN!$T$7:$T$31,$A45))</f>
        <v/>
      </c>
      <c r="V45" s="13">
        <f>IF($A45&gt;$C$3,"",LARGE(DEBIT_15HARIAN!$U$7:$U$31,$A45))</f>
        <v/>
      </c>
      <c r="W45" s="13">
        <f>IF($A45&gt;$C$3,"",LARGE(DEBIT_15HARIAN!$V$7:$V$31,$A45))</f>
        <v/>
      </c>
      <c r="X45" s="13">
        <f>IF($A45&gt;$C$3,"",LARGE(DEBIT_15HARIAN!$W$7:$W$31,$A45))</f>
        <v/>
      </c>
      <c r="Y45" s="13">
        <f>IF($A45&gt;$C$3,"",LARGE(DEBIT_15HARIAN!$X$7:$X$31,$A45))</f>
        <v/>
      </c>
      <c r="Z45" s="13">
        <f>IF($A45&gt;$C$3,"",LARGE(DEBIT_15HARIAN!$Y$7:$Y$31,$A45))</f>
        <v/>
      </c>
    </row>
    <row r="46">
      <c r="A46" s="9" t="n">
        <v>12</v>
      </c>
      <c r="B46" s="23">
        <f>IF(A46&gt;$C$3,"",A46/($C$3+1))</f>
        <v/>
      </c>
      <c r="C46" s="13">
        <f>IF($A46&gt;$C$3,"",LARGE(DEBIT_15HARIAN!$B$7:$B$31,$A46))</f>
        <v/>
      </c>
      <c r="D46" s="13">
        <f>IF($A46&gt;$C$3,"",LARGE(DEBIT_15HARIAN!$C$7:$C$31,$A46))</f>
        <v/>
      </c>
      <c r="E46" s="13">
        <f>IF($A46&gt;$C$3,"",LARGE(DEBIT_15HARIAN!$D$7:$D$31,$A46))</f>
        <v/>
      </c>
      <c r="F46" s="13">
        <f>IF($A46&gt;$C$3,"",LARGE(DEBIT_15HARIAN!$E$7:$E$31,$A46))</f>
        <v/>
      </c>
      <c r="G46" s="13">
        <f>IF($A46&gt;$C$3,"",LARGE(DEBIT_15HARIAN!$F$7:$F$31,$A46))</f>
        <v/>
      </c>
      <c r="H46" s="13">
        <f>IF($A46&gt;$C$3,"",LARGE(DEBIT_15HARIAN!$G$7:$G$31,$A46))</f>
        <v/>
      </c>
      <c r="I46" s="13">
        <f>IF($A46&gt;$C$3,"",LARGE(DEBIT_15HARIAN!$H$7:$H$31,$A46))</f>
        <v/>
      </c>
      <c r="J46" s="13">
        <f>IF($A46&gt;$C$3,"",LARGE(DEBIT_15HARIAN!$I$7:$I$31,$A46))</f>
        <v/>
      </c>
      <c r="K46" s="13">
        <f>IF($A46&gt;$C$3,"",LARGE(DEBIT_15HARIAN!$J$7:$J$31,$A46))</f>
        <v/>
      </c>
      <c r="L46" s="13">
        <f>IF($A46&gt;$C$3,"",LARGE(DEBIT_15HARIAN!$K$7:$K$31,$A46))</f>
        <v/>
      </c>
      <c r="M46" s="13">
        <f>IF($A46&gt;$C$3,"",LARGE(DEBIT_15HARIAN!$L$7:$L$31,$A46))</f>
        <v/>
      </c>
      <c r="N46" s="13">
        <f>IF($A46&gt;$C$3,"",LARGE(DEBIT_15HARIAN!$M$7:$M$31,$A46))</f>
        <v/>
      </c>
      <c r="O46" s="13">
        <f>IF($A46&gt;$C$3,"",LARGE(DEBIT_15HARIAN!$N$7:$N$31,$A46))</f>
        <v/>
      </c>
      <c r="P46" s="13">
        <f>IF($A46&gt;$C$3,"",LARGE(DEBIT_15HARIAN!$O$7:$O$31,$A46))</f>
        <v/>
      </c>
      <c r="Q46" s="13">
        <f>IF($A46&gt;$C$3,"",LARGE(DEBIT_15HARIAN!$P$7:$P$31,$A46))</f>
        <v/>
      </c>
      <c r="R46" s="13">
        <f>IF($A46&gt;$C$3,"",LARGE(DEBIT_15HARIAN!$Q$7:$Q$31,$A46))</f>
        <v/>
      </c>
      <c r="S46" s="13">
        <f>IF($A46&gt;$C$3,"",LARGE(DEBIT_15HARIAN!$R$7:$R$31,$A46))</f>
        <v/>
      </c>
      <c r="T46" s="13">
        <f>IF($A46&gt;$C$3,"",LARGE(DEBIT_15HARIAN!$S$7:$S$31,$A46))</f>
        <v/>
      </c>
      <c r="U46" s="13">
        <f>IF($A46&gt;$C$3,"",LARGE(DEBIT_15HARIAN!$T$7:$T$31,$A46))</f>
        <v/>
      </c>
      <c r="V46" s="13">
        <f>IF($A46&gt;$C$3,"",LARGE(DEBIT_15HARIAN!$U$7:$U$31,$A46))</f>
        <v/>
      </c>
      <c r="W46" s="13">
        <f>IF($A46&gt;$C$3,"",LARGE(DEBIT_15HARIAN!$V$7:$V$31,$A46))</f>
        <v/>
      </c>
      <c r="X46" s="13">
        <f>IF($A46&gt;$C$3,"",LARGE(DEBIT_15HARIAN!$W$7:$W$31,$A46))</f>
        <v/>
      </c>
      <c r="Y46" s="13">
        <f>IF($A46&gt;$C$3,"",LARGE(DEBIT_15HARIAN!$X$7:$X$31,$A46))</f>
        <v/>
      </c>
      <c r="Z46" s="13">
        <f>IF($A46&gt;$C$3,"",LARGE(DEBIT_15HARIAN!$Y$7:$Y$31,$A46))</f>
        <v/>
      </c>
    </row>
    <row r="47">
      <c r="A47" s="9" t="n">
        <v>13</v>
      </c>
      <c r="B47" s="23">
        <f>IF(A47&gt;$C$3,"",A47/($C$3+1))</f>
        <v/>
      </c>
      <c r="C47" s="13">
        <f>IF($A47&gt;$C$3,"",LARGE(DEBIT_15HARIAN!$B$7:$B$31,$A47))</f>
        <v/>
      </c>
      <c r="D47" s="13">
        <f>IF($A47&gt;$C$3,"",LARGE(DEBIT_15HARIAN!$C$7:$C$31,$A47))</f>
        <v/>
      </c>
      <c r="E47" s="13">
        <f>IF($A47&gt;$C$3,"",LARGE(DEBIT_15HARIAN!$D$7:$D$31,$A47))</f>
        <v/>
      </c>
      <c r="F47" s="13">
        <f>IF($A47&gt;$C$3,"",LARGE(DEBIT_15HARIAN!$E$7:$E$31,$A47))</f>
        <v/>
      </c>
      <c r="G47" s="13">
        <f>IF($A47&gt;$C$3,"",LARGE(DEBIT_15HARIAN!$F$7:$F$31,$A47))</f>
        <v/>
      </c>
      <c r="H47" s="13">
        <f>IF($A47&gt;$C$3,"",LARGE(DEBIT_15HARIAN!$G$7:$G$31,$A47))</f>
        <v/>
      </c>
      <c r="I47" s="13">
        <f>IF($A47&gt;$C$3,"",LARGE(DEBIT_15HARIAN!$H$7:$H$31,$A47))</f>
        <v/>
      </c>
      <c r="J47" s="13">
        <f>IF($A47&gt;$C$3,"",LARGE(DEBIT_15HARIAN!$I$7:$I$31,$A47))</f>
        <v/>
      </c>
      <c r="K47" s="13">
        <f>IF($A47&gt;$C$3,"",LARGE(DEBIT_15HARIAN!$J$7:$J$31,$A47))</f>
        <v/>
      </c>
      <c r="L47" s="13">
        <f>IF($A47&gt;$C$3,"",LARGE(DEBIT_15HARIAN!$K$7:$K$31,$A47))</f>
        <v/>
      </c>
      <c r="M47" s="13">
        <f>IF($A47&gt;$C$3,"",LARGE(DEBIT_15HARIAN!$L$7:$L$31,$A47))</f>
        <v/>
      </c>
      <c r="N47" s="13">
        <f>IF($A47&gt;$C$3,"",LARGE(DEBIT_15HARIAN!$M$7:$M$31,$A47))</f>
        <v/>
      </c>
      <c r="O47" s="13">
        <f>IF($A47&gt;$C$3,"",LARGE(DEBIT_15HARIAN!$N$7:$N$31,$A47))</f>
        <v/>
      </c>
      <c r="P47" s="13">
        <f>IF($A47&gt;$C$3,"",LARGE(DEBIT_15HARIAN!$O$7:$O$31,$A47))</f>
        <v/>
      </c>
      <c r="Q47" s="13">
        <f>IF($A47&gt;$C$3,"",LARGE(DEBIT_15HARIAN!$P$7:$P$31,$A47))</f>
        <v/>
      </c>
      <c r="R47" s="13">
        <f>IF($A47&gt;$C$3,"",LARGE(DEBIT_15HARIAN!$Q$7:$Q$31,$A47))</f>
        <v/>
      </c>
      <c r="S47" s="13">
        <f>IF($A47&gt;$C$3,"",LARGE(DEBIT_15HARIAN!$R$7:$R$31,$A47))</f>
        <v/>
      </c>
      <c r="T47" s="13">
        <f>IF($A47&gt;$C$3,"",LARGE(DEBIT_15HARIAN!$S$7:$S$31,$A47))</f>
        <v/>
      </c>
      <c r="U47" s="13">
        <f>IF($A47&gt;$C$3,"",LARGE(DEBIT_15HARIAN!$T$7:$T$31,$A47))</f>
        <v/>
      </c>
      <c r="V47" s="13">
        <f>IF($A47&gt;$C$3,"",LARGE(DEBIT_15HARIAN!$U$7:$U$31,$A47))</f>
        <v/>
      </c>
      <c r="W47" s="13">
        <f>IF($A47&gt;$C$3,"",LARGE(DEBIT_15HARIAN!$V$7:$V$31,$A47))</f>
        <v/>
      </c>
      <c r="X47" s="13">
        <f>IF($A47&gt;$C$3,"",LARGE(DEBIT_15HARIAN!$W$7:$W$31,$A47))</f>
        <v/>
      </c>
      <c r="Y47" s="13">
        <f>IF($A47&gt;$C$3,"",LARGE(DEBIT_15HARIAN!$X$7:$X$31,$A47))</f>
        <v/>
      </c>
      <c r="Z47" s="13">
        <f>IF($A47&gt;$C$3,"",LARGE(DEBIT_15HARIAN!$Y$7:$Y$31,$A47))</f>
        <v/>
      </c>
    </row>
    <row r="48">
      <c r="A48" s="9" t="n">
        <v>14</v>
      </c>
      <c r="B48" s="23">
        <f>IF(A48&gt;$C$3,"",A48/($C$3+1))</f>
        <v/>
      </c>
      <c r="C48" s="13">
        <f>IF($A48&gt;$C$3,"",LARGE(DEBIT_15HARIAN!$B$7:$B$31,$A48))</f>
        <v/>
      </c>
      <c r="D48" s="13">
        <f>IF($A48&gt;$C$3,"",LARGE(DEBIT_15HARIAN!$C$7:$C$31,$A48))</f>
        <v/>
      </c>
      <c r="E48" s="13">
        <f>IF($A48&gt;$C$3,"",LARGE(DEBIT_15HARIAN!$D$7:$D$31,$A48))</f>
        <v/>
      </c>
      <c r="F48" s="13">
        <f>IF($A48&gt;$C$3,"",LARGE(DEBIT_15HARIAN!$E$7:$E$31,$A48))</f>
        <v/>
      </c>
      <c r="G48" s="13">
        <f>IF($A48&gt;$C$3,"",LARGE(DEBIT_15HARIAN!$F$7:$F$31,$A48))</f>
        <v/>
      </c>
      <c r="H48" s="13">
        <f>IF($A48&gt;$C$3,"",LARGE(DEBIT_15HARIAN!$G$7:$G$31,$A48))</f>
        <v/>
      </c>
      <c r="I48" s="13">
        <f>IF($A48&gt;$C$3,"",LARGE(DEBIT_15HARIAN!$H$7:$H$31,$A48))</f>
        <v/>
      </c>
      <c r="J48" s="13">
        <f>IF($A48&gt;$C$3,"",LARGE(DEBIT_15HARIAN!$I$7:$I$31,$A48))</f>
        <v/>
      </c>
      <c r="K48" s="13">
        <f>IF($A48&gt;$C$3,"",LARGE(DEBIT_15HARIAN!$J$7:$J$31,$A48))</f>
        <v/>
      </c>
      <c r="L48" s="13">
        <f>IF($A48&gt;$C$3,"",LARGE(DEBIT_15HARIAN!$K$7:$K$31,$A48))</f>
        <v/>
      </c>
      <c r="M48" s="13">
        <f>IF($A48&gt;$C$3,"",LARGE(DEBIT_15HARIAN!$L$7:$L$31,$A48))</f>
        <v/>
      </c>
      <c r="N48" s="13">
        <f>IF($A48&gt;$C$3,"",LARGE(DEBIT_15HARIAN!$M$7:$M$31,$A48))</f>
        <v/>
      </c>
      <c r="O48" s="13">
        <f>IF($A48&gt;$C$3,"",LARGE(DEBIT_15HARIAN!$N$7:$N$31,$A48))</f>
        <v/>
      </c>
      <c r="P48" s="13">
        <f>IF($A48&gt;$C$3,"",LARGE(DEBIT_15HARIAN!$O$7:$O$31,$A48))</f>
        <v/>
      </c>
      <c r="Q48" s="13">
        <f>IF($A48&gt;$C$3,"",LARGE(DEBIT_15HARIAN!$P$7:$P$31,$A48))</f>
        <v/>
      </c>
      <c r="R48" s="13">
        <f>IF($A48&gt;$C$3,"",LARGE(DEBIT_15HARIAN!$Q$7:$Q$31,$A48))</f>
        <v/>
      </c>
      <c r="S48" s="13">
        <f>IF($A48&gt;$C$3,"",LARGE(DEBIT_15HARIAN!$R$7:$R$31,$A48))</f>
        <v/>
      </c>
      <c r="T48" s="13">
        <f>IF($A48&gt;$C$3,"",LARGE(DEBIT_15HARIAN!$S$7:$S$31,$A48))</f>
        <v/>
      </c>
      <c r="U48" s="13">
        <f>IF($A48&gt;$C$3,"",LARGE(DEBIT_15HARIAN!$T$7:$T$31,$A48))</f>
        <v/>
      </c>
      <c r="V48" s="13">
        <f>IF($A48&gt;$C$3,"",LARGE(DEBIT_15HARIAN!$U$7:$U$31,$A48))</f>
        <v/>
      </c>
      <c r="W48" s="13">
        <f>IF($A48&gt;$C$3,"",LARGE(DEBIT_15HARIAN!$V$7:$V$31,$A48))</f>
        <v/>
      </c>
      <c r="X48" s="13">
        <f>IF($A48&gt;$C$3,"",LARGE(DEBIT_15HARIAN!$W$7:$W$31,$A48))</f>
        <v/>
      </c>
      <c r="Y48" s="13">
        <f>IF($A48&gt;$C$3,"",LARGE(DEBIT_15HARIAN!$X$7:$X$31,$A48))</f>
        <v/>
      </c>
      <c r="Z48" s="13">
        <f>IF($A48&gt;$C$3,"",LARGE(DEBIT_15HARIAN!$Y$7:$Y$31,$A48))</f>
        <v/>
      </c>
    </row>
    <row r="49">
      <c r="A49" s="9" t="n">
        <v>15</v>
      </c>
      <c r="B49" s="23">
        <f>IF(A49&gt;$C$3,"",A49/($C$3+1))</f>
        <v/>
      </c>
      <c r="C49" s="13">
        <f>IF($A49&gt;$C$3,"",LARGE(DEBIT_15HARIAN!$B$7:$B$31,$A49))</f>
        <v/>
      </c>
      <c r="D49" s="13">
        <f>IF($A49&gt;$C$3,"",LARGE(DEBIT_15HARIAN!$C$7:$C$31,$A49))</f>
        <v/>
      </c>
      <c r="E49" s="13">
        <f>IF($A49&gt;$C$3,"",LARGE(DEBIT_15HARIAN!$D$7:$D$31,$A49))</f>
        <v/>
      </c>
      <c r="F49" s="13">
        <f>IF($A49&gt;$C$3,"",LARGE(DEBIT_15HARIAN!$E$7:$E$31,$A49))</f>
        <v/>
      </c>
      <c r="G49" s="13">
        <f>IF($A49&gt;$C$3,"",LARGE(DEBIT_15HARIAN!$F$7:$F$31,$A49))</f>
        <v/>
      </c>
      <c r="H49" s="13">
        <f>IF($A49&gt;$C$3,"",LARGE(DEBIT_15HARIAN!$G$7:$G$31,$A49))</f>
        <v/>
      </c>
      <c r="I49" s="13">
        <f>IF($A49&gt;$C$3,"",LARGE(DEBIT_15HARIAN!$H$7:$H$31,$A49))</f>
        <v/>
      </c>
      <c r="J49" s="13">
        <f>IF($A49&gt;$C$3,"",LARGE(DEBIT_15HARIAN!$I$7:$I$31,$A49))</f>
        <v/>
      </c>
      <c r="K49" s="13">
        <f>IF($A49&gt;$C$3,"",LARGE(DEBIT_15HARIAN!$J$7:$J$31,$A49))</f>
        <v/>
      </c>
      <c r="L49" s="13">
        <f>IF($A49&gt;$C$3,"",LARGE(DEBIT_15HARIAN!$K$7:$K$31,$A49))</f>
        <v/>
      </c>
      <c r="M49" s="13">
        <f>IF($A49&gt;$C$3,"",LARGE(DEBIT_15HARIAN!$L$7:$L$31,$A49))</f>
        <v/>
      </c>
      <c r="N49" s="13">
        <f>IF($A49&gt;$C$3,"",LARGE(DEBIT_15HARIAN!$M$7:$M$31,$A49))</f>
        <v/>
      </c>
      <c r="O49" s="13">
        <f>IF($A49&gt;$C$3,"",LARGE(DEBIT_15HARIAN!$N$7:$N$31,$A49))</f>
        <v/>
      </c>
      <c r="P49" s="13">
        <f>IF($A49&gt;$C$3,"",LARGE(DEBIT_15HARIAN!$O$7:$O$31,$A49))</f>
        <v/>
      </c>
      <c r="Q49" s="13">
        <f>IF($A49&gt;$C$3,"",LARGE(DEBIT_15HARIAN!$P$7:$P$31,$A49))</f>
        <v/>
      </c>
      <c r="R49" s="13">
        <f>IF($A49&gt;$C$3,"",LARGE(DEBIT_15HARIAN!$Q$7:$Q$31,$A49))</f>
        <v/>
      </c>
      <c r="S49" s="13">
        <f>IF($A49&gt;$C$3,"",LARGE(DEBIT_15HARIAN!$R$7:$R$31,$A49))</f>
        <v/>
      </c>
      <c r="T49" s="13">
        <f>IF($A49&gt;$C$3,"",LARGE(DEBIT_15HARIAN!$S$7:$S$31,$A49))</f>
        <v/>
      </c>
      <c r="U49" s="13">
        <f>IF($A49&gt;$C$3,"",LARGE(DEBIT_15HARIAN!$T$7:$T$31,$A49))</f>
        <v/>
      </c>
      <c r="V49" s="13">
        <f>IF($A49&gt;$C$3,"",LARGE(DEBIT_15HARIAN!$U$7:$U$31,$A49))</f>
        <v/>
      </c>
      <c r="W49" s="13">
        <f>IF($A49&gt;$C$3,"",LARGE(DEBIT_15HARIAN!$V$7:$V$31,$A49))</f>
        <v/>
      </c>
      <c r="X49" s="13">
        <f>IF($A49&gt;$C$3,"",LARGE(DEBIT_15HARIAN!$W$7:$W$31,$A49))</f>
        <v/>
      </c>
      <c r="Y49" s="13">
        <f>IF($A49&gt;$C$3,"",LARGE(DEBIT_15HARIAN!$X$7:$X$31,$A49))</f>
        <v/>
      </c>
      <c r="Z49" s="13">
        <f>IF($A49&gt;$C$3,"",LARGE(DEBIT_15HARIAN!$Y$7:$Y$31,$A49))</f>
        <v/>
      </c>
    </row>
    <row r="50">
      <c r="A50" s="9" t="n">
        <v>16</v>
      </c>
      <c r="B50" s="23">
        <f>IF(A50&gt;$C$3,"",A50/($C$3+1))</f>
        <v/>
      </c>
      <c r="C50" s="13">
        <f>IF($A50&gt;$C$3,"",LARGE(DEBIT_15HARIAN!$B$7:$B$31,$A50))</f>
        <v/>
      </c>
      <c r="D50" s="13">
        <f>IF($A50&gt;$C$3,"",LARGE(DEBIT_15HARIAN!$C$7:$C$31,$A50))</f>
        <v/>
      </c>
      <c r="E50" s="13">
        <f>IF($A50&gt;$C$3,"",LARGE(DEBIT_15HARIAN!$D$7:$D$31,$A50))</f>
        <v/>
      </c>
      <c r="F50" s="13">
        <f>IF($A50&gt;$C$3,"",LARGE(DEBIT_15HARIAN!$E$7:$E$31,$A50))</f>
        <v/>
      </c>
      <c r="G50" s="13">
        <f>IF($A50&gt;$C$3,"",LARGE(DEBIT_15HARIAN!$F$7:$F$31,$A50))</f>
        <v/>
      </c>
      <c r="H50" s="13">
        <f>IF($A50&gt;$C$3,"",LARGE(DEBIT_15HARIAN!$G$7:$G$31,$A50))</f>
        <v/>
      </c>
      <c r="I50" s="13">
        <f>IF($A50&gt;$C$3,"",LARGE(DEBIT_15HARIAN!$H$7:$H$31,$A50))</f>
        <v/>
      </c>
      <c r="J50" s="13">
        <f>IF($A50&gt;$C$3,"",LARGE(DEBIT_15HARIAN!$I$7:$I$31,$A50))</f>
        <v/>
      </c>
      <c r="K50" s="13">
        <f>IF($A50&gt;$C$3,"",LARGE(DEBIT_15HARIAN!$J$7:$J$31,$A50))</f>
        <v/>
      </c>
      <c r="L50" s="13">
        <f>IF($A50&gt;$C$3,"",LARGE(DEBIT_15HARIAN!$K$7:$K$31,$A50))</f>
        <v/>
      </c>
      <c r="M50" s="13">
        <f>IF($A50&gt;$C$3,"",LARGE(DEBIT_15HARIAN!$L$7:$L$31,$A50))</f>
        <v/>
      </c>
      <c r="N50" s="13">
        <f>IF($A50&gt;$C$3,"",LARGE(DEBIT_15HARIAN!$M$7:$M$31,$A50))</f>
        <v/>
      </c>
      <c r="O50" s="13">
        <f>IF($A50&gt;$C$3,"",LARGE(DEBIT_15HARIAN!$N$7:$N$31,$A50))</f>
        <v/>
      </c>
      <c r="P50" s="13">
        <f>IF($A50&gt;$C$3,"",LARGE(DEBIT_15HARIAN!$O$7:$O$31,$A50))</f>
        <v/>
      </c>
      <c r="Q50" s="13">
        <f>IF($A50&gt;$C$3,"",LARGE(DEBIT_15HARIAN!$P$7:$P$31,$A50))</f>
        <v/>
      </c>
      <c r="R50" s="13">
        <f>IF($A50&gt;$C$3,"",LARGE(DEBIT_15HARIAN!$Q$7:$Q$31,$A50))</f>
        <v/>
      </c>
      <c r="S50" s="13">
        <f>IF($A50&gt;$C$3,"",LARGE(DEBIT_15HARIAN!$R$7:$R$31,$A50))</f>
        <v/>
      </c>
      <c r="T50" s="13">
        <f>IF($A50&gt;$C$3,"",LARGE(DEBIT_15HARIAN!$S$7:$S$31,$A50))</f>
        <v/>
      </c>
      <c r="U50" s="13">
        <f>IF($A50&gt;$C$3,"",LARGE(DEBIT_15HARIAN!$T$7:$T$31,$A50))</f>
        <v/>
      </c>
      <c r="V50" s="13">
        <f>IF($A50&gt;$C$3,"",LARGE(DEBIT_15HARIAN!$U$7:$U$31,$A50))</f>
        <v/>
      </c>
      <c r="W50" s="13">
        <f>IF($A50&gt;$C$3,"",LARGE(DEBIT_15HARIAN!$V$7:$V$31,$A50))</f>
        <v/>
      </c>
      <c r="X50" s="13">
        <f>IF($A50&gt;$C$3,"",LARGE(DEBIT_15HARIAN!$W$7:$W$31,$A50))</f>
        <v/>
      </c>
      <c r="Y50" s="13">
        <f>IF($A50&gt;$C$3,"",LARGE(DEBIT_15HARIAN!$X$7:$X$31,$A50))</f>
        <v/>
      </c>
      <c r="Z50" s="13">
        <f>IF($A50&gt;$C$3,"",LARGE(DEBIT_15HARIAN!$Y$7:$Y$31,$A50))</f>
        <v/>
      </c>
    </row>
    <row r="51">
      <c r="A51" s="9" t="n">
        <v>17</v>
      </c>
      <c r="B51" s="23">
        <f>IF(A51&gt;$C$3,"",A51/($C$3+1))</f>
        <v/>
      </c>
      <c r="C51" s="13">
        <f>IF($A51&gt;$C$3,"",LARGE(DEBIT_15HARIAN!$B$7:$B$31,$A51))</f>
        <v/>
      </c>
      <c r="D51" s="13">
        <f>IF($A51&gt;$C$3,"",LARGE(DEBIT_15HARIAN!$C$7:$C$31,$A51))</f>
        <v/>
      </c>
      <c r="E51" s="13">
        <f>IF($A51&gt;$C$3,"",LARGE(DEBIT_15HARIAN!$D$7:$D$31,$A51))</f>
        <v/>
      </c>
      <c r="F51" s="13">
        <f>IF($A51&gt;$C$3,"",LARGE(DEBIT_15HARIAN!$E$7:$E$31,$A51))</f>
        <v/>
      </c>
      <c r="G51" s="13">
        <f>IF($A51&gt;$C$3,"",LARGE(DEBIT_15HARIAN!$F$7:$F$31,$A51))</f>
        <v/>
      </c>
      <c r="H51" s="13">
        <f>IF($A51&gt;$C$3,"",LARGE(DEBIT_15HARIAN!$G$7:$G$31,$A51))</f>
        <v/>
      </c>
      <c r="I51" s="13">
        <f>IF($A51&gt;$C$3,"",LARGE(DEBIT_15HARIAN!$H$7:$H$31,$A51))</f>
        <v/>
      </c>
      <c r="J51" s="13">
        <f>IF($A51&gt;$C$3,"",LARGE(DEBIT_15HARIAN!$I$7:$I$31,$A51))</f>
        <v/>
      </c>
      <c r="K51" s="13">
        <f>IF($A51&gt;$C$3,"",LARGE(DEBIT_15HARIAN!$J$7:$J$31,$A51))</f>
        <v/>
      </c>
      <c r="L51" s="13">
        <f>IF($A51&gt;$C$3,"",LARGE(DEBIT_15HARIAN!$K$7:$K$31,$A51))</f>
        <v/>
      </c>
      <c r="M51" s="13">
        <f>IF($A51&gt;$C$3,"",LARGE(DEBIT_15HARIAN!$L$7:$L$31,$A51))</f>
        <v/>
      </c>
      <c r="N51" s="13">
        <f>IF($A51&gt;$C$3,"",LARGE(DEBIT_15HARIAN!$M$7:$M$31,$A51))</f>
        <v/>
      </c>
      <c r="O51" s="13">
        <f>IF($A51&gt;$C$3,"",LARGE(DEBIT_15HARIAN!$N$7:$N$31,$A51))</f>
        <v/>
      </c>
      <c r="P51" s="13">
        <f>IF($A51&gt;$C$3,"",LARGE(DEBIT_15HARIAN!$O$7:$O$31,$A51))</f>
        <v/>
      </c>
      <c r="Q51" s="13">
        <f>IF($A51&gt;$C$3,"",LARGE(DEBIT_15HARIAN!$P$7:$P$31,$A51))</f>
        <v/>
      </c>
      <c r="R51" s="13">
        <f>IF($A51&gt;$C$3,"",LARGE(DEBIT_15HARIAN!$Q$7:$Q$31,$A51))</f>
        <v/>
      </c>
      <c r="S51" s="13">
        <f>IF($A51&gt;$C$3,"",LARGE(DEBIT_15HARIAN!$R$7:$R$31,$A51))</f>
        <v/>
      </c>
      <c r="T51" s="13">
        <f>IF($A51&gt;$C$3,"",LARGE(DEBIT_15HARIAN!$S$7:$S$31,$A51))</f>
        <v/>
      </c>
      <c r="U51" s="13">
        <f>IF($A51&gt;$C$3,"",LARGE(DEBIT_15HARIAN!$T$7:$T$31,$A51))</f>
        <v/>
      </c>
      <c r="V51" s="13">
        <f>IF($A51&gt;$C$3,"",LARGE(DEBIT_15HARIAN!$U$7:$U$31,$A51))</f>
        <v/>
      </c>
      <c r="W51" s="13">
        <f>IF($A51&gt;$C$3,"",LARGE(DEBIT_15HARIAN!$V$7:$V$31,$A51))</f>
        <v/>
      </c>
      <c r="X51" s="13">
        <f>IF($A51&gt;$C$3,"",LARGE(DEBIT_15HARIAN!$W$7:$W$31,$A51))</f>
        <v/>
      </c>
      <c r="Y51" s="13">
        <f>IF($A51&gt;$C$3,"",LARGE(DEBIT_15HARIAN!$X$7:$X$31,$A51))</f>
        <v/>
      </c>
      <c r="Z51" s="13">
        <f>IF($A51&gt;$C$3,"",LARGE(DEBIT_15HARIAN!$Y$7:$Y$31,$A51))</f>
        <v/>
      </c>
    </row>
    <row r="52">
      <c r="A52" s="9" t="n">
        <v>18</v>
      </c>
      <c r="B52" s="23">
        <f>IF(A52&gt;$C$3,"",A52/($C$3+1))</f>
        <v/>
      </c>
      <c r="C52" s="13">
        <f>IF($A52&gt;$C$3,"",LARGE(DEBIT_15HARIAN!$B$7:$B$31,$A52))</f>
        <v/>
      </c>
      <c r="D52" s="13">
        <f>IF($A52&gt;$C$3,"",LARGE(DEBIT_15HARIAN!$C$7:$C$31,$A52))</f>
        <v/>
      </c>
      <c r="E52" s="13">
        <f>IF($A52&gt;$C$3,"",LARGE(DEBIT_15HARIAN!$D$7:$D$31,$A52))</f>
        <v/>
      </c>
      <c r="F52" s="13">
        <f>IF($A52&gt;$C$3,"",LARGE(DEBIT_15HARIAN!$E$7:$E$31,$A52))</f>
        <v/>
      </c>
      <c r="G52" s="13">
        <f>IF($A52&gt;$C$3,"",LARGE(DEBIT_15HARIAN!$F$7:$F$31,$A52))</f>
        <v/>
      </c>
      <c r="H52" s="13">
        <f>IF($A52&gt;$C$3,"",LARGE(DEBIT_15HARIAN!$G$7:$G$31,$A52))</f>
        <v/>
      </c>
      <c r="I52" s="13">
        <f>IF($A52&gt;$C$3,"",LARGE(DEBIT_15HARIAN!$H$7:$H$31,$A52))</f>
        <v/>
      </c>
      <c r="J52" s="13">
        <f>IF($A52&gt;$C$3,"",LARGE(DEBIT_15HARIAN!$I$7:$I$31,$A52))</f>
        <v/>
      </c>
      <c r="K52" s="13">
        <f>IF($A52&gt;$C$3,"",LARGE(DEBIT_15HARIAN!$J$7:$J$31,$A52))</f>
        <v/>
      </c>
      <c r="L52" s="13">
        <f>IF($A52&gt;$C$3,"",LARGE(DEBIT_15HARIAN!$K$7:$K$31,$A52))</f>
        <v/>
      </c>
      <c r="M52" s="13">
        <f>IF($A52&gt;$C$3,"",LARGE(DEBIT_15HARIAN!$L$7:$L$31,$A52))</f>
        <v/>
      </c>
      <c r="N52" s="13">
        <f>IF($A52&gt;$C$3,"",LARGE(DEBIT_15HARIAN!$M$7:$M$31,$A52))</f>
        <v/>
      </c>
      <c r="O52" s="13">
        <f>IF($A52&gt;$C$3,"",LARGE(DEBIT_15HARIAN!$N$7:$N$31,$A52))</f>
        <v/>
      </c>
      <c r="P52" s="13">
        <f>IF($A52&gt;$C$3,"",LARGE(DEBIT_15HARIAN!$O$7:$O$31,$A52))</f>
        <v/>
      </c>
      <c r="Q52" s="13">
        <f>IF($A52&gt;$C$3,"",LARGE(DEBIT_15HARIAN!$P$7:$P$31,$A52))</f>
        <v/>
      </c>
      <c r="R52" s="13">
        <f>IF($A52&gt;$C$3,"",LARGE(DEBIT_15HARIAN!$Q$7:$Q$31,$A52))</f>
        <v/>
      </c>
      <c r="S52" s="13">
        <f>IF($A52&gt;$C$3,"",LARGE(DEBIT_15HARIAN!$R$7:$R$31,$A52))</f>
        <v/>
      </c>
      <c r="T52" s="13">
        <f>IF($A52&gt;$C$3,"",LARGE(DEBIT_15HARIAN!$S$7:$S$31,$A52))</f>
        <v/>
      </c>
      <c r="U52" s="13">
        <f>IF($A52&gt;$C$3,"",LARGE(DEBIT_15HARIAN!$T$7:$T$31,$A52))</f>
        <v/>
      </c>
      <c r="V52" s="13">
        <f>IF($A52&gt;$C$3,"",LARGE(DEBIT_15HARIAN!$U$7:$U$31,$A52))</f>
        <v/>
      </c>
      <c r="W52" s="13">
        <f>IF($A52&gt;$C$3,"",LARGE(DEBIT_15HARIAN!$V$7:$V$31,$A52))</f>
        <v/>
      </c>
      <c r="X52" s="13">
        <f>IF($A52&gt;$C$3,"",LARGE(DEBIT_15HARIAN!$W$7:$W$31,$A52))</f>
        <v/>
      </c>
      <c r="Y52" s="13">
        <f>IF($A52&gt;$C$3,"",LARGE(DEBIT_15HARIAN!$X$7:$X$31,$A52))</f>
        <v/>
      </c>
      <c r="Z52" s="13">
        <f>IF($A52&gt;$C$3,"",LARGE(DEBIT_15HARIAN!$Y$7:$Y$31,$A52))</f>
        <v/>
      </c>
    </row>
    <row r="53">
      <c r="A53" s="9" t="n">
        <v>19</v>
      </c>
      <c r="B53" s="23">
        <f>IF(A53&gt;$C$3,"",A53/($C$3+1))</f>
        <v/>
      </c>
      <c r="C53" s="13">
        <f>IF($A53&gt;$C$3,"",LARGE(DEBIT_15HARIAN!$B$7:$B$31,$A53))</f>
        <v/>
      </c>
      <c r="D53" s="13">
        <f>IF($A53&gt;$C$3,"",LARGE(DEBIT_15HARIAN!$C$7:$C$31,$A53))</f>
        <v/>
      </c>
      <c r="E53" s="13">
        <f>IF($A53&gt;$C$3,"",LARGE(DEBIT_15HARIAN!$D$7:$D$31,$A53))</f>
        <v/>
      </c>
      <c r="F53" s="13">
        <f>IF($A53&gt;$C$3,"",LARGE(DEBIT_15HARIAN!$E$7:$E$31,$A53))</f>
        <v/>
      </c>
      <c r="G53" s="13">
        <f>IF($A53&gt;$C$3,"",LARGE(DEBIT_15HARIAN!$F$7:$F$31,$A53))</f>
        <v/>
      </c>
      <c r="H53" s="13">
        <f>IF($A53&gt;$C$3,"",LARGE(DEBIT_15HARIAN!$G$7:$G$31,$A53))</f>
        <v/>
      </c>
      <c r="I53" s="13">
        <f>IF($A53&gt;$C$3,"",LARGE(DEBIT_15HARIAN!$H$7:$H$31,$A53))</f>
        <v/>
      </c>
      <c r="J53" s="13">
        <f>IF($A53&gt;$C$3,"",LARGE(DEBIT_15HARIAN!$I$7:$I$31,$A53))</f>
        <v/>
      </c>
      <c r="K53" s="13">
        <f>IF($A53&gt;$C$3,"",LARGE(DEBIT_15HARIAN!$J$7:$J$31,$A53))</f>
        <v/>
      </c>
      <c r="L53" s="13">
        <f>IF($A53&gt;$C$3,"",LARGE(DEBIT_15HARIAN!$K$7:$K$31,$A53))</f>
        <v/>
      </c>
      <c r="M53" s="13">
        <f>IF($A53&gt;$C$3,"",LARGE(DEBIT_15HARIAN!$L$7:$L$31,$A53))</f>
        <v/>
      </c>
      <c r="N53" s="13">
        <f>IF($A53&gt;$C$3,"",LARGE(DEBIT_15HARIAN!$M$7:$M$31,$A53))</f>
        <v/>
      </c>
      <c r="O53" s="13">
        <f>IF($A53&gt;$C$3,"",LARGE(DEBIT_15HARIAN!$N$7:$N$31,$A53))</f>
        <v/>
      </c>
      <c r="P53" s="13">
        <f>IF($A53&gt;$C$3,"",LARGE(DEBIT_15HARIAN!$O$7:$O$31,$A53))</f>
        <v/>
      </c>
      <c r="Q53" s="13">
        <f>IF($A53&gt;$C$3,"",LARGE(DEBIT_15HARIAN!$P$7:$P$31,$A53))</f>
        <v/>
      </c>
      <c r="R53" s="13">
        <f>IF($A53&gt;$C$3,"",LARGE(DEBIT_15HARIAN!$Q$7:$Q$31,$A53))</f>
        <v/>
      </c>
      <c r="S53" s="13">
        <f>IF($A53&gt;$C$3,"",LARGE(DEBIT_15HARIAN!$R$7:$R$31,$A53))</f>
        <v/>
      </c>
      <c r="T53" s="13">
        <f>IF($A53&gt;$C$3,"",LARGE(DEBIT_15HARIAN!$S$7:$S$31,$A53))</f>
        <v/>
      </c>
      <c r="U53" s="13">
        <f>IF($A53&gt;$C$3,"",LARGE(DEBIT_15HARIAN!$T$7:$T$31,$A53))</f>
        <v/>
      </c>
      <c r="V53" s="13">
        <f>IF($A53&gt;$C$3,"",LARGE(DEBIT_15HARIAN!$U$7:$U$31,$A53))</f>
        <v/>
      </c>
      <c r="W53" s="13">
        <f>IF($A53&gt;$C$3,"",LARGE(DEBIT_15HARIAN!$V$7:$V$31,$A53))</f>
        <v/>
      </c>
      <c r="X53" s="13">
        <f>IF($A53&gt;$C$3,"",LARGE(DEBIT_15HARIAN!$W$7:$W$31,$A53))</f>
        <v/>
      </c>
      <c r="Y53" s="13">
        <f>IF($A53&gt;$C$3,"",LARGE(DEBIT_15HARIAN!$X$7:$X$31,$A53))</f>
        <v/>
      </c>
      <c r="Z53" s="13">
        <f>IF($A53&gt;$C$3,"",LARGE(DEBIT_15HARIAN!$Y$7:$Y$31,$A53))</f>
        <v/>
      </c>
    </row>
    <row r="54">
      <c r="A54" s="9" t="n">
        <v>20</v>
      </c>
      <c r="B54" s="23">
        <f>IF(A54&gt;$C$3,"",A54/($C$3+1))</f>
        <v/>
      </c>
      <c r="C54" s="13">
        <f>IF($A54&gt;$C$3,"",LARGE(DEBIT_15HARIAN!$B$7:$B$31,$A54))</f>
        <v/>
      </c>
      <c r="D54" s="13">
        <f>IF($A54&gt;$C$3,"",LARGE(DEBIT_15HARIAN!$C$7:$C$31,$A54))</f>
        <v/>
      </c>
      <c r="E54" s="13">
        <f>IF($A54&gt;$C$3,"",LARGE(DEBIT_15HARIAN!$D$7:$D$31,$A54))</f>
        <v/>
      </c>
      <c r="F54" s="13">
        <f>IF($A54&gt;$C$3,"",LARGE(DEBIT_15HARIAN!$E$7:$E$31,$A54))</f>
        <v/>
      </c>
      <c r="G54" s="13">
        <f>IF($A54&gt;$C$3,"",LARGE(DEBIT_15HARIAN!$F$7:$F$31,$A54))</f>
        <v/>
      </c>
      <c r="H54" s="13">
        <f>IF($A54&gt;$C$3,"",LARGE(DEBIT_15HARIAN!$G$7:$G$31,$A54))</f>
        <v/>
      </c>
      <c r="I54" s="13">
        <f>IF($A54&gt;$C$3,"",LARGE(DEBIT_15HARIAN!$H$7:$H$31,$A54))</f>
        <v/>
      </c>
      <c r="J54" s="13">
        <f>IF($A54&gt;$C$3,"",LARGE(DEBIT_15HARIAN!$I$7:$I$31,$A54))</f>
        <v/>
      </c>
      <c r="K54" s="13">
        <f>IF($A54&gt;$C$3,"",LARGE(DEBIT_15HARIAN!$J$7:$J$31,$A54))</f>
        <v/>
      </c>
      <c r="L54" s="13">
        <f>IF($A54&gt;$C$3,"",LARGE(DEBIT_15HARIAN!$K$7:$K$31,$A54))</f>
        <v/>
      </c>
      <c r="M54" s="13">
        <f>IF($A54&gt;$C$3,"",LARGE(DEBIT_15HARIAN!$L$7:$L$31,$A54))</f>
        <v/>
      </c>
      <c r="N54" s="13">
        <f>IF($A54&gt;$C$3,"",LARGE(DEBIT_15HARIAN!$M$7:$M$31,$A54))</f>
        <v/>
      </c>
      <c r="O54" s="13">
        <f>IF($A54&gt;$C$3,"",LARGE(DEBIT_15HARIAN!$N$7:$N$31,$A54))</f>
        <v/>
      </c>
      <c r="P54" s="13">
        <f>IF($A54&gt;$C$3,"",LARGE(DEBIT_15HARIAN!$O$7:$O$31,$A54))</f>
        <v/>
      </c>
      <c r="Q54" s="13">
        <f>IF($A54&gt;$C$3,"",LARGE(DEBIT_15HARIAN!$P$7:$P$31,$A54))</f>
        <v/>
      </c>
      <c r="R54" s="13">
        <f>IF($A54&gt;$C$3,"",LARGE(DEBIT_15HARIAN!$Q$7:$Q$31,$A54))</f>
        <v/>
      </c>
      <c r="S54" s="13">
        <f>IF($A54&gt;$C$3,"",LARGE(DEBIT_15HARIAN!$R$7:$R$31,$A54))</f>
        <v/>
      </c>
      <c r="T54" s="13">
        <f>IF($A54&gt;$C$3,"",LARGE(DEBIT_15HARIAN!$S$7:$S$31,$A54))</f>
        <v/>
      </c>
      <c r="U54" s="13">
        <f>IF($A54&gt;$C$3,"",LARGE(DEBIT_15HARIAN!$T$7:$T$31,$A54))</f>
        <v/>
      </c>
      <c r="V54" s="13">
        <f>IF($A54&gt;$C$3,"",LARGE(DEBIT_15HARIAN!$U$7:$U$31,$A54))</f>
        <v/>
      </c>
      <c r="W54" s="13">
        <f>IF($A54&gt;$C$3,"",LARGE(DEBIT_15HARIAN!$V$7:$V$31,$A54))</f>
        <v/>
      </c>
      <c r="X54" s="13">
        <f>IF($A54&gt;$C$3,"",LARGE(DEBIT_15HARIAN!$W$7:$W$31,$A54))</f>
        <v/>
      </c>
      <c r="Y54" s="13">
        <f>IF($A54&gt;$C$3,"",LARGE(DEBIT_15HARIAN!$X$7:$X$31,$A54))</f>
        <v/>
      </c>
      <c r="Z54" s="13">
        <f>IF($A54&gt;$C$3,"",LARGE(DEBIT_15HARIAN!$Y$7:$Y$31,$A54))</f>
        <v/>
      </c>
    </row>
    <row r="55">
      <c r="A55" s="9" t="n">
        <v>21</v>
      </c>
      <c r="B55" s="23">
        <f>IF(A55&gt;$C$3,"",A55/($C$3+1))</f>
        <v/>
      </c>
      <c r="C55" s="13">
        <f>IF($A55&gt;$C$3,"",LARGE(DEBIT_15HARIAN!$B$7:$B$31,$A55))</f>
        <v/>
      </c>
      <c r="D55" s="13">
        <f>IF($A55&gt;$C$3,"",LARGE(DEBIT_15HARIAN!$C$7:$C$31,$A55))</f>
        <v/>
      </c>
      <c r="E55" s="13">
        <f>IF($A55&gt;$C$3,"",LARGE(DEBIT_15HARIAN!$D$7:$D$31,$A55))</f>
        <v/>
      </c>
      <c r="F55" s="13">
        <f>IF($A55&gt;$C$3,"",LARGE(DEBIT_15HARIAN!$E$7:$E$31,$A55))</f>
        <v/>
      </c>
      <c r="G55" s="13">
        <f>IF($A55&gt;$C$3,"",LARGE(DEBIT_15HARIAN!$F$7:$F$31,$A55))</f>
        <v/>
      </c>
      <c r="H55" s="13">
        <f>IF($A55&gt;$C$3,"",LARGE(DEBIT_15HARIAN!$G$7:$G$31,$A55))</f>
        <v/>
      </c>
      <c r="I55" s="13">
        <f>IF($A55&gt;$C$3,"",LARGE(DEBIT_15HARIAN!$H$7:$H$31,$A55))</f>
        <v/>
      </c>
      <c r="J55" s="13">
        <f>IF($A55&gt;$C$3,"",LARGE(DEBIT_15HARIAN!$I$7:$I$31,$A55))</f>
        <v/>
      </c>
      <c r="K55" s="13">
        <f>IF($A55&gt;$C$3,"",LARGE(DEBIT_15HARIAN!$J$7:$J$31,$A55))</f>
        <v/>
      </c>
      <c r="L55" s="13">
        <f>IF($A55&gt;$C$3,"",LARGE(DEBIT_15HARIAN!$K$7:$K$31,$A55))</f>
        <v/>
      </c>
      <c r="M55" s="13">
        <f>IF($A55&gt;$C$3,"",LARGE(DEBIT_15HARIAN!$L$7:$L$31,$A55))</f>
        <v/>
      </c>
      <c r="N55" s="13">
        <f>IF($A55&gt;$C$3,"",LARGE(DEBIT_15HARIAN!$M$7:$M$31,$A55))</f>
        <v/>
      </c>
      <c r="O55" s="13">
        <f>IF($A55&gt;$C$3,"",LARGE(DEBIT_15HARIAN!$N$7:$N$31,$A55))</f>
        <v/>
      </c>
      <c r="P55" s="13">
        <f>IF($A55&gt;$C$3,"",LARGE(DEBIT_15HARIAN!$O$7:$O$31,$A55))</f>
        <v/>
      </c>
      <c r="Q55" s="13">
        <f>IF($A55&gt;$C$3,"",LARGE(DEBIT_15HARIAN!$P$7:$P$31,$A55))</f>
        <v/>
      </c>
      <c r="R55" s="13">
        <f>IF($A55&gt;$C$3,"",LARGE(DEBIT_15HARIAN!$Q$7:$Q$31,$A55))</f>
        <v/>
      </c>
      <c r="S55" s="13">
        <f>IF($A55&gt;$C$3,"",LARGE(DEBIT_15HARIAN!$R$7:$R$31,$A55))</f>
        <v/>
      </c>
      <c r="T55" s="13">
        <f>IF($A55&gt;$C$3,"",LARGE(DEBIT_15HARIAN!$S$7:$S$31,$A55))</f>
        <v/>
      </c>
      <c r="U55" s="13">
        <f>IF($A55&gt;$C$3,"",LARGE(DEBIT_15HARIAN!$T$7:$T$31,$A55))</f>
        <v/>
      </c>
      <c r="V55" s="13">
        <f>IF($A55&gt;$C$3,"",LARGE(DEBIT_15HARIAN!$U$7:$U$31,$A55))</f>
        <v/>
      </c>
      <c r="W55" s="13">
        <f>IF($A55&gt;$C$3,"",LARGE(DEBIT_15HARIAN!$V$7:$V$31,$A55))</f>
        <v/>
      </c>
      <c r="X55" s="13">
        <f>IF($A55&gt;$C$3,"",LARGE(DEBIT_15HARIAN!$W$7:$W$31,$A55))</f>
        <v/>
      </c>
      <c r="Y55" s="13">
        <f>IF($A55&gt;$C$3,"",LARGE(DEBIT_15HARIAN!$X$7:$X$31,$A55))</f>
        <v/>
      </c>
      <c r="Z55" s="13">
        <f>IF($A55&gt;$C$3,"",LARGE(DEBIT_15HARIAN!$Y$7:$Y$31,$A55))</f>
        <v/>
      </c>
    </row>
    <row r="56">
      <c r="A56" s="9" t="n">
        <v>22</v>
      </c>
      <c r="B56" s="23">
        <f>IF(A56&gt;$C$3,"",A56/($C$3+1))</f>
        <v/>
      </c>
      <c r="C56" s="13">
        <f>IF($A56&gt;$C$3,"",LARGE(DEBIT_15HARIAN!$B$7:$B$31,$A56))</f>
        <v/>
      </c>
      <c r="D56" s="13">
        <f>IF($A56&gt;$C$3,"",LARGE(DEBIT_15HARIAN!$C$7:$C$31,$A56))</f>
        <v/>
      </c>
      <c r="E56" s="13">
        <f>IF($A56&gt;$C$3,"",LARGE(DEBIT_15HARIAN!$D$7:$D$31,$A56))</f>
        <v/>
      </c>
      <c r="F56" s="13">
        <f>IF($A56&gt;$C$3,"",LARGE(DEBIT_15HARIAN!$E$7:$E$31,$A56))</f>
        <v/>
      </c>
      <c r="G56" s="13">
        <f>IF($A56&gt;$C$3,"",LARGE(DEBIT_15HARIAN!$F$7:$F$31,$A56))</f>
        <v/>
      </c>
      <c r="H56" s="13">
        <f>IF($A56&gt;$C$3,"",LARGE(DEBIT_15HARIAN!$G$7:$G$31,$A56))</f>
        <v/>
      </c>
      <c r="I56" s="13">
        <f>IF($A56&gt;$C$3,"",LARGE(DEBIT_15HARIAN!$H$7:$H$31,$A56))</f>
        <v/>
      </c>
      <c r="J56" s="13">
        <f>IF($A56&gt;$C$3,"",LARGE(DEBIT_15HARIAN!$I$7:$I$31,$A56))</f>
        <v/>
      </c>
      <c r="K56" s="13">
        <f>IF($A56&gt;$C$3,"",LARGE(DEBIT_15HARIAN!$J$7:$J$31,$A56))</f>
        <v/>
      </c>
      <c r="L56" s="13">
        <f>IF($A56&gt;$C$3,"",LARGE(DEBIT_15HARIAN!$K$7:$K$31,$A56))</f>
        <v/>
      </c>
      <c r="M56" s="13">
        <f>IF($A56&gt;$C$3,"",LARGE(DEBIT_15HARIAN!$L$7:$L$31,$A56))</f>
        <v/>
      </c>
      <c r="N56" s="13">
        <f>IF($A56&gt;$C$3,"",LARGE(DEBIT_15HARIAN!$M$7:$M$31,$A56))</f>
        <v/>
      </c>
      <c r="O56" s="13">
        <f>IF($A56&gt;$C$3,"",LARGE(DEBIT_15HARIAN!$N$7:$N$31,$A56))</f>
        <v/>
      </c>
      <c r="P56" s="13">
        <f>IF($A56&gt;$C$3,"",LARGE(DEBIT_15HARIAN!$O$7:$O$31,$A56))</f>
        <v/>
      </c>
      <c r="Q56" s="13">
        <f>IF($A56&gt;$C$3,"",LARGE(DEBIT_15HARIAN!$P$7:$P$31,$A56))</f>
        <v/>
      </c>
      <c r="R56" s="13">
        <f>IF($A56&gt;$C$3,"",LARGE(DEBIT_15HARIAN!$Q$7:$Q$31,$A56))</f>
        <v/>
      </c>
      <c r="S56" s="13">
        <f>IF($A56&gt;$C$3,"",LARGE(DEBIT_15HARIAN!$R$7:$R$31,$A56))</f>
        <v/>
      </c>
      <c r="T56" s="13">
        <f>IF($A56&gt;$C$3,"",LARGE(DEBIT_15HARIAN!$S$7:$S$31,$A56))</f>
        <v/>
      </c>
      <c r="U56" s="13">
        <f>IF($A56&gt;$C$3,"",LARGE(DEBIT_15HARIAN!$T$7:$T$31,$A56))</f>
        <v/>
      </c>
      <c r="V56" s="13">
        <f>IF($A56&gt;$C$3,"",LARGE(DEBIT_15HARIAN!$U$7:$U$31,$A56))</f>
        <v/>
      </c>
      <c r="W56" s="13">
        <f>IF($A56&gt;$C$3,"",LARGE(DEBIT_15HARIAN!$V$7:$V$31,$A56))</f>
        <v/>
      </c>
      <c r="X56" s="13">
        <f>IF($A56&gt;$C$3,"",LARGE(DEBIT_15HARIAN!$W$7:$W$31,$A56))</f>
        <v/>
      </c>
      <c r="Y56" s="13">
        <f>IF($A56&gt;$C$3,"",LARGE(DEBIT_15HARIAN!$X$7:$X$31,$A56))</f>
        <v/>
      </c>
      <c r="Z56" s="13">
        <f>IF($A56&gt;$C$3,"",LARGE(DEBIT_15HARIAN!$Y$7:$Y$31,$A56))</f>
        <v/>
      </c>
    </row>
    <row r="57">
      <c r="A57" s="9" t="n">
        <v>23</v>
      </c>
      <c r="B57" s="23">
        <f>IF(A57&gt;$C$3,"",A57/($C$3+1))</f>
        <v/>
      </c>
      <c r="C57" s="13">
        <f>IF($A57&gt;$C$3,"",LARGE(DEBIT_15HARIAN!$B$7:$B$31,$A57))</f>
        <v/>
      </c>
      <c r="D57" s="13">
        <f>IF($A57&gt;$C$3,"",LARGE(DEBIT_15HARIAN!$C$7:$C$31,$A57))</f>
        <v/>
      </c>
      <c r="E57" s="13">
        <f>IF($A57&gt;$C$3,"",LARGE(DEBIT_15HARIAN!$D$7:$D$31,$A57))</f>
        <v/>
      </c>
      <c r="F57" s="13">
        <f>IF($A57&gt;$C$3,"",LARGE(DEBIT_15HARIAN!$E$7:$E$31,$A57))</f>
        <v/>
      </c>
      <c r="G57" s="13">
        <f>IF($A57&gt;$C$3,"",LARGE(DEBIT_15HARIAN!$F$7:$F$31,$A57))</f>
        <v/>
      </c>
      <c r="H57" s="13">
        <f>IF($A57&gt;$C$3,"",LARGE(DEBIT_15HARIAN!$G$7:$G$31,$A57))</f>
        <v/>
      </c>
      <c r="I57" s="13">
        <f>IF($A57&gt;$C$3,"",LARGE(DEBIT_15HARIAN!$H$7:$H$31,$A57))</f>
        <v/>
      </c>
      <c r="J57" s="13">
        <f>IF($A57&gt;$C$3,"",LARGE(DEBIT_15HARIAN!$I$7:$I$31,$A57))</f>
        <v/>
      </c>
      <c r="K57" s="13">
        <f>IF($A57&gt;$C$3,"",LARGE(DEBIT_15HARIAN!$J$7:$J$31,$A57))</f>
        <v/>
      </c>
      <c r="L57" s="13">
        <f>IF($A57&gt;$C$3,"",LARGE(DEBIT_15HARIAN!$K$7:$K$31,$A57))</f>
        <v/>
      </c>
      <c r="M57" s="13">
        <f>IF($A57&gt;$C$3,"",LARGE(DEBIT_15HARIAN!$L$7:$L$31,$A57))</f>
        <v/>
      </c>
      <c r="N57" s="13">
        <f>IF($A57&gt;$C$3,"",LARGE(DEBIT_15HARIAN!$M$7:$M$31,$A57))</f>
        <v/>
      </c>
      <c r="O57" s="13">
        <f>IF($A57&gt;$C$3,"",LARGE(DEBIT_15HARIAN!$N$7:$N$31,$A57))</f>
        <v/>
      </c>
      <c r="P57" s="13">
        <f>IF($A57&gt;$C$3,"",LARGE(DEBIT_15HARIAN!$O$7:$O$31,$A57))</f>
        <v/>
      </c>
      <c r="Q57" s="13">
        <f>IF($A57&gt;$C$3,"",LARGE(DEBIT_15HARIAN!$P$7:$P$31,$A57))</f>
        <v/>
      </c>
      <c r="R57" s="13">
        <f>IF($A57&gt;$C$3,"",LARGE(DEBIT_15HARIAN!$Q$7:$Q$31,$A57))</f>
        <v/>
      </c>
      <c r="S57" s="13">
        <f>IF($A57&gt;$C$3,"",LARGE(DEBIT_15HARIAN!$R$7:$R$31,$A57))</f>
        <v/>
      </c>
      <c r="T57" s="13">
        <f>IF($A57&gt;$C$3,"",LARGE(DEBIT_15HARIAN!$S$7:$S$31,$A57))</f>
        <v/>
      </c>
      <c r="U57" s="13">
        <f>IF($A57&gt;$C$3,"",LARGE(DEBIT_15HARIAN!$T$7:$T$31,$A57))</f>
        <v/>
      </c>
      <c r="V57" s="13">
        <f>IF($A57&gt;$C$3,"",LARGE(DEBIT_15HARIAN!$U$7:$U$31,$A57))</f>
        <v/>
      </c>
      <c r="W57" s="13">
        <f>IF($A57&gt;$C$3,"",LARGE(DEBIT_15HARIAN!$V$7:$V$31,$A57))</f>
        <v/>
      </c>
      <c r="X57" s="13">
        <f>IF($A57&gt;$C$3,"",LARGE(DEBIT_15HARIAN!$W$7:$W$31,$A57))</f>
        <v/>
      </c>
      <c r="Y57" s="13">
        <f>IF($A57&gt;$C$3,"",LARGE(DEBIT_15HARIAN!$X$7:$X$31,$A57))</f>
        <v/>
      </c>
      <c r="Z57" s="13">
        <f>IF($A57&gt;$C$3,"",LARGE(DEBIT_15HARIAN!$Y$7:$Y$31,$A57))</f>
        <v/>
      </c>
    </row>
    <row r="58">
      <c r="A58" s="9" t="n">
        <v>24</v>
      </c>
      <c r="B58" s="23">
        <f>IF(A58&gt;$C$3,"",A58/($C$3+1))</f>
        <v/>
      </c>
      <c r="C58" s="13">
        <f>IF($A58&gt;$C$3,"",LARGE(DEBIT_15HARIAN!$B$7:$B$31,$A58))</f>
        <v/>
      </c>
      <c r="D58" s="13">
        <f>IF($A58&gt;$C$3,"",LARGE(DEBIT_15HARIAN!$C$7:$C$31,$A58))</f>
        <v/>
      </c>
      <c r="E58" s="13">
        <f>IF($A58&gt;$C$3,"",LARGE(DEBIT_15HARIAN!$D$7:$D$31,$A58))</f>
        <v/>
      </c>
      <c r="F58" s="13">
        <f>IF($A58&gt;$C$3,"",LARGE(DEBIT_15HARIAN!$E$7:$E$31,$A58))</f>
        <v/>
      </c>
      <c r="G58" s="13">
        <f>IF($A58&gt;$C$3,"",LARGE(DEBIT_15HARIAN!$F$7:$F$31,$A58))</f>
        <v/>
      </c>
      <c r="H58" s="13">
        <f>IF($A58&gt;$C$3,"",LARGE(DEBIT_15HARIAN!$G$7:$G$31,$A58))</f>
        <v/>
      </c>
      <c r="I58" s="13">
        <f>IF($A58&gt;$C$3,"",LARGE(DEBIT_15HARIAN!$H$7:$H$31,$A58))</f>
        <v/>
      </c>
      <c r="J58" s="13">
        <f>IF($A58&gt;$C$3,"",LARGE(DEBIT_15HARIAN!$I$7:$I$31,$A58))</f>
        <v/>
      </c>
      <c r="K58" s="13">
        <f>IF($A58&gt;$C$3,"",LARGE(DEBIT_15HARIAN!$J$7:$J$31,$A58))</f>
        <v/>
      </c>
      <c r="L58" s="13">
        <f>IF($A58&gt;$C$3,"",LARGE(DEBIT_15HARIAN!$K$7:$K$31,$A58))</f>
        <v/>
      </c>
      <c r="M58" s="13">
        <f>IF($A58&gt;$C$3,"",LARGE(DEBIT_15HARIAN!$L$7:$L$31,$A58))</f>
        <v/>
      </c>
      <c r="N58" s="13">
        <f>IF($A58&gt;$C$3,"",LARGE(DEBIT_15HARIAN!$M$7:$M$31,$A58))</f>
        <v/>
      </c>
      <c r="O58" s="13">
        <f>IF($A58&gt;$C$3,"",LARGE(DEBIT_15HARIAN!$N$7:$N$31,$A58))</f>
        <v/>
      </c>
      <c r="P58" s="13">
        <f>IF($A58&gt;$C$3,"",LARGE(DEBIT_15HARIAN!$O$7:$O$31,$A58))</f>
        <v/>
      </c>
      <c r="Q58" s="13">
        <f>IF($A58&gt;$C$3,"",LARGE(DEBIT_15HARIAN!$P$7:$P$31,$A58))</f>
        <v/>
      </c>
      <c r="R58" s="13">
        <f>IF($A58&gt;$C$3,"",LARGE(DEBIT_15HARIAN!$Q$7:$Q$31,$A58))</f>
        <v/>
      </c>
      <c r="S58" s="13">
        <f>IF($A58&gt;$C$3,"",LARGE(DEBIT_15HARIAN!$R$7:$R$31,$A58))</f>
        <v/>
      </c>
      <c r="T58" s="13">
        <f>IF($A58&gt;$C$3,"",LARGE(DEBIT_15HARIAN!$S$7:$S$31,$A58))</f>
        <v/>
      </c>
      <c r="U58" s="13">
        <f>IF($A58&gt;$C$3,"",LARGE(DEBIT_15HARIAN!$T$7:$T$31,$A58))</f>
        <v/>
      </c>
      <c r="V58" s="13">
        <f>IF($A58&gt;$C$3,"",LARGE(DEBIT_15HARIAN!$U$7:$U$31,$A58))</f>
        <v/>
      </c>
      <c r="W58" s="13">
        <f>IF($A58&gt;$C$3,"",LARGE(DEBIT_15HARIAN!$V$7:$V$31,$A58))</f>
        <v/>
      </c>
      <c r="X58" s="13">
        <f>IF($A58&gt;$C$3,"",LARGE(DEBIT_15HARIAN!$W$7:$W$31,$A58))</f>
        <v/>
      </c>
      <c r="Y58" s="13">
        <f>IF($A58&gt;$C$3,"",LARGE(DEBIT_15HARIAN!$X$7:$X$31,$A58))</f>
        <v/>
      </c>
      <c r="Z58" s="13">
        <f>IF($A58&gt;$C$3,"",LARGE(DEBIT_15HARIAN!$Y$7:$Y$31,$A58))</f>
        <v/>
      </c>
    </row>
    <row r="59">
      <c r="A59" s="9" t="n">
        <v>25</v>
      </c>
      <c r="B59" s="23">
        <f>IF(A59&gt;$C$3,"",A59/($C$3+1))</f>
        <v/>
      </c>
      <c r="C59" s="13">
        <f>IF($A59&gt;$C$3,"",LARGE(DEBIT_15HARIAN!$B$7:$B$31,$A59))</f>
        <v/>
      </c>
      <c r="D59" s="13">
        <f>IF($A59&gt;$C$3,"",LARGE(DEBIT_15HARIAN!$C$7:$C$31,$A59))</f>
        <v/>
      </c>
      <c r="E59" s="13">
        <f>IF($A59&gt;$C$3,"",LARGE(DEBIT_15HARIAN!$D$7:$D$31,$A59))</f>
        <v/>
      </c>
      <c r="F59" s="13">
        <f>IF($A59&gt;$C$3,"",LARGE(DEBIT_15HARIAN!$E$7:$E$31,$A59))</f>
        <v/>
      </c>
      <c r="G59" s="13">
        <f>IF($A59&gt;$C$3,"",LARGE(DEBIT_15HARIAN!$F$7:$F$31,$A59))</f>
        <v/>
      </c>
      <c r="H59" s="13">
        <f>IF($A59&gt;$C$3,"",LARGE(DEBIT_15HARIAN!$G$7:$G$31,$A59))</f>
        <v/>
      </c>
      <c r="I59" s="13">
        <f>IF($A59&gt;$C$3,"",LARGE(DEBIT_15HARIAN!$H$7:$H$31,$A59))</f>
        <v/>
      </c>
      <c r="J59" s="13">
        <f>IF($A59&gt;$C$3,"",LARGE(DEBIT_15HARIAN!$I$7:$I$31,$A59))</f>
        <v/>
      </c>
      <c r="K59" s="13">
        <f>IF($A59&gt;$C$3,"",LARGE(DEBIT_15HARIAN!$J$7:$J$31,$A59))</f>
        <v/>
      </c>
      <c r="L59" s="13">
        <f>IF($A59&gt;$C$3,"",LARGE(DEBIT_15HARIAN!$K$7:$K$31,$A59))</f>
        <v/>
      </c>
      <c r="M59" s="13">
        <f>IF($A59&gt;$C$3,"",LARGE(DEBIT_15HARIAN!$L$7:$L$31,$A59))</f>
        <v/>
      </c>
      <c r="N59" s="13">
        <f>IF($A59&gt;$C$3,"",LARGE(DEBIT_15HARIAN!$M$7:$M$31,$A59))</f>
        <v/>
      </c>
      <c r="O59" s="13">
        <f>IF($A59&gt;$C$3,"",LARGE(DEBIT_15HARIAN!$N$7:$N$31,$A59))</f>
        <v/>
      </c>
      <c r="P59" s="13">
        <f>IF($A59&gt;$C$3,"",LARGE(DEBIT_15HARIAN!$O$7:$O$31,$A59))</f>
        <v/>
      </c>
      <c r="Q59" s="13">
        <f>IF($A59&gt;$C$3,"",LARGE(DEBIT_15HARIAN!$P$7:$P$31,$A59))</f>
        <v/>
      </c>
      <c r="R59" s="13">
        <f>IF($A59&gt;$C$3,"",LARGE(DEBIT_15HARIAN!$Q$7:$Q$31,$A59))</f>
        <v/>
      </c>
      <c r="S59" s="13">
        <f>IF($A59&gt;$C$3,"",LARGE(DEBIT_15HARIAN!$R$7:$R$31,$A59))</f>
        <v/>
      </c>
      <c r="T59" s="13">
        <f>IF($A59&gt;$C$3,"",LARGE(DEBIT_15HARIAN!$S$7:$S$31,$A59))</f>
        <v/>
      </c>
      <c r="U59" s="13">
        <f>IF($A59&gt;$C$3,"",LARGE(DEBIT_15HARIAN!$T$7:$T$31,$A59))</f>
        <v/>
      </c>
      <c r="V59" s="13">
        <f>IF($A59&gt;$C$3,"",LARGE(DEBIT_15HARIAN!$U$7:$U$31,$A59))</f>
        <v/>
      </c>
      <c r="W59" s="13">
        <f>IF($A59&gt;$C$3,"",LARGE(DEBIT_15HARIAN!$V$7:$V$31,$A59))</f>
        <v/>
      </c>
      <c r="X59" s="13">
        <f>IF($A59&gt;$C$3,"",LARGE(DEBIT_15HARIAN!$W$7:$W$31,$A59))</f>
        <v/>
      </c>
      <c r="Y59" s="13">
        <f>IF($A59&gt;$C$3,"",LARGE(DEBIT_15HARIAN!$X$7:$X$31,$A59))</f>
        <v/>
      </c>
      <c r="Z59" s="13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18" t="n">
        <v>2001</v>
      </c>
      <c r="B7" s="13">
        <f>IFERROR(AVERAGEIFS(DEBIT_HARIAN!$F$6:$F$9136,DEBIT_HARIAN!$B$6:$B$9136,$A7,DEBIT_HARIAN!$C$6:$C$9136,B$4,DEBIT_HARIAN!$E$6:$E$9136,B$5),"")</f>
        <v/>
      </c>
      <c r="C7" s="13">
        <f>IFERROR(AVERAGEIFS(DEBIT_HARIAN!$F$6:$F$9136,DEBIT_HARIAN!$B$6:$B$9136,$A7,DEBIT_HARIAN!$C$6:$C$9136,C$4,DEBIT_HARIAN!$E$6:$E$9136,C$5),"")</f>
        <v/>
      </c>
      <c r="D7" s="13">
        <f>IFERROR(AVERAGEIFS(DEBIT_HARIAN!$F$6:$F$9136,DEBIT_HARIAN!$B$6:$B$9136,$A7,DEBIT_HARIAN!$C$6:$C$9136,D$4,DEBIT_HARIAN!$E$6:$E$9136,D$5),"")</f>
        <v/>
      </c>
      <c r="E7" s="13">
        <f>IFERROR(AVERAGEIFS(DEBIT_HARIAN!$F$6:$F$9136,DEBIT_HARIAN!$B$6:$B$9136,$A7,DEBIT_HARIAN!$C$6:$C$9136,E$4,DEBIT_HARIAN!$E$6:$E$9136,E$5),"")</f>
        <v/>
      </c>
      <c r="F7" s="13">
        <f>IFERROR(AVERAGEIFS(DEBIT_HARIAN!$F$6:$F$9136,DEBIT_HARIAN!$B$6:$B$9136,$A7,DEBIT_HARIAN!$C$6:$C$9136,F$4,DEBIT_HARIAN!$E$6:$E$9136,F$5),"")</f>
        <v/>
      </c>
      <c r="G7" s="13">
        <f>IFERROR(AVERAGEIFS(DEBIT_HARIAN!$F$6:$F$9136,DEBIT_HARIAN!$B$6:$B$9136,$A7,DEBIT_HARIAN!$C$6:$C$9136,G$4,DEBIT_HARIAN!$E$6:$E$9136,G$5),"")</f>
        <v/>
      </c>
      <c r="H7" s="13">
        <f>IFERROR(AVERAGEIFS(DEBIT_HARIAN!$F$6:$F$9136,DEBIT_HARIAN!$B$6:$B$9136,$A7,DEBIT_HARIAN!$C$6:$C$9136,H$4,DEBIT_HARIAN!$E$6:$E$9136,H$5),"")</f>
        <v/>
      </c>
      <c r="I7" s="13">
        <f>IFERROR(AVERAGEIFS(DEBIT_HARIAN!$F$6:$F$9136,DEBIT_HARIAN!$B$6:$B$9136,$A7,DEBIT_HARIAN!$C$6:$C$9136,I$4,DEBIT_HARIAN!$E$6:$E$9136,I$5),"")</f>
        <v/>
      </c>
      <c r="J7" s="13">
        <f>IFERROR(AVERAGEIFS(DEBIT_HARIAN!$F$6:$F$9136,DEBIT_HARIAN!$B$6:$B$9136,$A7,DEBIT_HARIAN!$C$6:$C$9136,J$4,DEBIT_HARIAN!$E$6:$E$9136,J$5),"")</f>
        <v/>
      </c>
      <c r="K7" s="13">
        <f>IFERROR(AVERAGEIFS(DEBIT_HARIAN!$F$6:$F$9136,DEBIT_HARIAN!$B$6:$B$9136,$A7,DEBIT_HARIAN!$C$6:$C$9136,K$4,DEBIT_HARIAN!$E$6:$E$9136,K$5),"")</f>
        <v/>
      </c>
      <c r="L7" s="13">
        <f>IFERROR(AVERAGEIFS(DEBIT_HARIAN!$F$6:$F$9136,DEBIT_HARIAN!$B$6:$B$9136,$A7,DEBIT_HARIAN!$C$6:$C$9136,L$4,DEBIT_HARIAN!$E$6:$E$9136,L$5),"")</f>
        <v/>
      </c>
      <c r="M7" s="13">
        <f>IFERROR(AVERAGEIFS(DEBIT_HARIAN!$F$6:$F$9136,DEBIT_HARIAN!$B$6:$B$9136,$A7,DEBIT_HARIAN!$C$6:$C$9136,M$4,DEBIT_HARIAN!$E$6:$E$9136,M$5),"")</f>
        <v/>
      </c>
      <c r="N7" s="13">
        <f>IFERROR(AVERAGEIFS(DEBIT_HARIAN!$F$6:$F$9136,DEBIT_HARIAN!$B$6:$B$9136,$A7,DEBIT_HARIAN!$C$6:$C$9136,N$4,DEBIT_HARIAN!$E$6:$E$9136,N$5),"")</f>
        <v/>
      </c>
      <c r="O7" s="13">
        <f>IFERROR(AVERAGEIFS(DEBIT_HARIAN!$F$6:$F$9136,DEBIT_HARIAN!$B$6:$B$9136,$A7,DEBIT_HARIAN!$C$6:$C$9136,O$4,DEBIT_HARIAN!$E$6:$E$9136,O$5),"")</f>
        <v/>
      </c>
      <c r="P7" s="13">
        <f>IFERROR(AVERAGEIFS(DEBIT_HARIAN!$F$6:$F$9136,DEBIT_HARIAN!$B$6:$B$9136,$A7,DEBIT_HARIAN!$C$6:$C$9136,P$4,DEBIT_HARIAN!$E$6:$E$9136,P$5),"")</f>
        <v/>
      </c>
      <c r="Q7" s="13">
        <f>IFERROR(AVERAGEIFS(DEBIT_HARIAN!$F$6:$F$9136,DEBIT_HARIAN!$B$6:$B$9136,$A7,DEBIT_HARIAN!$C$6:$C$9136,Q$4,DEBIT_HARIAN!$E$6:$E$9136,Q$5),"")</f>
        <v/>
      </c>
      <c r="R7" s="13">
        <f>IFERROR(AVERAGEIFS(DEBIT_HARIAN!$F$6:$F$9136,DEBIT_HARIAN!$B$6:$B$9136,$A7,DEBIT_HARIAN!$C$6:$C$9136,R$4,DEBIT_HARIAN!$E$6:$E$9136,R$5),"")</f>
        <v/>
      </c>
      <c r="S7" s="13">
        <f>IFERROR(AVERAGEIFS(DEBIT_HARIAN!$F$6:$F$9136,DEBIT_HARIAN!$B$6:$B$9136,$A7,DEBIT_HARIAN!$C$6:$C$9136,S$4,DEBIT_HARIAN!$E$6:$E$9136,S$5),"")</f>
        <v/>
      </c>
      <c r="T7" s="13">
        <f>IFERROR(AVERAGEIFS(DEBIT_HARIAN!$F$6:$F$9136,DEBIT_HARIAN!$B$6:$B$9136,$A7,DEBIT_HARIAN!$C$6:$C$9136,T$4,DEBIT_HARIAN!$E$6:$E$9136,T$5),"")</f>
        <v/>
      </c>
      <c r="U7" s="13">
        <f>IFERROR(AVERAGEIFS(DEBIT_HARIAN!$F$6:$F$9136,DEBIT_HARIAN!$B$6:$B$9136,$A7,DEBIT_HARIAN!$C$6:$C$9136,U$4,DEBIT_HARIAN!$E$6:$E$9136,U$5),"")</f>
        <v/>
      </c>
      <c r="V7" s="13">
        <f>IFERROR(AVERAGEIFS(DEBIT_HARIAN!$F$6:$F$9136,DEBIT_HARIAN!$B$6:$B$9136,$A7,DEBIT_HARIAN!$C$6:$C$9136,V$4,DEBIT_HARIAN!$E$6:$E$9136,V$5),"")</f>
        <v/>
      </c>
      <c r="W7" s="13">
        <f>IFERROR(AVERAGEIFS(DEBIT_HARIAN!$F$6:$F$9136,DEBIT_HARIAN!$B$6:$B$9136,$A7,DEBIT_HARIAN!$C$6:$C$9136,W$4,DEBIT_HARIAN!$E$6:$E$9136,W$5),"")</f>
        <v/>
      </c>
      <c r="X7" s="13">
        <f>IFERROR(AVERAGEIFS(DEBIT_HARIAN!$F$6:$F$9136,DEBIT_HARIAN!$B$6:$B$9136,$A7,DEBIT_HARIAN!$C$6:$C$9136,X$4,DEBIT_HARIAN!$E$6:$E$9136,X$5),"")</f>
        <v/>
      </c>
      <c r="Y7" s="13">
        <f>IFERROR(AVERAGEIFS(DEBIT_HARIAN!$F$6:$F$9136,DEBIT_HARIAN!$B$6:$B$9136,$A7,DEBIT_HARIAN!$C$6:$C$9136,Y$4,DEBIT_HARIAN!$E$6:$E$9136,Y$5),"")</f>
        <v/>
      </c>
      <c r="Z7" s="10">
        <f>IFERROR(AVERAGEIFS(DEBIT_HARIAN!$F$6:$F$9136,DEBIT_HARIAN!$B$6:$B$9136,$A7),"")</f>
        <v/>
      </c>
    </row>
    <row r="8">
      <c r="A8" s="18" t="n">
        <v>2002</v>
      </c>
      <c r="B8" s="13">
        <f>IFERROR(AVERAGEIFS(DEBIT_HARIAN!$F$6:$F$9136,DEBIT_HARIAN!$B$6:$B$9136,$A8,DEBIT_HARIAN!$C$6:$C$9136,B$4,DEBIT_HARIAN!$E$6:$E$9136,B$5),"")</f>
        <v/>
      </c>
      <c r="C8" s="13">
        <f>IFERROR(AVERAGEIFS(DEBIT_HARIAN!$F$6:$F$9136,DEBIT_HARIAN!$B$6:$B$9136,$A8,DEBIT_HARIAN!$C$6:$C$9136,C$4,DEBIT_HARIAN!$E$6:$E$9136,C$5),"")</f>
        <v/>
      </c>
      <c r="D8" s="13">
        <f>IFERROR(AVERAGEIFS(DEBIT_HARIAN!$F$6:$F$9136,DEBIT_HARIAN!$B$6:$B$9136,$A8,DEBIT_HARIAN!$C$6:$C$9136,D$4,DEBIT_HARIAN!$E$6:$E$9136,D$5),"")</f>
        <v/>
      </c>
      <c r="E8" s="13">
        <f>IFERROR(AVERAGEIFS(DEBIT_HARIAN!$F$6:$F$9136,DEBIT_HARIAN!$B$6:$B$9136,$A8,DEBIT_HARIAN!$C$6:$C$9136,E$4,DEBIT_HARIAN!$E$6:$E$9136,E$5),"")</f>
        <v/>
      </c>
      <c r="F8" s="13">
        <f>IFERROR(AVERAGEIFS(DEBIT_HARIAN!$F$6:$F$9136,DEBIT_HARIAN!$B$6:$B$9136,$A8,DEBIT_HARIAN!$C$6:$C$9136,F$4,DEBIT_HARIAN!$E$6:$E$9136,F$5),"")</f>
        <v/>
      </c>
      <c r="G8" s="13">
        <f>IFERROR(AVERAGEIFS(DEBIT_HARIAN!$F$6:$F$9136,DEBIT_HARIAN!$B$6:$B$9136,$A8,DEBIT_HARIAN!$C$6:$C$9136,G$4,DEBIT_HARIAN!$E$6:$E$9136,G$5),"")</f>
        <v/>
      </c>
      <c r="H8" s="13">
        <f>IFERROR(AVERAGEIFS(DEBIT_HARIAN!$F$6:$F$9136,DEBIT_HARIAN!$B$6:$B$9136,$A8,DEBIT_HARIAN!$C$6:$C$9136,H$4,DEBIT_HARIAN!$E$6:$E$9136,H$5),"")</f>
        <v/>
      </c>
      <c r="I8" s="13">
        <f>IFERROR(AVERAGEIFS(DEBIT_HARIAN!$F$6:$F$9136,DEBIT_HARIAN!$B$6:$B$9136,$A8,DEBIT_HARIAN!$C$6:$C$9136,I$4,DEBIT_HARIAN!$E$6:$E$9136,I$5),"")</f>
        <v/>
      </c>
      <c r="J8" s="13">
        <f>IFERROR(AVERAGEIFS(DEBIT_HARIAN!$F$6:$F$9136,DEBIT_HARIAN!$B$6:$B$9136,$A8,DEBIT_HARIAN!$C$6:$C$9136,J$4,DEBIT_HARIAN!$E$6:$E$9136,J$5),"")</f>
        <v/>
      </c>
      <c r="K8" s="13">
        <f>IFERROR(AVERAGEIFS(DEBIT_HARIAN!$F$6:$F$9136,DEBIT_HARIAN!$B$6:$B$9136,$A8,DEBIT_HARIAN!$C$6:$C$9136,K$4,DEBIT_HARIAN!$E$6:$E$9136,K$5),"")</f>
        <v/>
      </c>
      <c r="L8" s="13">
        <f>IFERROR(AVERAGEIFS(DEBIT_HARIAN!$F$6:$F$9136,DEBIT_HARIAN!$B$6:$B$9136,$A8,DEBIT_HARIAN!$C$6:$C$9136,L$4,DEBIT_HARIAN!$E$6:$E$9136,L$5),"")</f>
        <v/>
      </c>
      <c r="M8" s="13">
        <f>IFERROR(AVERAGEIFS(DEBIT_HARIAN!$F$6:$F$9136,DEBIT_HARIAN!$B$6:$B$9136,$A8,DEBIT_HARIAN!$C$6:$C$9136,M$4,DEBIT_HARIAN!$E$6:$E$9136,M$5),"")</f>
        <v/>
      </c>
      <c r="N8" s="13">
        <f>IFERROR(AVERAGEIFS(DEBIT_HARIAN!$F$6:$F$9136,DEBIT_HARIAN!$B$6:$B$9136,$A8,DEBIT_HARIAN!$C$6:$C$9136,N$4,DEBIT_HARIAN!$E$6:$E$9136,N$5),"")</f>
        <v/>
      </c>
      <c r="O8" s="13">
        <f>IFERROR(AVERAGEIFS(DEBIT_HARIAN!$F$6:$F$9136,DEBIT_HARIAN!$B$6:$B$9136,$A8,DEBIT_HARIAN!$C$6:$C$9136,O$4,DEBIT_HARIAN!$E$6:$E$9136,O$5),"")</f>
        <v/>
      </c>
      <c r="P8" s="13">
        <f>IFERROR(AVERAGEIFS(DEBIT_HARIAN!$F$6:$F$9136,DEBIT_HARIAN!$B$6:$B$9136,$A8,DEBIT_HARIAN!$C$6:$C$9136,P$4,DEBIT_HARIAN!$E$6:$E$9136,P$5),"")</f>
        <v/>
      </c>
      <c r="Q8" s="13">
        <f>IFERROR(AVERAGEIFS(DEBIT_HARIAN!$F$6:$F$9136,DEBIT_HARIAN!$B$6:$B$9136,$A8,DEBIT_HARIAN!$C$6:$C$9136,Q$4,DEBIT_HARIAN!$E$6:$E$9136,Q$5),"")</f>
        <v/>
      </c>
      <c r="R8" s="13">
        <f>IFERROR(AVERAGEIFS(DEBIT_HARIAN!$F$6:$F$9136,DEBIT_HARIAN!$B$6:$B$9136,$A8,DEBIT_HARIAN!$C$6:$C$9136,R$4,DEBIT_HARIAN!$E$6:$E$9136,R$5),"")</f>
        <v/>
      </c>
      <c r="S8" s="13">
        <f>IFERROR(AVERAGEIFS(DEBIT_HARIAN!$F$6:$F$9136,DEBIT_HARIAN!$B$6:$B$9136,$A8,DEBIT_HARIAN!$C$6:$C$9136,S$4,DEBIT_HARIAN!$E$6:$E$9136,S$5),"")</f>
        <v/>
      </c>
      <c r="T8" s="13">
        <f>IFERROR(AVERAGEIFS(DEBIT_HARIAN!$F$6:$F$9136,DEBIT_HARIAN!$B$6:$B$9136,$A8,DEBIT_HARIAN!$C$6:$C$9136,T$4,DEBIT_HARIAN!$E$6:$E$9136,T$5),"")</f>
        <v/>
      </c>
      <c r="U8" s="13">
        <f>IFERROR(AVERAGEIFS(DEBIT_HARIAN!$F$6:$F$9136,DEBIT_HARIAN!$B$6:$B$9136,$A8,DEBIT_HARIAN!$C$6:$C$9136,U$4,DEBIT_HARIAN!$E$6:$E$9136,U$5),"")</f>
        <v/>
      </c>
      <c r="V8" s="13">
        <f>IFERROR(AVERAGEIFS(DEBIT_HARIAN!$F$6:$F$9136,DEBIT_HARIAN!$B$6:$B$9136,$A8,DEBIT_HARIAN!$C$6:$C$9136,V$4,DEBIT_HARIAN!$E$6:$E$9136,V$5),"")</f>
        <v/>
      </c>
      <c r="W8" s="13">
        <f>IFERROR(AVERAGEIFS(DEBIT_HARIAN!$F$6:$F$9136,DEBIT_HARIAN!$B$6:$B$9136,$A8,DEBIT_HARIAN!$C$6:$C$9136,W$4,DEBIT_HARIAN!$E$6:$E$9136,W$5),"")</f>
        <v/>
      </c>
      <c r="X8" s="13">
        <f>IFERROR(AVERAGEIFS(DEBIT_HARIAN!$F$6:$F$9136,DEBIT_HARIAN!$B$6:$B$9136,$A8,DEBIT_HARIAN!$C$6:$C$9136,X$4,DEBIT_HARIAN!$E$6:$E$9136,X$5),"")</f>
        <v/>
      </c>
      <c r="Y8" s="13">
        <f>IFERROR(AVERAGEIFS(DEBIT_HARIAN!$F$6:$F$9136,DEBIT_HARIAN!$B$6:$B$9136,$A8,DEBIT_HARIAN!$C$6:$C$9136,Y$4,DEBIT_HARIAN!$E$6:$E$9136,Y$5),"")</f>
        <v/>
      </c>
      <c r="Z8" s="10">
        <f>IFERROR(AVERAGEIFS(DEBIT_HARIAN!$F$6:$F$9136,DEBIT_HARIAN!$B$6:$B$9136,$A8),"")</f>
        <v/>
      </c>
    </row>
    <row r="9">
      <c r="A9" s="18" t="n">
        <v>2003</v>
      </c>
      <c r="B9" s="13">
        <f>IFERROR(AVERAGEIFS(DEBIT_HARIAN!$F$6:$F$9136,DEBIT_HARIAN!$B$6:$B$9136,$A9,DEBIT_HARIAN!$C$6:$C$9136,B$4,DEBIT_HARIAN!$E$6:$E$9136,B$5),"")</f>
        <v/>
      </c>
      <c r="C9" s="13">
        <f>IFERROR(AVERAGEIFS(DEBIT_HARIAN!$F$6:$F$9136,DEBIT_HARIAN!$B$6:$B$9136,$A9,DEBIT_HARIAN!$C$6:$C$9136,C$4,DEBIT_HARIAN!$E$6:$E$9136,C$5),"")</f>
        <v/>
      </c>
      <c r="D9" s="13">
        <f>IFERROR(AVERAGEIFS(DEBIT_HARIAN!$F$6:$F$9136,DEBIT_HARIAN!$B$6:$B$9136,$A9,DEBIT_HARIAN!$C$6:$C$9136,D$4,DEBIT_HARIAN!$E$6:$E$9136,D$5),"")</f>
        <v/>
      </c>
      <c r="E9" s="13">
        <f>IFERROR(AVERAGEIFS(DEBIT_HARIAN!$F$6:$F$9136,DEBIT_HARIAN!$B$6:$B$9136,$A9,DEBIT_HARIAN!$C$6:$C$9136,E$4,DEBIT_HARIAN!$E$6:$E$9136,E$5),"")</f>
        <v/>
      </c>
      <c r="F9" s="13">
        <f>IFERROR(AVERAGEIFS(DEBIT_HARIAN!$F$6:$F$9136,DEBIT_HARIAN!$B$6:$B$9136,$A9,DEBIT_HARIAN!$C$6:$C$9136,F$4,DEBIT_HARIAN!$E$6:$E$9136,F$5),"")</f>
        <v/>
      </c>
      <c r="G9" s="13">
        <f>IFERROR(AVERAGEIFS(DEBIT_HARIAN!$F$6:$F$9136,DEBIT_HARIAN!$B$6:$B$9136,$A9,DEBIT_HARIAN!$C$6:$C$9136,G$4,DEBIT_HARIAN!$E$6:$E$9136,G$5),"")</f>
        <v/>
      </c>
      <c r="H9" s="13">
        <f>IFERROR(AVERAGEIFS(DEBIT_HARIAN!$F$6:$F$9136,DEBIT_HARIAN!$B$6:$B$9136,$A9,DEBIT_HARIAN!$C$6:$C$9136,H$4,DEBIT_HARIAN!$E$6:$E$9136,H$5),"")</f>
        <v/>
      </c>
      <c r="I9" s="13">
        <f>IFERROR(AVERAGEIFS(DEBIT_HARIAN!$F$6:$F$9136,DEBIT_HARIAN!$B$6:$B$9136,$A9,DEBIT_HARIAN!$C$6:$C$9136,I$4,DEBIT_HARIAN!$E$6:$E$9136,I$5),"")</f>
        <v/>
      </c>
      <c r="J9" s="13">
        <f>IFERROR(AVERAGEIFS(DEBIT_HARIAN!$F$6:$F$9136,DEBIT_HARIAN!$B$6:$B$9136,$A9,DEBIT_HARIAN!$C$6:$C$9136,J$4,DEBIT_HARIAN!$E$6:$E$9136,J$5),"")</f>
        <v/>
      </c>
      <c r="K9" s="13">
        <f>IFERROR(AVERAGEIFS(DEBIT_HARIAN!$F$6:$F$9136,DEBIT_HARIAN!$B$6:$B$9136,$A9,DEBIT_HARIAN!$C$6:$C$9136,K$4,DEBIT_HARIAN!$E$6:$E$9136,K$5),"")</f>
        <v/>
      </c>
      <c r="L9" s="13">
        <f>IFERROR(AVERAGEIFS(DEBIT_HARIAN!$F$6:$F$9136,DEBIT_HARIAN!$B$6:$B$9136,$A9,DEBIT_HARIAN!$C$6:$C$9136,L$4,DEBIT_HARIAN!$E$6:$E$9136,L$5),"")</f>
        <v/>
      </c>
      <c r="M9" s="13">
        <f>IFERROR(AVERAGEIFS(DEBIT_HARIAN!$F$6:$F$9136,DEBIT_HARIAN!$B$6:$B$9136,$A9,DEBIT_HARIAN!$C$6:$C$9136,M$4,DEBIT_HARIAN!$E$6:$E$9136,M$5),"")</f>
        <v/>
      </c>
      <c r="N9" s="13">
        <f>IFERROR(AVERAGEIFS(DEBIT_HARIAN!$F$6:$F$9136,DEBIT_HARIAN!$B$6:$B$9136,$A9,DEBIT_HARIAN!$C$6:$C$9136,N$4,DEBIT_HARIAN!$E$6:$E$9136,N$5),"")</f>
        <v/>
      </c>
      <c r="O9" s="13">
        <f>IFERROR(AVERAGEIFS(DEBIT_HARIAN!$F$6:$F$9136,DEBIT_HARIAN!$B$6:$B$9136,$A9,DEBIT_HARIAN!$C$6:$C$9136,O$4,DEBIT_HARIAN!$E$6:$E$9136,O$5),"")</f>
        <v/>
      </c>
      <c r="P9" s="13">
        <f>IFERROR(AVERAGEIFS(DEBIT_HARIAN!$F$6:$F$9136,DEBIT_HARIAN!$B$6:$B$9136,$A9,DEBIT_HARIAN!$C$6:$C$9136,P$4,DEBIT_HARIAN!$E$6:$E$9136,P$5),"")</f>
        <v/>
      </c>
      <c r="Q9" s="13">
        <f>IFERROR(AVERAGEIFS(DEBIT_HARIAN!$F$6:$F$9136,DEBIT_HARIAN!$B$6:$B$9136,$A9,DEBIT_HARIAN!$C$6:$C$9136,Q$4,DEBIT_HARIAN!$E$6:$E$9136,Q$5),"")</f>
        <v/>
      </c>
      <c r="R9" s="13">
        <f>IFERROR(AVERAGEIFS(DEBIT_HARIAN!$F$6:$F$9136,DEBIT_HARIAN!$B$6:$B$9136,$A9,DEBIT_HARIAN!$C$6:$C$9136,R$4,DEBIT_HARIAN!$E$6:$E$9136,R$5),"")</f>
        <v/>
      </c>
      <c r="S9" s="13">
        <f>IFERROR(AVERAGEIFS(DEBIT_HARIAN!$F$6:$F$9136,DEBIT_HARIAN!$B$6:$B$9136,$A9,DEBIT_HARIAN!$C$6:$C$9136,S$4,DEBIT_HARIAN!$E$6:$E$9136,S$5),"")</f>
        <v/>
      </c>
      <c r="T9" s="13">
        <f>IFERROR(AVERAGEIFS(DEBIT_HARIAN!$F$6:$F$9136,DEBIT_HARIAN!$B$6:$B$9136,$A9,DEBIT_HARIAN!$C$6:$C$9136,T$4,DEBIT_HARIAN!$E$6:$E$9136,T$5),"")</f>
        <v/>
      </c>
      <c r="U9" s="13">
        <f>IFERROR(AVERAGEIFS(DEBIT_HARIAN!$F$6:$F$9136,DEBIT_HARIAN!$B$6:$B$9136,$A9,DEBIT_HARIAN!$C$6:$C$9136,U$4,DEBIT_HARIAN!$E$6:$E$9136,U$5),"")</f>
        <v/>
      </c>
      <c r="V9" s="13">
        <f>IFERROR(AVERAGEIFS(DEBIT_HARIAN!$F$6:$F$9136,DEBIT_HARIAN!$B$6:$B$9136,$A9,DEBIT_HARIAN!$C$6:$C$9136,V$4,DEBIT_HARIAN!$E$6:$E$9136,V$5),"")</f>
        <v/>
      </c>
      <c r="W9" s="13">
        <f>IFERROR(AVERAGEIFS(DEBIT_HARIAN!$F$6:$F$9136,DEBIT_HARIAN!$B$6:$B$9136,$A9,DEBIT_HARIAN!$C$6:$C$9136,W$4,DEBIT_HARIAN!$E$6:$E$9136,W$5),"")</f>
        <v/>
      </c>
      <c r="X9" s="13">
        <f>IFERROR(AVERAGEIFS(DEBIT_HARIAN!$F$6:$F$9136,DEBIT_HARIAN!$B$6:$B$9136,$A9,DEBIT_HARIAN!$C$6:$C$9136,X$4,DEBIT_HARIAN!$E$6:$E$9136,X$5),"")</f>
        <v/>
      </c>
      <c r="Y9" s="13">
        <f>IFERROR(AVERAGEIFS(DEBIT_HARIAN!$F$6:$F$9136,DEBIT_HARIAN!$B$6:$B$9136,$A9,DEBIT_HARIAN!$C$6:$C$9136,Y$4,DEBIT_HARIAN!$E$6:$E$9136,Y$5),"")</f>
        <v/>
      </c>
      <c r="Z9" s="10">
        <f>IFERROR(AVERAGEIFS(DEBIT_HARIAN!$F$6:$F$9136,DEBIT_HARIAN!$B$6:$B$9136,$A9),"")</f>
        <v/>
      </c>
    </row>
    <row r="10">
      <c r="A10" s="18" t="n">
        <v>2004</v>
      </c>
      <c r="B10" s="13">
        <f>IFERROR(AVERAGEIFS(DEBIT_HARIAN!$F$6:$F$9136,DEBIT_HARIAN!$B$6:$B$9136,$A10,DEBIT_HARIAN!$C$6:$C$9136,B$4,DEBIT_HARIAN!$E$6:$E$9136,B$5),"")</f>
        <v/>
      </c>
      <c r="C10" s="13">
        <f>IFERROR(AVERAGEIFS(DEBIT_HARIAN!$F$6:$F$9136,DEBIT_HARIAN!$B$6:$B$9136,$A10,DEBIT_HARIAN!$C$6:$C$9136,C$4,DEBIT_HARIAN!$E$6:$E$9136,C$5),"")</f>
        <v/>
      </c>
      <c r="D10" s="13">
        <f>IFERROR(AVERAGEIFS(DEBIT_HARIAN!$F$6:$F$9136,DEBIT_HARIAN!$B$6:$B$9136,$A10,DEBIT_HARIAN!$C$6:$C$9136,D$4,DEBIT_HARIAN!$E$6:$E$9136,D$5),"")</f>
        <v/>
      </c>
      <c r="E10" s="13">
        <f>IFERROR(AVERAGEIFS(DEBIT_HARIAN!$F$6:$F$9136,DEBIT_HARIAN!$B$6:$B$9136,$A10,DEBIT_HARIAN!$C$6:$C$9136,E$4,DEBIT_HARIAN!$E$6:$E$9136,E$5),"")</f>
        <v/>
      </c>
      <c r="F10" s="13">
        <f>IFERROR(AVERAGEIFS(DEBIT_HARIAN!$F$6:$F$9136,DEBIT_HARIAN!$B$6:$B$9136,$A10,DEBIT_HARIAN!$C$6:$C$9136,F$4,DEBIT_HARIAN!$E$6:$E$9136,F$5),"")</f>
        <v/>
      </c>
      <c r="G10" s="13">
        <f>IFERROR(AVERAGEIFS(DEBIT_HARIAN!$F$6:$F$9136,DEBIT_HARIAN!$B$6:$B$9136,$A10,DEBIT_HARIAN!$C$6:$C$9136,G$4,DEBIT_HARIAN!$E$6:$E$9136,G$5),"")</f>
        <v/>
      </c>
      <c r="H10" s="13">
        <f>IFERROR(AVERAGEIFS(DEBIT_HARIAN!$F$6:$F$9136,DEBIT_HARIAN!$B$6:$B$9136,$A10,DEBIT_HARIAN!$C$6:$C$9136,H$4,DEBIT_HARIAN!$E$6:$E$9136,H$5),"")</f>
        <v/>
      </c>
      <c r="I10" s="13">
        <f>IFERROR(AVERAGEIFS(DEBIT_HARIAN!$F$6:$F$9136,DEBIT_HARIAN!$B$6:$B$9136,$A10,DEBIT_HARIAN!$C$6:$C$9136,I$4,DEBIT_HARIAN!$E$6:$E$9136,I$5),"")</f>
        <v/>
      </c>
      <c r="J10" s="13">
        <f>IFERROR(AVERAGEIFS(DEBIT_HARIAN!$F$6:$F$9136,DEBIT_HARIAN!$B$6:$B$9136,$A10,DEBIT_HARIAN!$C$6:$C$9136,J$4,DEBIT_HARIAN!$E$6:$E$9136,J$5),"")</f>
        <v/>
      </c>
      <c r="K10" s="13">
        <f>IFERROR(AVERAGEIFS(DEBIT_HARIAN!$F$6:$F$9136,DEBIT_HARIAN!$B$6:$B$9136,$A10,DEBIT_HARIAN!$C$6:$C$9136,K$4,DEBIT_HARIAN!$E$6:$E$9136,K$5),"")</f>
        <v/>
      </c>
      <c r="L10" s="13">
        <f>IFERROR(AVERAGEIFS(DEBIT_HARIAN!$F$6:$F$9136,DEBIT_HARIAN!$B$6:$B$9136,$A10,DEBIT_HARIAN!$C$6:$C$9136,L$4,DEBIT_HARIAN!$E$6:$E$9136,L$5),"")</f>
        <v/>
      </c>
      <c r="M10" s="13">
        <f>IFERROR(AVERAGEIFS(DEBIT_HARIAN!$F$6:$F$9136,DEBIT_HARIAN!$B$6:$B$9136,$A10,DEBIT_HARIAN!$C$6:$C$9136,M$4,DEBIT_HARIAN!$E$6:$E$9136,M$5),"")</f>
        <v/>
      </c>
      <c r="N10" s="13">
        <f>IFERROR(AVERAGEIFS(DEBIT_HARIAN!$F$6:$F$9136,DEBIT_HARIAN!$B$6:$B$9136,$A10,DEBIT_HARIAN!$C$6:$C$9136,N$4,DEBIT_HARIAN!$E$6:$E$9136,N$5),"")</f>
        <v/>
      </c>
      <c r="O10" s="13">
        <f>IFERROR(AVERAGEIFS(DEBIT_HARIAN!$F$6:$F$9136,DEBIT_HARIAN!$B$6:$B$9136,$A10,DEBIT_HARIAN!$C$6:$C$9136,O$4,DEBIT_HARIAN!$E$6:$E$9136,O$5),"")</f>
        <v/>
      </c>
      <c r="P10" s="13">
        <f>IFERROR(AVERAGEIFS(DEBIT_HARIAN!$F$6:$F$9136,DEBIT_HARIAN!$B$6:$B$9136,$A10,DEBIT_HARIAN!$C$6:$C$9136,P$4,DEBIT_HARIAN!$E$6:$E$9136,P$5),"")</f>
        <v/>
      </c>
      <c r="Q10" s="13">
        <f>IFERROR(AVERAGEIFS(DEBIT_HARIAN!$F$6:$F$9136,DEBIT_HARIAN!$B$6:$B$9136,$A10,DEBIT_HARIAN!$C$6:$C$9136,Q$4,DEBIT_HARIAN!$E$6:$E$9136,Q$5),"")</f>
        <v/>
      </c>
      <c r="R10" s="13">
        <f>IFERROR(AVERAGEIFS(DEBIT_HARIAN!$F$6:$F$9136,DEBIT_HARIAN!$B$6:$B$9136,$A10,DEBIT_HARIAN!$C$6:$C$9136,R$4,DEBIT_HARIAN!$E$6:$E$9136,R$5),"")</f>
        <v/>
      </c>
      <c r="S10" s="13">
        <f>IFERROR(AVERAGEIFS(DEBIT_HARIAN!$F$6:$F$9136,DEBIT_HARIAN!$B$6:$B$9136,$A10,DEBIT_HARIAN!$C$6:$C$9136,S$4,DEBIT_HARIAN!$E$6:$E$9136,S$5),"")</f>
        <v/>
      </c>
      <c r="T10" s="13">
        <f>IFERROR(AVERAGEIFS(DEBIT_HARIAN!$F$6:$F$9136,DEBIT_HARIAN!$B$6:$B$9136,$A10,DEBIT_HARIAN!$C$6:$C$9136,T$4,DEBIT_HARIAN!$E$6:$E$9136,T$5),"")</f>
        <v/>
      </c>
      <c r="U10" s="13">
        <f>IFERROR(AVERAGEIFS(DEBIT_HARIAN!$F$6:$F$9136,DEBIT_HARIAN!$B$6:$B$9136,$A10,DEBIT_HARIAN!$C$6:$C$9136,U$4,DEBIT_HARIAN!$E$6:$E$9136,U$5),"")</f>
        <v/>
      </c>
      <c r="V10" s="13">
        <f>IFERROR(AVERAGEIFS(DEBIT_HARIAN!$F$6:$F$9136,DEBIT_HARIAN!$B$6:$B$9136,$A10,DEBIT_HARIAN!$C$6:$C$9136,V$4,DEBIT_HARIAN!$E$6:$E$9136,V$5),"")</f>
        <v/>
      </c>
      <c r="W10" s="13">
        <f>IFERROR(AVERAGEIFS(DEBIT_HARIAN!$F$6:$F$9136,DEBIT_HARIAN!$B$6:$B$9136,$A10,DEBIT_HARIAN!$C$6:$C$9136,W$4,DEBIT_HARIAN!$E$6:$E$9136,W$5),"")</f>
        <v/>
      </c>
      <c r="X10" s="13">
        <f>IFERROR(AVERAGEIFS(DEBIT_HARIAN!$F$6:$F$9136,DEBIT_HARIAN!$B$6:$B$9136,$A10,DEBIT_HARIAN!$C$6:$C$9136,X$4,DEBIT_HARIAN!$E$6:$E$9136,X$5),"")</f>
        <v/>
      </c>
      <c r="Y10" s="13">
        <f>IFERROR(AVERAGEIFS(DEBIT_HARIAN!$F$6:$F$9136,DEBIT_HARIAN!$B$6:$B$9136,$A10,DEBIT_HARIAN!$C$6:$C$9136,Y$4,DEBIT_HARIAN!$E$6:$E$9136,Y$5),"")</f>
        <v/>
      </c>
      <c r="Z10" s="10">
        <f>IFERROR(AVERAGEIFS(DEBIT_HARIAN!$F$6:$F$9136,DEBIT_HARIAN!$B$6:$B$9136,$A10),"")</f>
        <v/>
      </c>
    </row>
    <row r="11">
      <c r="A11" s="18" t="n">
        <v>2005</v>
      </c>
      <c r="B11" s="13">
        <f>IFERROR(AVERAGEIFS(DEBIT_HARIAN!$F$6:$F$9136,DEBIT_HARIAN!$B$6:$B$9136,$A11,DEBIT_HARIAN!$C$6:$C$9136,B$4,DEBIT_HARIAN!$E$6:$E$9136,B$5),"")</f>
        <v/>
      </c>
      <c r="C11" s="13">
        <f>IFERROR(AVERAGEIFS(DEBIT_HARIAN!$F$6:$F$9136,DEBIT_HARIAN!$B$6:$B$9136,$A11,DEBIT_HARIAN!$C$6:$C$9136,C$4,DEBIT_HARIAN!$E$6:$E$9136,C$5),"")</f>
        <v/>
      </c>
      <c r="D11" s="13">
        <f>IFERROR(AVERAGEIFS(DEBIT_HARIAN!$F$6:$F$9136,DEBIT_HARIAN!$B$6:$B$9136,$A11,DEBIT_HARIAN!$C$6:$C$9136,D$4,DEBIT_HARIAN!$E$6:$E$9136,D$5),"")</f>
        <v/>
      </c>
      <c r="E11" s="13">
        <f>IFERROR(AVERAGEIFS(DEBIT_HARIAN!$F$6:$F$9136,DEBIT_HARIAN!$B$6:$B$9136,$A11,DEBIT_HARIAN!$C$6:$C$9136,E$4,DEBIT_HARIAN!$E$6:$E$9136,E$5),"")</f>
        <v/>
      </c>
      <c r="F11" s="13">
        <f>IFERROR(AVERAGEIFS(DEBIT_HARIAN!$F$6:$F$9136,DEBIT_HARIAN!$B$6:$B$9136,$A11,DEBIT_HARIAN!$C$6:$C$9136,F$4,DEBIT_HARIAN!$E$6:$E$9136,F$5),"")</f>
        <v/>
      </c>
      <c r="G11" s="13">
        <f>IFERROR(AVERAGEIFS(DEBIT_HARIAN!$F$6:$F$9136,DEBIT_HARIAN!$B$6:$B$9136,$A11,DEBIT_HARIAN!$C$6:$C$9136,G$4,DEBIT_HARIAN!$E$6:$E$9136,G$5),"")</f>
        <v/>
      </c>
      <c r="H11" s="13">
        <f>IFERROR(AVERAGEIFS(DEBIT_HARIAN!$F$6:$F$9136,DEBIT_HARIAN!$B$6:$B$9136,$A11,DEBIT_HARIAN!$C$6:$C$9136,H$4,DEBIT_HARIAN!$E$6:$E$9136,H$5),"")</f>
        <v/>
      </c>
      <c r="I11" s="13">
        <f>IFERROR(AVERAGEIFS(DEBIT_HARIAN!$F$6:$F$9136,DEBIT_HARIAN!$B$6:$B$9136,$A11,DEBIT_HARIAN!$C$6:$C$9136,I$4,DEBIT_HARIAN!$E$6:$E$9136,I$5),"")</f>
        <v/>
      </c>
      <c r="J11" s="13">
        <f>IFERROR(AVERAGEIFS(DEBIT_HARIAN!$F$6:$F$9136,DEBIT_HARIAN!$B$6:$B$9136,$A11,DEBIT_HARIAN!$C$6:$C$9136,J$4,DEBIT_HARIAN!$E$6:$E$9136,J$5),"")</f>
        <v/>
      </c>
      <c r="K11" s="13">
        <f>IFERROR(AVERAGEIFS(DEBIT_HARIAN!$F$6:$F$9136,DEBIT_HARIAN!$B$6:$B$9136,$A11,DEBIT_HARIAN!$C$6:$C$9136,K$4,DEBIT_HARIAN!$E$6:$E$9136,K$5),"")</f>
        <v/>
      </c>
      <c r="L11" s="13">
        <f>IFERROR(AVERAGEIFS(DEBIT_HARIAN!$F$6:$F$9136,DEBIT_HARIAN!$B$6:$B$9136,$A11,DEBIT_HARIAN!$C$6:$C$9136,L$4,DEBIT_HARIAN!$E$6:$E$9136,L$5),"")</f>
        <v/>
      </c>
      <c r="M11" s="13">
        <f>IFERROR(AVERAGEIFS(DEBIT_HARIAN!$F$6:$F$9136,DEBIT_HARIAN!$B$6:$B$9136,$A11,DEBIT_HARIAN!$C$6:$C$9136,M$4,DEBIT_HARIAN!$E$6:$E$9136,M$5),"")</f>
        <v/>
      </c>
      <c r="N11" s="13">
        <f>IFERROR(AVERAGEIFS(DEBIT_HARIAN!$F$6:$F$9136,DEBIT_HARIAN!$B$6:$B$9136,$A11,DEBIT_HARIAN!$C$6:$C$9136,N$4,DEBIT_HARIAN!$E$6:$E$9136,N$5),"")</f>
        <v/>
      </c>
      <c r="O11" s="13">
        <f>IFERROR(AVERAGEIFS(DEBIT_HARIAN!$F$6:$F$9136,DEBIT_HARIAN!$B$6:$B$9136,$A11,DEBIT_HARIAN!$C$6:$C$9136,O$4,DEBIT_HARIAN!$E$6:$E$9136,O$5),"")</f>
        <v/>
      </c>
      <c r="P11" s="13">
        <f>IFERROR(AVERAGEIFS(DEBIT_HARIAN!$F$6:$F$9136,DEBIT_HARIAN!$B$6:$B$9136,$A11,DEBIT_HARIAN!$C$6:$C$9136,P$4,DEBIT_HARIAN!$E$6:$E$9136,P$5),"")</f>
        <v/>
      </c>
      <c r="Q11" s="13">
        <f>IFERROR(AVERAGEIFS(DEBIT_HARIAN!$F$6:$F$9136,DEBIT_HARIAN!$B$6:$B$9136,$A11,DEBIT_HARIAN!$C$6:$C$9136,Q$4,DEBIT_HARIAN!$E$6:$E$9136,Q$5),"")</f>
        <v/>
      </c>
      <c r="R11" s="13">
        <f>IFERROR(AVERAGEIFS(DEBIT_HARIAN!$F$6:$F$9136,DEBIT_HARIAN!$B$6:$B$9136,$A11,DEBIT_HARIAN!$C$6:$C$9136,R$4,DEBIT_HARIAN!$E$6:$E$9136,R$5),"")</f>
        <v/>
      </c>
      <c r="S11" s="13">
        <f>IFERROR(AVERAGEIFS(DEBIT_HARIAN!$F$6:$F$9136,DEBIT_HARIAN!$B$6:$B$9136,$A11,DEBIT_HARIAN!$C$6:$C$9136,S$4,DEBIT_HARIAN!$E$6:$E$9136,S$5),"")</f>
        <v/>
      </c>
      <c r="T11" s="13">
        <f>IFERROR(AVERAGEIFS(DEBIT_HARIAN!$F$6:$F$9136,DEBIT_HARIAN!$B$6:$B$9136,$A11,DEBIT_HARIAN!$C$6:$C$9136,T$4,DEBIT_HARIAN!$E$6:$E$9136,T$5),"")</f>
        <v/>
      </c>
      <c r="U11" s="13">
        <f>IFERROR(AVERAGEIFS(DEBIT_HARIAN!$F$6:$F$9136,DEBIT_HARIAN!$B$6:$B$9136,$A11,DEBIT_HARIAN!$C$6:$C$9136,U$4,DEBIT_HARIAN!$E$6:$E$9136,U$5),"")</f>
        <v/>
      </c>
      <c r="V11" s="13">
        <f>IFERROR(AVERAGEIFS(DEBIT_HARIAN!$F$6:$F$9136,DEBIT_HARIAN!$B$6:$B$9136,$A11,DEBIT_HARIAN!$C$6:$C$9136,V$4,DEBIT_HARIAN!$E$6:$E$9136,V$5),"")</f>
        <v/>
      </c>
      <c r="W11" s="13">
        <f>IFERROR(AVERAGEIFS(DEBIT_HARIAN!$F$6:$F$9136,DEBIT_HARIAN!$B$6:$B$9136,$A11,DEBIT_HARIAN!$C$6:$C$9136,W$4,DEBIT_HARIAN!$E$6:$E$9136,W$5),"")</f>
        <v/>
      </c>
      <c r="X11" s="13">
        <f>IFERROR(AVERAGEIFS(DEBIT_HARIAN!$F$6:$F$9136,DEBIT_HARIAN!$B$6:$B$9136,$A11,DEBIT_HARIAN!$C$6:$C$9136,X$4,DEBIT_HARIAN!$E$6:$E$9136,X$5),"")</f>
        <v/>
      </c>
      <c r="Y11" s="13">
        <f>IFERROR(AVERAGEIFS(DEBIT_HARIAN!$F$6:$F$9136,DEBIT_HARIAN!$B$6:$B$9136,$A11,DEBIT_HARIAN!$C$6:$C$9136,Y$4,DEBIT_HARIAN!$E$6:$E$9136,Y$5),"")</f>
        <v/>
      </c>
      <c r="Z11" s="10">
        <f>IFERROR(AVERAGEIFS(DEBIT_HARIAN!$F$6:$F$9136,DEBIT_HARIAN!$B$6:$B$9136,$A11),"")</f>
        <v/>
      </c>
    </row>
    <row r="12">
      <c r="A12" s="18" t="n">
        <v>2006</v>
      </c>
      <c r="B12" s="13">
        <f>IFERROR(AVERAGEIFS(DEBIT_HARIAN!$F$6:$F$9136,DEBIT_HARIAN!$B$6:$B$9136,$A12,DEBIT_HARIAN!$C$6:$C$9136,B$4,DEBIT_HARIAN!$E$6:$E$9136,B$5),"")</f>
        <v/>
      </c>
      <c r="C12" s="13">
        <f>IFERROR(AVERAGEIFS(DEBIT_HARIAN!$F$6:$F$9136,DEBIT_HARIAN!$B$6:$B$9136,$A12,DEBIT_HARIAN!$C$6:$C$9136,C$4,DEBIT_HARIAN!$E$6:$E$9136,C$5),"")</f>
        <v/>
      </c>
      <c r="D12" s="13">
        <f>IFERROR(AVERAGEIFS(DEBIT_HARIAN!$F$6:$F$9136,DEBIT_HARIAN!$B$6:$B$9136,$A12,DEBIT_HARIAN!$C$6:$C$9136,D$4,DEBIT_HARIAN!$E$6:$E$9136,D$5),"")</f>
        <v/>
      </c>
      <c r="E12" s="13">
        <f>IFERROR(AVERAGEIFS(DEBIT_HARIAN!$F$6:$F$9136,DEBIT_HARIAN!$B$6:$B$9136,$A12,DEBIT_HARIAN!$C$6:$C$9136,E$4,DEBIT_HARIAN!$E$6:$E$9136,E$5),"")</f>
        <v/>
      </c>
      <c r="F12" s="13">
        <f>IFERROR(AVERAGEIFS(DEBIT_HARIAN!$F$6:$F$9136,DEBIT_HARIAN!$B$6:$B$9136,$A12,DEBIT_HARIAN!$C$6:$C$9136,F$4,DEBIT_HARIAN!$E$6:$E$9136,F$5),"")</f>
        <v/>
      </c>
      <c r="G12" s="13">
        <f>IFERROR(AVERAGEIFS(DEBIT_HARIAN!$F$6:$F$9136,DEBIT_HARIAN!$B$6:$B$9136,$A12,DEBIT_HARIAN!$C$6:$C$9136,G$4,DEBIT_HARIAN!$E$6:$E$9136,G$5),"")</f>
        <v/>
      </c>
      <c r="H12" s="13">
        <f>IFERROR(AVERAGEIFS(DEBIT_HARIAN!$F$6:$F$9136,DEBIT_HARIAN!$B$6:$B$9136,$A12,DEBIT_HARIAN!$C$6:$C$9136,H$4,DEBIT_HARIAN!$E$6:$E$9136,H$5),"")</f>
        <v/>
      </c>
      <c r="I12" s="13">
        <f>IFERROR(AVERAGEIFS(DEBIT_HARIAN!$F$6:$F$9136,DEBIT_HARIAN!$B$6:$B$9136,$A12,DEBIT_HARIAN!$C$6:$C$9136,I$4,DEBIT_HARIAN!$E$6:$E$9136,I$5),"")</f>
        <v/>
      </c>
      <c r="J12" s="13">
        <f>IFERROR(AVERAGEIFS(DEBIT_HARIAN!$F$6:$F$9136,DEBIT_HARIAN!$B$6:$B$9136,$A12,DEBIT_HARIAN!$C$6:$C$9136,J$4,DEBIT_HARIAN!$E$6:$E$9136,J$5),"")</f>
        <v/>
      </c>
      <c r="K12" s="13">
        <f>IFERROR(AVERAGEIFS(DEBIT_HARIAN!$F$6:$F$9136,DEBIT_HARIAN!$B$6:$B$9136,$A12,DEBIT_HARIAN!$C$6:$C$9136,K$4,DEBIT_HARIAN!$E$6:$E$9136,K$5),"")</f>
        <v/>
      </c>
      <c r="L12" s="13">
        <f>IFERROR(AVERAGEIFS(DEBIT_HARIAN!$F$6:$F$9136,DEBIT_HARIAN!$B$6:$B$9136,$A12,DEBIT_HARIAN!$C$6:$C$9136,L$4,DEBIT_HARIAN!$E$6:$E$9136,L$5),"")</f>
        <v/>
      </c>
      <c r="M12" s="13">
        <f>IFERROR(AVERAGEIFS(DEBIT_HARIAN!$F$6:$F$9136,DEBIT_HARIAN!$B$6:$B$9136,$A12,DEBIT_HARIAN!$C$6:$C$9136,M$4,DEBIT_HARIAN!$E$6:$E$9136,M$5),"")</f>
        <v/>
      </c>
      <c r="N12" s="13">
        <f>IFERROR(AVERAGEIFS(DEBIT_HARIAN!$F$6:$F$9136,DEBIT_HARIAN!$B$6:$B$9136,$A12,DEBIT_HARIAN!$C$6:$C$9136,N$4,DEBIT_HARIAN!$E$6:$E$9136,N$5),"")</f>
        <v/>
      </c>
      <c r="O12" s="13">
        <f>IFERROR(AVERAGEIFS(DEBIT_HARIAN!$F$6:$F$9136,DEBIT_HARIAN!$B$6:$B$9136,$A12,DEBIT_HARIAN!$C$6:$C$9136,O$4,DEBIT_HARIAN!$E$6:$E$9136,O$5),"")</f>
        <v/>
      </c>
      <c r="P12" s="13">
        <f>IFERROR(AVERAGEIFS(DEBIT_HARIAN!$F$6:$F$9136,DEBIT_HARIAN!$B$6:$B$9136,$A12,DEBIT_HARIAN!$C$6:$C$9136,P$4,DEBIT_HARIAN!$E$6:$E$9136,P$5),"")</f>
        <v/>
      </c>
      <c r="Q12" s="13">
        <f>IFERROR(AVERAGEIFS(DEBIT_HARIAN!$F$6:$F$9136,DEBIT_HARIAN!$B$6:$B$9136,$A12,DEBIT_HARIAN!$C$6:$C$9136,Q$4,DEBIT_HARIAN!$E$6:$E$9136,Q$5),"")</f>
        <v/>
      </c>
      <c r="R12" s="13">
        <f>IFERROR(AVERAGEIFS(DEBIT_HARIAN!$F$6:$F$9136,DEBIT_HARIAN!$B$6:$B$9136,$A12,DEBIT_HARIAN!$C$6:$C$9136,R$4,DEBIT_HARIAN!$E$6:$E$9136,R$5),"")</f>
        <v/>
      </c>
      <c r="S12" s="13">
        <f>IFERROR(AVERAGEIFS(DEBIT_HARIAN!$F$6:$F$9136,DEBIT_HARIAN!$B$6:$B$9136,$A12,DEBIT_HARIAN!$C$6:$C$9136,S$4,DEBIT_HARIAN!$E$6:$E$9136,S$5),"")</f>
        <v/>
      </c>
      <c r="T12" s="13">
        <f>IFERROR(AVERAGEIFS(DEBIT_HARIAN!$F$6:$F$9136,DEBIT_HARIAN!$B$6:$B$9136,$A12,DEBIT_HARIAN!$C$6:$C$9136,T$4,DEBIT_HARIAN!$E$6:$E$9136,T$5),"")</f>
        <v/>
      </c>
      <c r="U12" s="13">
        <f>IFERROR(AVERAGEIFS(DEBIT_HARIAN!$F$6:$F$9136,DEBIT_HARIAN!$B$6:$B$9136,$A12,DEBIT_HARIAN!$C$6:$C$9136,U$4,DEBIT_HARIAN!$E$6:$E$9136,U$5),"")</f>
        <v/>
      </c>
      <c r="V12" s="13">
        <f>IFERROR(AVERAGEIFS(DEBIT_HARIAN!$F$6:$F$9136,DEBIT_HARIAN!$B$6:$B$9136,$A12,DEBIT_HARIAN!$C$6:$C$9136,V$4,DEBIT_HARIAN!$E$6:$E$9136,V$5),"")</f>
        <v/>
      </c>
      <c r="W12" s="13">
        <f>IFERROR(AVERAGEIFS(DEBIT_HARIAN!$F$6:$F$9136,DEBIT_HARIAN!$B$6:$B$9136,$A12,DEBIT_HARIAN!$C$6:$C$9136,W$4,DEBIT_HARIAN!$E$6:$E$9136,W$5),"")</f>
        <v/>
      </c>
      <c r="X12" s="13">
        <f>IFERROR(AVERAGEIFS(DEBIT_HARIAN!$F$6:$F$9136,DEBIT_HARIAN!$B$6:$B$9136,$A12,DEBIT_HARIAN!$C$6:$C$9136,X$4,DEBIT_HARIAN!$E$6:$E$9136,X$5),"")</f>
        <v/>
      </c>
      <c r="Y12" s="13">
        <f>IFERROR(AVERAGEIFS(DEBIT_HARIAN!$F$6:$F$9136,DEBIT_HARIAN!$B$6:$B$9136,$A12,DEBIT_HARIAN!$C$6:$C$9136,Y$4,DEBIT_HARIAN!$E$6:$E$9136,Y$5),"")</f>
        <v/>
      </c>
      <c r="Z12" s="10">
        <f>IFERROR(AVERAGEIFS(DEBIT_HARIAN!$F$6:$F$9136,DEBIT_HARIAN!$B$6:$B$9136,$A12),"")</f>
        <v/>
      </c>
    </row>
    <row r="13">
      <c r="A13" s="18" t="n">
        <v>2007</v>
      </c>
      <c r="B13" s="13">
        <f>IFERROR(AVERAGEIFS(DEBIT_HARIAN!$F$6:$F$9136,DEBIT_HARIAN!$B$6:$B$9136,$A13,DEBIT_HARIAN!$C$6:$C$9136,B$4,DEBIT_HARIAN!$E$6:$E$9136,B$5),"")</f>
        <v/>
      </c>
      <c r="C13" s="13">
        <f>IFERROR(AVERAGEIFS(DEBIT_HARIAN!$F$6:$F$9136,DEBIT_HARIAN!$B$6:$B$9136,$A13,DEBIT_HARIAN!$C$6:$C$9136,C$4,DEBIT_HARIAN!$E$6:$E$9136,C$5),"")</f>
        <v/>
      </c>
      <c r="D13" s="13">
        <f>IFERROR(AVERAGEIFS(DEBIT_HARIAN!$F$6:$F$9136,DEBIT_HARIAN!$B$6:$B$9136,$A13,DEBIT_HARIAN!$C$6:$C$9136,D$4,DEBIT_HARIAN!$E$6:$E$9136,D$5),"")</f>
        <v/>
      </c>
      <c r="E13" s="13">
        <f>IFERROR(AVERAGEIFS(DEBIT_HARIAN!$F$6:$F$9136,DEBIT_HARIAN!$B$6:$B$9136,$A13,DEBIT_HARIAN!$C$6:$C$9136,E$4,DEBIT_HARIAN!$E$6:$E$9136,E$5),"")</f>
        <v/>
      </c>
      <c r="F13" s="13">
        <f>IFERROR(AVERAGEIFS(DEBIT_HARIAN!$F$6:$F$9136,DEBIT_HARIAN!$B$6:$B$9136,$A13,DEBIT_HARIAN!$C$6:$C$9136,F$4,DEBIT_HARIAN!$E$6:$E$9136,F$5),"")</f>
        <v/>
      </c>
      <c r="G13" s="13">
        <f>IFERROR(AVERAGEIFS(DEBIT_HARIAN!$F$6:$F$9136,DEBIT_HARIAN!$B$6:$B$9136,$A13,DEBIT_HARIAN!$C$6:$C$9136,G$4,DEBIT_HARIAN!$E$6:$E$9136,G$5),"")</f>
        <v/>
      </c>
      <c r="H13" s="13">
        <f>IFERROR(AVERAGEIFS(DEBIT_HARIAN!$F$6:$F$9136,DEBIT_HARIAN!$B$6:$B$9136,$A13,DEBIT_HARIAN!$C$6:$C$9136,H$4,DEBIT_HARIAN!$E$6:$E$9136,H$5),"")</f>
        <v/>
      </c>
      <c r="I13" s="13">
        <f>IFERROR(AVERAGEIFS(DEBIT_HARIAN!$F$6:$F$9136,DEBIT_HARIAN!$B$6:$B$9136,$A13,DEBIT_HARIAN!$C$6:$C$9136,I$4,DEBIT_HARIAN!$E$6:$E$9136,I$5),"")</f>
        <v/>
      </c>
      <c r="J13" s="13">
        <f>IFERROR(AVERAGEIFS(DEBIT_HARIAN!$F$6:$F$9136,DEBIT_HARIAN!$B$6:$B$9136,$A13,DEBIT_HARIAN!$C$6:$C$9136,J$4,DEBIT_HARIAN!$E$6:$E$9136,J$5),"")</f>
        <v/>
      </c>
      <c r="K13" s="13">
        <f>IFERROR(AVERAGEIFS(DEBIT_HARIAN!$F$6:$F$9136,DEBIT_HARIAN!$B$6:$B$9136,$A13,DEBIT_HARIAN!$C$6:$C$9136,K$4,DEBIT_HARIAN!$E$6:$E$9136,K$5),"")</f>
        <v/>
      </c>
      <c r="L13" s="13">
        <f>IFERROR(AVERAGEIFS(DEBIT_HARIAN!$F$6:$F$9136,DEBIT_HARIAN!$B$6:$B$9136,$A13,DEBIT_HARIAN!$C$6:$C$9136,L$4,DEBIT_HARIAN!$E$6:$E$9136,L$5),"")</f>
        <v/>
      </c>
      <c r="M13" s="13">
        <f>IFERROR(AVERAGEIFS(DEBIT_HARIAN!$F$6:$F$9136,DEBIT_HARIAN!$B$6:$B$9136,$A13,DEBIT_HARIAN!$C$6:$C$9136,M$4,DEBIT_HARIAN!$E$6:$E$9136,M$5),"")</f>
        <v/>
      </c>
      <c r="N13" s="13">
        <f>IFERROR(AVERAGEIFS(DEBIT_HARIAN!$F$6:$F$9136,DEBIT_HARIAN!$B$6:$B$9136,$A13,DEBIT_HARIAN!$C$6:$C$9136,N$4,DEBIT_HARIAN!$E$6:$E$9136,N$5),"")</f>
        <v/>
      </c>
      <c r="O13" s="13">
        <f>IFERROR(AVERAGEIFS(DEBIT_HARIAN!$F$6:$F$9136,DEBIT_HARIAN!$B$6:$B$9136,$A13,DEBIT_HARIAN!$C$6:$C$9136,O$4,DEBIT_HARIAN!$E$6:$E$9136,O$5),"")</f>
        <v/>
      </c>
      <c r="P13" s="13">
        <f>IFERROR(AVERAGEIFS(DEBIT_HARIAN!$F$6:$F$9136,DEBIT_HARIAN!$B$6:$B$9136,$A13,DEBIT_HARIAN!$C$6:$C$9136,P$4,DEBIT_HARIAN!$E$6:$E$9136,P$5),"")</f>
        <v/>
      </c>
      <c r="Q13" s="13">
        <f>IFERROR(AVERAGEIFS(DEBIT_HARIAN!$F$6:$F$9136,DEBIT_HARIAN!$B$6:$B$9136,$A13,DEBIT_HARIAN!$C$6:$C$9136,Q$4,DEBIT_HARIAN!$E$6:$E$9136,Q$5),"")</f>
        <v/>
      </c>
      <c r="R13" s="13">
        <f>IFERROR(AVERAGEIFS(DEBIT_HARIAN!$F$6:$F$9136,DEBIT_HARIAN!$B$6:$B$9136,$A13,DEBIT_HARIAN!$C$6:$C$9136,R$4,DEBIT_HARIAN!$E$6:$E$9136,R$5),"")</f>
        <v/>
      </c>
      <c r="S13" s="13">
        <f>IFERROR(AVERAGEIFS(DEBIT_HARIAN!$F$6:$F$9136,DEBIT_HARIAN!$B$6:$B$9136,$A13,DEBIT_HARIAN!$C$6:$C$9136,S$4,DEBIT_HARIAN!$E$6:$E$9136,S$5),"")</f>
        <v/>
      </c>
      <c r="T13" s="13">
        <f>IFERROR(AVERAGEIFS(DEBIT_HARIAN!$F$6:$F$9136,DEBIT_HARIAN!$B$6:$B$9136,$A13,DEBIT_HARIAN!$C$6:$C$9136,T$4,DEBIT_HARIAN!$E$6:$E$9136,T$5),"")</f>
        <v/>
      </c>
      <c r="U13" s="13">
        <f>IFERROR(AVERAGEIFS(DEBIT_HARIAN!$F$6:$F$9136,DEBIT_HARIAN!$B$6:$B$9136,$A13,DEBIT_HARIAN!$C$6:$C$9136,U$4,DEBIT_HARIAN!$E$6:$E$9136,U$5),"")</f>
        <v/>
      </c>
      <c r="V13" s="13">
        <f>IFERROR(AVERAGEIFS(DEBIT_HARIAN!$F$6:$F$9136,DEBIT_HARIAN!$B$6:$B$9136,$A13,DEBIT_HARIAN!$C$6:$C$9136,V$4,DEBIT_HARIAN!$E$6:$E$9136,V$5),"")</f>
        <v/>
      </c>
      <c r="W13" s="13">
        <f>IFERROR(AVERAGEIFS(DEBIT_HARIAN!$F$6:$F$9136,DEBIT_HARIAN!$B$6:$B$9136,$A13,DEBIT_HARIAN!$C$6:$C$9136,W$4,DEBIT_HARIAN!$E$6:$E$9136,W$5),"")</f>
        <v/>
      </c>
      <c r="X13" s="13">
        <f>IFERROR(AVERAGEIFS(DEBIT_HARIAN!$F$6:$F$9136,DEBIT_HARIAN!$B$6:$B$9136,$A13,DEBIT_HARIAN!$C$6:$C$9136,X$4,DEBIT_HARIAN!$E$6:$E$9136,X$5),"")</f>
        <v/>
      </c>
      <c r="Y13" s="13">
        <f>IFERROR(AVERAGEIFS(DEBIT_HARIAN!$F$6:$F$9136,DEBIT_HARIAN!$B$6:$B$9136,$A13,DEBIT_HARIAN!$C$6:$C$9136,Y$4,DEBIT_HARIAN!$E$6:$E$9136,Y$5),"")</f>
        <v/>
      </c>
      <c r="Z13" s="10">
        <f>IFERROR(AVERAGEIFS(DEBIT_HARIAN!$F$6:$F$9136,DEBIT_HARIAN!$B$6:$B$9136,$A13),"")</f>
        <v/>
      </c>
    </row>
    <row r="14">
      <c r="A14" s="18" t="n">
        <v>2008</v>
      </c>
      <c r="B14" s="13">
        <f>IFERROR(AVERAGEIFS(DEBIT_HARIAN!$F$6:$F$9136,DEBIT_HARIAN!$B$6:$B$9136,$A14,DEBIT_HARIAN!$C$6:$C$9136,B$4,DEBIT_HARIAN!$E$6:$E$9136,B$5),"")</f>
        <v/>
      </c>
      <c r="C14" s="13">
        <f>IFERROR(AVERAGEIFS(DEBIT_HARIAN!$F$6:$F$9136,DEBIT_HARIAN!$B$6:$B$9136,$A14,DEBIT_HARIAN!$C$6:$C$9136,C$4,DEBIT_HARIAN!$E$6:$E$9136,C$5),"")</f>
        <v/>
      </c>
      <c r="D14" s="13">
        <f>IFERROR(AVERAGEIFS(DEBIT_HARIAN!$F$6:$F$9136,DEBIT_HARIAN!$B$6:$B$9136,$A14,DEBIT_HARIAN!$C$6:$C$9136,D$4,DEBIT_HARIAN!$E$6:$E$9136,D$5),"")</f>
        <v/>
      </c>
      <c r="E14" s="13">
        <f>IFERROR(AVERAGEIFS(DEBIT_HARIAN!$F$6:$F$9136,DEBIT_HARIAN!$B$6:$B$9136,$A14,DEBIT_HARIAN!$C$6:$C$9136,E$4,DEBIT_HARIAN!$E$6:$E$9136,E$5),"")</f>
        <v/>
      </c>
      <c r="F14" s="13">
        <f>IFERROR(AVERAGEIFS(DEBIT_HARIAN!$F$6:$F$9136,DEBIT_HARIAN!$B$6:$B$9136,$A14,DEBIT_HARIAN!$C$6:$C$9136,F$4,DEBIT_HARIAN!$E$6:$E$9136,F$5),"")</f>
        <v/>
      </c>
      <c r="G14" s="13">
        <f>IFERROR(AVERAGEIFS(DEBIT_HARIAN!$F$6:$F$9136,DEBIT_HARIAN!$B$6:$B$9136,$A14,DEBIT_HARIAN!$C$6:$C$9136,G$4,DEBIT_HARIAN!$E$6:$E$9136,G$5),"")</f>
        <v/>
      </c>
      <c r="H14" s="13">
        <f>IFERROR(AVERAGEIFS(DEBIT_HARIAN!$F$6:$F$9136,DEBIT_HARIAN!$B$6:$B$9136,$A14,DEBIT_HARIAN!$C$6:$C$9136,H$4,DEBIT_HARIAN!$E$6:$E$9136,H$5),"")</f>
        <v/>
      </c>
      <c r="I14" s="13">
        <f>IFERROR(AVERAGEIFS(DEBIT_HARIAN!$F$6:$F$9136,DEBIT_HARIAN!$B$6:$B$9136,$A14,DEBIT_HARIAN!$C$6:$C$9136,I$4,DEBIT_HARIAN!$E$6:$E$9136,I$5),"")</f>
        <v/>
      </c>
      <c r="J14" s="13">
        <f>IFERROR(AVERAGEIFS(DEBIT_HARIAN!$F$6:$F$9136,DEBIT_HARIAN!$B$6:$B$9136,$A14,DEBIT_HARIAN!$C$6:$C$9136,J$4,DEBIT_HARIAN!$E$6:$E$9136,J$5),"")</f>
        <v/>
      </c>
      <c r="K14" s="13">
        <f>IFERROR(AVERAGEIFS(DEBIT_HARIAN!$F$6:$F$9136,DEBIT_HARIAN!$B$6:$B$9136,$A14,DEBIT_HARIAN!$C$6:$C$9136,K$4,DEBIT_HARIAN!$E$6:$E$9136,K$5),"")</f>
        <v/>
      </c>
      <c r="L14" s="13">
        <f>IFERROR(AVERAGEIFS(DEBIT_HARIAN!$F$6:$F$9136,DEBIT_HARIAN!$B$6:$B$9136,$A14,DEBIT_HARIAN!$C$6:$C$9136,L$4,DEBIT_HARIAN!$E$6:$E$9136,L$5),"")</f>
        <v/>
      </c>
      <c r="M14" s="13">
        <f>IFERROR(AVERAGEIFS(DEBIT_HARIAN!$F$6:$F$9136,DEBIT_HARIAN!$B$6:$B$9136,$A14,DEBIT_HARIAN!$C$6:$C$9136,M$4,DEBIT_HARIAN!$E$6:$E$9136,M$5),"")</f>
        <v/>
      </c>
      <c r="N14" s="13">
        <f>IFERROR(AVERAGEIFS(DEBIT_HARIAN!$F$6:$F$9136,DEBIT_HARIAN!$B$6:$B$9136,$A14,DEBIT_HARIAN!$C$6:$C$9136,N$4,DEBIT_HARIAN!$E$6:$E$9136,N$5),"")</f>
        <v/>
      </c>
      <c r="O14" s="13">
        <f>IFERROR(AVERAGEIFS(DEBIT_HARIAN!$F$6:$F$9136,DEBIT_HARIAN!$B$6:$B$9136,$A14,DEBIT_HARIAN!$C$6:$C$9136,O$4,DEBIT_HARIAN!$E$6:$E$9136,O$5),"")</f>
        <v/>
      </c>
      <c r="P14" s="13">
        <f>IFERROR(AVERAGEIFS(DEBIT_HARIAN!$F$6:$F$9136,DEBIT_HARIAN!$B$6:$B$9136,$A14,DEBIT_HARIAN!$C$6:$C$9136,P$4,DEBIT_HARIAN!$E$6:$E$9136,P$5),"")</f>
        <v/>
      </c>
      <c r="Q14" s="13">
        <f>IFERROR(AVERAGEIFS(DEBIT_HARIAN!$F$6:$F$9136,DEBIT_HARIAN!$B$6:$B$9136,$A14,DEBIT_HARIAN!$C$6:$C$9136,Q$4,DEBIT_HARIAN!$E$6:$E$9136,Q$5),"")</f>
        <v/>
      </c>
      <c r="R14" s="13">
        <f>IFERROR(AVERAGEIFS(DEBIT_HARIAN!$F$6:$F$9136,DEBIT_HARIAN!$B$6:$B$9136,$A14,DEBIT_HARIAN!$C$6:$C$9136,R$4,DEBIT_HARIAN!$E$6:$E$9136,R$5),"")</f>
        <v/>
      </c>
      <c r="S14" s="13">
        <f>IFERROR(AVERAGEIFS(DEBIT_HARIAN!$F$6:$F$9136,DEBIT_HARIAN!$B$6:$B$9136,$A14,DEBIT_HARIAN!$C$6:$C$9136,S$4,DEBIT_HARIAN!$E$6:$E$9136,S$5),"")</f>
        <v/>
      </c>
      <c r="T14" s="13">
        <f>IFERROR(AVERAGEIFS(DEBIT_HARIAN!$F$6:$F$9136,DEBIT_HARIAN!$B$6:$B$9136,$A14,DEBIT_HARIAN!$C$6:$C$9136,T$4,DEBIT_HARIAN!$E$6:$E$9136,T$5),"")</f>
        <v/>
      </c>
      <c r="U14" s="13">
        <f>IFERROR(AVERAGEIFS(DEBIT_HARIAN!$F$6:$F$9136,DEBIT_HARIAN!$B$6:$B$9136,$A14,DEBIT_HARIAN!$C$6:$C$9136,U$4,DEBIT_HARIAN!$E$6:$E$9136,U$5),"")</f>
        <v/>
      </c>
      <c r="V14" s="13">
        <f>IFERROR(AVERAGEIFS(DEBIT_HARIAN!$F$6:$F$9136,DEBIT_HARIAN!$B$6:$B$9136,$A14,DEBIT_HARIAN!$C$6:$C$9136,V$4,DEBIT_HARIAN!$E$6:$E$9136,V$5),"")</f>
        <v/>
      </c>
      <c r="W14" s="13">
        <f>IFERROR(AVERAGEIFS(DEBIT_HARIAN!$F$6:$F$9136,DEBIT_HARIAN!$B$6:$B$9136,$A14,DEBIT_HARIAN!$C$6:$C$9136,W$4,DEBIT_HARIAN!$E$6:$E$9136,W$5),"")</f>
        <v/>
      </c>
      <c r="X14" s="13">
        <f>IFERROR(AVERAGEIFS(DEBIT_HARIAN!$F$6:$F$9136,DEBIT_HARIAN!$B$6:$B$9136,$A14,DEBIT_HARIAN!$C$6:$C$9136,X$4,DEBIT_HARIAN!$E$6:$E$9136,X$5),"")</f>
        <v/>
      </c>
      <c r="Y14" s="13">
        <f>IFERROR(AVERAGEIFS(DEBIT_HARIAN!$F$6:$F$9136,DEBIT_HARIAN!$B$6:$B$9136,$A14,DEBIT_HARIAN!$C$6:$C$9136,Y$4,DEBIT_HARIAN!$E$6:$E$9136,Y$5),"")</f>
        <v/>
      </c>
      <c r="Z14" s="10">
        <f>IFERROR(AVERAGEIFS(DEBIT_HARIAN!$F$6:$F$9136,DEBIT_HARIAN!$B$6:$B$9136,$A14),"")</f>
        <v/>
      </c>
    </row>
    <row r="15">
      <c r="A15" s="18" t="n">
        <v>2009</v>
      </c>
      <c r="B15" s="13">
        <f>IFERROR(AVERAGEIFS(DEBIT_HARIAN!$F$6:$F$9136,DEBIT_HARIAN!$B$6:$B$9136,$A15,DEBIT_HARIAN!$C$6:$C$9136,B$4,DEBIT_HARIAN!$E$6:$E$9136,B$5),"")</f>
        <v/>
      </c>
      <c r="C15" s="13">
        <f>IFERROR(AVERAGEIFS(DEBIT_HARIAN!$F$6:$F$9136,DEBIT_HARIAN!$B$6:$B$9136,$A15,DEBIT_HARIAN!$C$6:$C$9136,C$4,DEBIT_HARIAN!$E$6:$E$9136,C$5),"")</f>
        <v/>
      </c>
      <c r="D15" s="13">
        <f>IFERROR(AVERAGEIFS(DEBIT_HARIAN!$F$6:$F$9136,DEBIT_HARIAN!$B$6:$B$9136,$A15,DEBIT_HARIAN!$C$6:$C$9136,D$4,DEBIT_HARIAN!$E$6:$E$9136,D$5),"")</f>
        <v/>
      </c>
      <c r="E15" s="13">
        <f>IFERROR(AVERAGEIFS(DEBIT_HARIAN!$F$6:$F$9136,DEBIT_HARIAN!$B$6:$B$9136,$A15,DEBIT_HARIAN!$C$6:$C$9136,E$4,DEBIT_HARIAN!$E$6:$E$9136,E$5),"")</f>
        <v/>
      </c>
      <c r="F15" s="13">
        <f>IFERROR(AVERAGEIFS(DEBIT_HARIAN!$F$6:$F$9136,DEBIT_HARIAN!$B$6:$B$9136,$A15,DEBIT_HARIAN!$C$6:$C$9136,F$4,DEBIT_HARIAN!$E$6:$E$9136,F$5),"")</f>
        <v/>
      </c>
      <c r="G15" s="13">
        <f>IFERROR(AVERAGEIFS(DEBIT_HARIAN!$F$6:$F$9136,DEBIT_HARIAN!$B$6:$B$9136,$A15,DEBIT_HARIAN!$C$6:$C$9136,G$4,DEBIT_HARIAN!$E$6:$E$9136,G$5),"")</f>
        <v/>
      </c>
      <c r="H15" s="13">
        <f>IFERROR(AVERAGEIFS(DEBIT_HARIAN!$F$6:$F$9136,DEBIT_HARIAN!$B$6:$B$9136,$A15,DEBIT_HARIAN!$C$6:$C$9136,H$4,DEBIT_HARIAN!$E$6:$E$9136,H$5),"")</f>
        <v/>
      </c>
      <c r="I15" s="13">
        <f>IFERROR(AVERAGEIFS(DEBIT_HARIAN!$F$6:$F$9136,DEBIT_HARIAN!$B$6:$B$9136,$A15,DEBIT_HARIAN!$C$6:$C$9136,I$4,DEBIT_HARIAN!$E$6:$E$9136,I$5),"")</f>
        <v/>
      </c>
      <c r="J15" s="13">
        <f>IFERROR(AVERAGEIFS(DEBIT_HARIAN!$F$6:$F$9136,DEBIT_HARIAN!$B$6:$B$9136,$A15,DEBIT_HARIAN!$C$6:$C$9136,J$4,DEBIT_HARIAN!$E$6:$E$9136,J$5),"")</f>
        <v/>
      </c>
      <c r="K15" s="13">
        <f>IFERROR(AVERAGEIFS(DEBIT_HARIAN!$F$6:$F$9136,DEBIT_HARIAN!$B$6:$B$9136,$A15,DEBIT_HARIAN!$C$6:$C$9136,K$4,DEBIT_HARIAN!$E$6:$E$9136,K$5),"")</f>
        <v/>
      </c>
      <c r="L15" s="13">
        <f>IFERROR(AVERAGEIFS(DEBIT_HARIAN!$F$6:$F$9136,DEBIT_HARIAN!$B$6:$B$9136,$A15,DEBIT_HARIAN!$C$6:$C$9136,L$4,DEBIT_HARIAN!$E$6:$E$9136,L$5),"")</f>
        <v/>
      </c>
      <c r="M15" s="13">
        <f>IFERROR(AVERAGEIFS(DEBIT_HARIAN!$F$6:$F$9136,DEBIT_HARIAN!$B$6:$B$9136,$A15,DEBIT_HARIAN!$C$6:$C$9136,M$4,DEBIT_HARIAN!$E$6:$E$9136,M$5),"")</f>
        <v/>
      </c>
      <c r="N15" s="13">
        <f>IFERROR(AVERAGEIFS(DEBIT_HARIAN!$F$6:$F$9136,DEBIT_HARIAN!$B$6:$B$9136,$A15,DEBIT_HARIAN!$C$6:$C$9136,N$4,DEBIT_HARIAN!$E$6:$E$9136,N$5),"")</f>
        <v/>
      </c>
      <c r="O15" s="13">
        <f>IFERROR(AVERAGEIFS(DEBIT_HARIAN!$F$6:$F$9136,DEBIT_HARIAN!$B$6:$B$9136,$A15,DEBIT_HARIAN!$C$6:$C$9136,O$4,DEBIT_HARIAN!$E$6:$E$9136,O$5),"")</f>
        <v/>
      </c>
      <c r="P15" s="13">
        <f>IFERROR(AVERAGEIFS(DEBIT_HARIAN!$F$6:$F$9136,DEBIT_HARIAN!$B$6:$B$9136,$A15,DEBIT_HARIAN!$C$6:$C$9136,P$4,DEBIT_HARIAN!$E$6:$E$9136,P$5),"")</f>
        <v/>
      </c>
      <c r="Q15" s="13">
        <f>IFERROR(AVERAGEIFS(DEBIT_HARIAN!$F$6:$F$9136,DEBIT_HARIAN!$B$6:$B$9136,$A15,DEBIT_HARIAN!$C$6:$C$9136,Q$4,DEBIT_HARIAN!$E$6:$E$9136,Q$5),"")</f>
        <v/>
      </c>
      <c r="R15" s="13">
        <f>IFERROR(AVERAGEIFS(DEBIT_HARIAN!$F$6:$F$9136,DEBIT_HARIAN!$B$6:$B$9136,$A15,DEBIT_HARIAN!$C$6:$C$9136,R$4,DEBIT_HARIAN!$E$6:$E$9136,R$5),"")</f>
        <v/>
      </c>
      <c r="S15" s="13">
        <f>IFERROR(AVERAGEIFS(DEBIT_HARIAN!$F$6:$F$9136,DEBIT_HARIAN!$B$6:$B$9136,$A15,DEBIT_HARIAN!$C$6:$C$9136,S$4,DEBIT_HARIAN!$E$6:$E$9136,S$5),"")</f>
        <v/>
      </c>
      <c r="T15" s="13">
        <f>IFERROR(AVERAGEIFS(DEBIT_HARIAN!$F$6:$F$9136,DEBIT_HARIAN!$B$6:$B$9136,$A15,DEBIT_HARIAN!$C$6:$C$9136,T$4,DEBIT_HARIAN!$E$6:$E$9136,T$5),"")</f>
        <v/>
      </c>
      <c r="U15" s="13">
        <f>IFERROR(AVERAGEIFS(DEBIT_HARIAN!$F$6:$F$9136,DEBIT_HARIAN!$B$6:$B$9136,$A15,DEBIT_HARIAN!$C$6:$C$9136,U$4,DEBIT_HARIAN!$E$6:$E$9136,U$5),"")</f>
        <v/>
      </c>
      <c r="V15" s="13">
        <f>IFERROR(AVERAGEIFS(DEBIT_HARIAN!$F$6:$F$9136,DEBIT_HARIAN!$B$6:$B$9136,$A15,DEBIT_HARIAN!$C$6:$C$9136,V$4,DEBIT_HARIAN!$E$6:$E$9136,V$5),"")</f>
        <v/>
      </c>
      <c r="W15" s="13">
        <f>IFERROR(AVERAGEIFS(DEBIT_HARIAN!$F$6:$F$9136,DEBIT_HARIAN!$B$6:$B$9136,$A15,DEBIT_HARIAN!$C$6:$C$9136,W$4,DEBIT_HARIAN!$E$6:$E$9136,W$5),"")</f>
        <v/>
      </c>
      <c r="X15" s="13">
        <f>IFERROR(AVERAGEIFS(DEBIT_HARIAN!$F$6:$F$9136,DEBIT_HARIAN!$B$6:$B$9136,$A15,DEBIT_HARIAN!$C$6:$C$9136,X$4,DEBIT_HARIAN!$E$6:$E$9136,X$5),"")</f>
        <v/>
      </c>
      <c r="Y15" s="13">
        <f>IFERROR(AVERAGEIFS(DEBIT_HARIAN!$F$6:$F$9136,DEBIT_HARIAN!$B$6:$B$9136,$A15,DEBIT_HARIAN!$C$6:$C$9136,Y$4,DEBIT_HARIAN!$E$6:$E$9136,Y$5),"")</f>
        <v/>
      </c>
      <c r="Z15" s="10">
        <f>IFERROR(AVERAGEIFS(DEBIT_HARIAN!$F$6:$F$9136,DEBIT_HARIAN!$B$6:$B$9136,$A15),"")</f>
        <v/>
      </c>
    </row>
    <row r="16">
      <c r="A16" s="18" t="n">
        <v>2010</v>
      </c>
      <c r="B16" s="13">
        <f>IFERROR(AVERAGEIFS(DEBIT_HARIAN!$F$6:$F$9136,DEBIT_HARIAN!$B$6:$B$9136,$A16,DEBIT_HARIAN!$C$6:$C$9136,B$4,DEBIT_HARIAN!$E$6:$E$9136,B$5),"")</f>
        <v/>
      </c>
      <c r="C16" s="13">
        <f>IFERROR(AVERAGEIFS(DEBIT_HARIAN!$F$6:$F$9136,DEBIT_HARIAN!$B$6:$B$9136,$A16,DEBIT_HARIAN!$C$6:$C$9136,C$4,DEBIT_HARIAN!$E$6:$E$9136,C$5),"")</f>
        <v/>
      </c>
      <c r="D16" s="13">
        <f>IFERROR(AVERAGEIFS(DEBIT_HARIAN!$F$6:$F$9136,DEBIT_HARIAN!$B$6:$B$9136,$A16,DEBIT_HARIAN!$C$6:$C$9136,D$4,DEBIT_HARIAN!$E$6:$E$9136,D$5),"")</f>
        <v/>
      </c>
      <c r="E16" s="13">
        <f>IFERROR(AVERAGEIFS(DEBIT_HARIAN!$F$6:$F$9136,DEBIT_HARIAN!$B$6:$B$9136,$A16,DEBIT_HARIAN!$C$6:$C$9136,E$4,DEBIT_HARIAN!$E$6:$E$9136,E$5),"")</f>
        <v/>
      </c>
      <c r="F16" s="13">
        <f>IFERROR(AVERAGEIFS(DEBIT_HARIAN!$F$6:$F$9136,DEBIT_HARIAN!$B$6:$B$9136,$A16,DEBIT_HARIAN!$C$6:$C$9136,F$4,DEBIT_HARIAN!$E$6:$E$9136,F$5),"")</f>
        <v/>
      </c>
      <c r="G16" s="13">
        <f>IFERROR(AVERAGEIFS(DEBIT_HARIAN!$F$6:$F$9136,DEBIT_HARIAN!$B$6:$B$9136,$A16,DEBIT_HARIAN!$C$6:$C$9136,G$4,DEBIT_HARIAN!$E$6:$E$9136,G$5),"")</f>
        <v/>
      </c>
      <c r="H16" s="13">
        <f>IFERROR(AVERAGEIFS(DEBIT_HARIAN!$F$6:$F$9136,DEBIT_HARIAN!$B$6:$B$9136,$A16,DEBIT_HARIAN!$C$6:$C$9136,H$4,DEBIT_HARIAN!$E$6:$E$9136,H$5),"")</f>
        <v/>
      </c>
      <c r="I16" s="13">
        <f>IFERROR(AVERAGEIFS(DEBIT_HARIAN!$F$6:$F$9136,DEBIT_HARIAN!$B$6:$B$9136,$A16,DEBIT_HARIAN!$C$6:$C$9136,I$4,DEBIT_HARIAN!$E$6:$E$9136,I$5),"")</f>
        <v/>
      </c>
      <c r="J16" s="13">
        <f>IFERROR(AVERAGEIFS(DEBIT_HARIAN!$F$6:$F$9136,DEBIT_HARIAN!$B$6:$B$9136,$A16,DEBIT_HARIAN!$C$6:$C$9136,J$4,DEBIT_HARIAN!$E$6:$E$9136,J$5),"")</f>
        <v/>
      </c>
      <c r="K16" s="13">
        <f>IFERROR(AVERAGEIFS(DEBIT_HARIAN!$F$6:$F$9136,DEBIT_HARIAN!$B$6:$B$9136,$A16,DEBIT_HARIAN!$C$6:$C$9136,K$4,DEBIT_HARIAN!$E$6:$E$9136,K$5),"")</f>
        <v/>
      </c>
      <c r="L16" s="13">
        <f>IFERROR(AVERAGEIFS(DEBIT_HARIAN!$F$6:$F$9136,DEBIT_HARIAN!$B$6:$B$9136,$A16,DEBIT_HARIAN!$C$6:$C$9136,L$4,DEBIT_HARIAN!$E$6:$E$9136,L$5),"")</f>
        <v/>
      </c>
      <c r="M16" s="13">
        <f>IFERROR(AVERAGEIFS(DEBIT_HARIAN!$F$6:$F$9136,DEBIT_HARIAN!$B$6:$B$9136,$A16,DEBIT_HARIAN!$C$6:$C$9136,M$4,DEBIT_HARIAN!$E$6:$E$9136,M$5),"")</f>
        <v/>
      </c>
      <c r="N16" s="13">
        <f>IFERROR(AVERAGEIFS(DEBIT_HARIAN!$F$6:$F$9136,DEBIT_HARIAN!$B$6:$B$9136,$A16,DEBIT_HARIAN!$C$6:$C$9136,N$4,DEBIT_HARIAN!$E$6:$E$9136,N$5),"")</f>
        <v/>
      </c>
      <c r="O16" s="13">
        <f>IFERROR(AVERAGEIFS(DEBIT_HARIAN!$F$6:$F$9136,DEBIT_HARIAN!$B$6:$B$9136,$A16,DEBIT_HARIAN!$C$6:$C$9136,O$4,DEBIT_HARIAN!$E$6:$E$9136,O$5),"")</f>
        <v/>
      </c>
      <c r="P16" s="13">
        <f>IFERROR(AVERAGEIFS(DEBIT_HARIAN!$F$6:$F$9136,DEBIT_HARIAN!$B$6:$B$9136,$A16,DEBIT_HARIAN!$C$6:$C$9136,P$4,DEBIT_HARIAN!$E$6:$E$9136,P$5),"")</f>
        <v/>
      </c>
      <c r="Q16" s="13">
        <f>IFERROR(AVERAGEIFS(DEBIT_HARIAN!$F$6:$F$9136,DEBIT_HARIAN!$B$6:$B$9136,$A16,DEBIT_HARIAN!$C$6:$C$9136,Q$4,DEBIT_HARIAN!$E$6:$E$9136,Q$5),"")</f>
        <v/>
      </c>
      <c r="R16" s="13">
        <f>IFERROR(AVERAGEIFS(DEBIT_HARIAN!$F$6:$F$9136,DEBIT_HARIAN!$B$6:$B$9136,$A16,DEBIT_HARIAN!$C$6:$C$9136,R$4,DEBIT_HARIAN!$E$6:$E$9136,R$5),"")</f>
        <v/>
      </c>
      <c r="S16" s="13">
        <f>IFERROR(AVERAGEIFS(DEBIT_HARIAN!$F$6:$F$9136,DEBIT_HARIAN!$B$6:$B$9136,$A16,DEBIT_HARIAN!$C$6:$C$9136,S$4,DEBIT_HARIAN!$E$6:$E$9136,S$5),"")</f>
        <v/>
      </c>
      <c r="T16" s="13">
        <f>IFERROR(AVERAGEIFS(DEBIT_HARIAN!$F$6:$F$9136,DEBIT_HARIAN!$B$6:$B$9136,$A16,DEBIT_HARIAN!$C$6:$C$9136,T$4,DEBIT_HARIAN!$E$6:$E$9136,T$5),"")</f>
        <v/>
      </c>
      <c r="U16" s="13">
        <f>IFERROR(AVERAGEIFS(DEBIT_HARIAN!$F$6:$F$9136,DEBIT_HARIAN!$B$6:$B$9136,$A16,DEBIT_HARIAN!$C$6:$C$9136,U$4,DEBIT_HARIAN!$E$6:$E$9136,U$5),"")</f>
        <v/>
      </c>
      <c r="V16" s="13">
        <f>IFERROR(AVERAGEIFS(DEBIT_HARIAN!$F$6:$F$9136,DEBIT_HARIAN!$B$6:$B$9136,$A16,DEBIT_HARIAN!$C$6:$C$9136,V$4,DEBIT_HARIAN!$E$6:$E$9136,V$5),"")</f>
        <v/>
      </c>
      <c r="W16" s="13">
        <f>IFERROR(AVERAGEIFS(DEBIT_HARIAN!$F$6:$F$9136,DEBIT_HARIAN!$B$6:$B$9136,$A16,DEBIT_HARIAN!$C$6:$C$9136,W$4,DEBIT_HARIAN!$E$6:$E$9136,W$5),"")</f>
        <v/>
      </c>
      <c r="X16" s="13">
        <f>IFERROR(AVERAGEIFS(DEBIT_HARIAN!$F$6:$F$9136,DEBIT_HARIAN!$B$6:$B$9136,$A16,DEBIT_HARIAN!$C$6:$C$9136,X$4,DEBIT_HARIAN!$E$6:$E$9136,X$5),"")</f>
        <v/>
      </c>
      <c r="Y16" s="13">
        <f>IFERROR(AVERAGEIFS(DEBIT_HARIAN!$F$6:$F$9136,DEBIT_HARIAN!$B$6:$B$9136,$A16,DEBIT_HARIAN!$C$6:$C$9136,Y$4,DEBIT_HARIAN!$E$6:$E$9136,Y$5),"")</f>
        <v/>
      </c>
      <c r="Z16" s="10">
        <f>IFERROR(AVERAGEIFS(DEBIT_HARIAN!$F$6:$F$9136,DEBIT_HARIAN!$B$6:$B$9136,$A16),"")</f>
        <v/>
      </c>
    </row>
    <row r="17">
      <c r="A17" s="18" t="n">
        <v>2011</v>
      </c>
      <c r="B17" s="13">
        <f>IFERROR(AVERAGEIFS(DEBIT_HARIAN!$F$6:$F$9136,DEBIT_HARIAN!$B$6:$B$9136,$A17,DEBIT_HARIAN!$C$6:$C$9136,B$4,DEBIT_HARIAN!$E$6:$E$9136,B$5),"")</f>
        <v/>
      </c>
      <c r="C17" s="13">
        <f>IFERROR(AVERAGEIFS(DEBIT_HARIAN!$F$6:$F$9136,DEBIT_HARIAN!$B$6:$B$9136,$A17,DEBIT_HARIAN!$C$6:$C$9136,C$4,DEBIT_HARIAN!$E$6:$E$9136,C$5),"")</f>
        <v/>
      </c>
      <c r="D17" s="13">
        <f>IFERROR(AVERAGEIFS(DEBIT_HARIAN!$F$6:$F$9136,DEBIT_HARIAN!$B$6:$B$9136,$A17,DEBIT_HARIAN!$C$6:$C$9136,D$4,DEBIT_HARIAN!$E$6:$E$9136,D$5),"")</f>
        <v/>
      </c>
      <c r="E17" s="13">
        <f>IFERROR(AVERAGEIFS(DEBIT_HARIAN!$F$6:$F$9136,DEBIT_HARIAN!$B$6:$B$9136,$A17,DEBIT_HARIAN!$C$6:$C$9136,E$4,DEBIT_HARIAN!$E$6:$E$9136,E$5),"")</f>
        <v/>
      </c>
      <c r="F17" s="13">
        <f>IFERROR(AVERAGEIFS(DEBIT_HARIAN!$F$6:$F$9136,DEBIT_HARIAN!$B$6:$B$9136,$A17,DEBIT_HARIAN!$C$6:$C$9136,F$4,DEBIT_HARIAN!$E$6:$E$9136,F$5),"")</f>
        <v/>
      </c>
      <c r="G17" s="13">
        <f>IFERROR(AVERAGEIFS(DEBIT_HARIAN!$F$6:$F$9136,DEBIT_HARIAN!$B$6:$B$9136,$A17,DEBIT_HARIAN!$C$6:$C$9136,G$4,DEBIT_HARIAN!$E$6:$E$9136,G$5),"")</f>
        <v/>
      </c>
      <c r="H17" s="13">
        <f>IFERROR(AVERAGEIFS(DEBIT_HARIAN!$F$6:$F$9136,DEBIT_HARIAN!$B$6:$B$9136,$A17,DEBIT_HARIAN!$C$6:$C$9136,H$4,DEBIT_HARIAN!$E$6:$E$9136,H$5),"")</f>
        <v/>
      </c>
      <c r="I17" s="13">
        <f>IFERROR(AVERAGEIFS(DEBIT_HARIAN!$F$6:$F$9136,DEBIT_HARIAN!$B$6:$B$9136,$A17,DEBIT_HARIAN!$C$6:$C$9136,I$4,DEBIT_HARIAN!$E$6:$E$9136,I$5),"")</f>
        <v/>
      </c>
      <c r="J17" s="13">
        <f>IFERROR(AVERAGEIFS(DEBIT_HARIAN!$F$6:$F$9136,DEBIT_HARIAN!$B$6:$B$9136,$A17,DEBIT_HARIAN!$C$6:$C$9136,J$4,DEBIT_HARIAN!$E$6:$E$9136,J$5),"")</f>
        <v/>
      </c>
      <c r="K17" s="13">
        <f>IFERROR(AVERAGEIFS(DEBIT_HARIAN!$F$6:$F$9136,DEBIT_HARIAN!$B$6:$B$9136,$A17,DEBIT_HARIAN!$C$6:$C$9136,K$4,DEBIT_HARIAN!$E$6:$E$9136,K$5),"")</f>
        <v/>
      </c>
      <c r="L17" s="13">
        <f>IFERROR(AVERAGEIFS(DEBIT_HARIAN!$F$6:$F$9136,DEBIT_HARIAN!$B$6:$B$9136,$A17,DEBIT_HARIAN!$C$6:$C$9136,L$4,DEBIT_HARIAN!$E$6:$E$9136,L$5),"")</f>
        <v/>
      </c>
      <c r="M17" s="13">
        <f>IFERROR(AVERAGEIFS(DEBIT_HARIAN!$F$6:$F$9136,DEBIT_HARIAN!$B$6:$B$9136,$A17,DEBIT_HARIAN!$C$6:$C$9136,M$4,DEBIT_HARIAN!$E$6:$E$9136,M$5),"")</f>
        <v/>
      </c>
      <c r="N17" s="13">
        <f>IFERROR(AVERAGEIFS(DEBIT_HARIAN!$F$6:$F$9136,DEBIT_HARIAN!$B$6:$B$9136,$A17,DEBIT_HARIAN!$C$6:$C$9136,N$4,DEBIT_HARIAN!$E$6:$E$9136,N$5),"")</f>
        <v/>
      </c>
      <c r="O17" s="13">
        <f>IFERROR(AVERAGEIFS(DEBIT_HARIAN!$F$6:$F$9136,DEBIT_HARIAN!$B$6:$B$9136,$A17,DEBIT_HARIAN!$C$6:$C$9136,O$4,DEBIT_HARIAN!$E$6:$E$9136,O$5),"")</f>
        <v/>
      </c>
      <c r="P17" s="13">
        <f>IFERROR(AVERAGEIFS(DEBIT_HARIAN!$F$6:$F$9136,DEBIT_HARIAN!$B$6:$B$9136,$A17,DEBIT_HARIAN!$C$6:$C$9136,P$4,DEBIT_HARIAN!$E$6:$E$9136,P$5),"")</f>
        <v/>
      </c>
      <c r="Q17" s="13">
        <f>IFERROR(AVERAGEIFS(DEBIT_HARIAN!$F$6:$F$9136,DEBIT_HARIAN!$B$6:$B$9136,$A17,DEBIT_HARIAN!$C$6:$C$9136,Q$4,DEBIT_HARIAN!$E$6:$E$9136,Q$5),"")</f>
        <v/>
      </c>
      <c r="R17" s="13">
        <f>IFERROR(AVERAGEIFS(DEBIT_HARIAN!$F$6:$F$9136,DEBIT_HARIAN!$B$6:$B$9136,$A17,DEBIT_HARIAN!$C$6:$C$9136,R$4,DEBIT_HARIAN!$E$6:$E$9136,R$5),"")</f>
        <v/>
      </c>
      <c r="S17" s="13">
        <f>IFERROR(AVERAGEIFS(DEBIT_HARIAN!$F$6:$F$9136,DEBIT_HARIAN!$B$6:$B$9136,$A17,DEBIT_HARIAN!$C$6:$C$9136,S$4,DEBIT_HARIAN!$E$6:$E$9136,S$5),"")</f>
        <v/>
      </c>
      <c r="T17" s="13">
        <f>IFERROR(AVERAGEIFS(DEBIT_HARIAN!$F$6:$F$9136,DEBIT_HARIAN!$B$6:$B$9136,$A17,DEBIT_HARIAN!$C$6:$C$9136,T$4,DEBIT_HARIAN!$E$6:$E$9136,T$5),"")</f>
        <v/>
      </c>
      <c r="U17" s="13">
        <f>IFERROR(AVERAGEIFS(DEBIT_HARIAN!$F$6:$F$9136,DEBIT_HARIAN!$B$6:$B$9136,$A17,DEBIT_HARIAN!$C$6:$C$9136,U$4,DEBIT_HARIAN!$E$6:$E$9136,U$5),"")</f>
        <v/>
      </c>
      <c r="V17" s="13">
        <f>IFERROR(AVERAGEIFS(DEBIT_HARIAN!$F$6:$F$9136,DEBIT_HARIAN!$B$6:$B$9136,$A17,DEBIT_HARIAN!$C$6:$C$9136,V$4,DEBIT_HARIAN!$E$6:$E$9136,V$5),"")</f>
        <v/>
      </c>
      <c r="W17" s="13">
        <f>IFERROR(AVERAGEIFS(DEBIT_HARIAN!$F$6:$F$9136,DEBIT_HARIAN!$B$6:$B$9136,$A17,DEBIT_HARIAN!$C$6:$C$9136,W$4,DEBIT_HARIAN!$E$6:$E$9136,W$5),"")</f>
        <v/>
      </c>
      <c r="X17" s="13">
        <f>IFERROR(AVERAGEIFS(DEBIT_HARIAN!$F$6:$F$9136,DEBIT_HARIAN!$B$6:$B$9136,$A17,DEBIT_HARIAN!$C$6:$C$9136,X$4,DEBIT_HARIAN!$E$6:$E$9136,X$5),"")</f>
        <v/>
      </c>
      <c r="Y17" s="13">
        <f>IFERROR(AVERAGEIFS(DEBIT_HARIAN!$F$6:$F$9136,DEBIT_HARIAN!$B$6:$B$9136,$A17,DEBIT_HARIAN!$C$6:$C$9136,Y$4,DEBIT_HARIAN!$E$6:$E$9136,Y$5),"")</f>
        <v/>
      </c>
      <c r="Z17" s="10">
        <f>IFERROR(AVERAGEIFS(DEBIT_HARIAN!$F$6:$F$9136,DEBIT_HARIAN!$B$6:$B$9136,$A17),"")</f>
        <v/>
      </c>
    </row>
    <row r="18">
      <c r="A18" s="18" t="n">
        <v>2012</v>
      </c>
      <c r="B18" s="13">
        <f>IFERROR(AVERAGEIFS(DEBIT_HARIAN!$F$6:$F$9136,DEBIT_HARIAN!$B$6:$B$9136,$A18,DEBIT_HARIAN!$C$6:$C$9136,B$4,DEBIT_HARIAN!$E$6:$E$9136,B$5),"")</f>
        <v/>
      </c>
      <c r="C18" s="13">
        <f>IFERROR(AVERAGEIFS(DEBIT_HARIAN!$F$6:$F$9136,DEBIT_HARIAN!$B$6:$B$9136,$A18,DEBIT_HARIAN!$C$6:$C$9136,C$4,DEBIT_HARIAN!$E$6:$E$9136,C$5),"")</f>
        <v/>
      </c>
      <c r="D18" s="13">
        <f>IFERROR(AVERAGEIFS(DEBIT_HARIAN!$F$6:$F$9136,DEBIT_HARIAN!$B$6:$B$9136,$A18,DEBIT_HARIAN!$C$6:$C$9136,D$4,DEBIT_HARIAN!$E$6:$E$9136,D$5),"")</f>
        <v/>
      </c>
      <c r="E18" s="13">
        <f>IFERROR(AVERAGEIFS(DEBIT_HARIAN!$F$6:$F$9136,DEBIT_HARIAN!$B$6:$B$9136,$A18,DEBIT_HARIAN!$C$6:$C$9136,E$4,DEBIT_HARIAN!$E$6:$E$9136,E$5),"")</f>
        <v/>
      </c>
      <c r="F18" s="13">
        <f>IFERROR(AVERAGEIFS(DEBIT_HARIAN!$F$6:$F$9136,DEBIT_HARIAN!$B$6:$B$9136,$A18,DEBIT_HARIAN!$C$6:$C$9136,F$4,DEBIT_HARIAN!$E$6:$E$9136,F$5),"")</f>
        <v/>
      </c>
      <c r="G18" s="13">
        <f>IFERROR(AVERAGEIFS(DEBIT_HARIAN!$F$6:$F$9136,DEBIT_HARIAN!$B$6:$B$9136,$A18,DEBIT_HARIAN!$C$6:$C$9136,G$4,DEBIT_HARIAN!$E$6:$E$9136,G$5),"")</f>
        <v/>
      </c>
      <c r="H18" s="13">
        <f>IFERROR(AVERAGEIFS(DEBIT_HARIAN!$F$6:$F$9136,DEBIT_HARIAN!$B$6:$B$9136,$A18,DEBIT_HARIAN!$C$6:$C$9136,H$4,DEBIT_HARIAN!$E$6:$E$9136,H$5),"")</f>
        <v/>
      </c>
      <c r="I18" s="13">
        <f>IFERROR(AVERAGEIFS(DEBIT_HARIAN!$F$6:$F$9136,DEBIT_HARIAN!$B$6:$B$9136,$A18,DEBIT_HARIAN!$C$6:$C$9136,I$4,DEBIT_HARIAN!$E$6:$E$9136,I$5),"")</f>
        <v/>
      </c>
      <c r="J18" s="13">
        <f>IFERROR(AVERAGEIFS(DEBIT_HARIAN!$F$6:$F$9136,DEBIT_HARIAN!$B$6:$B$9136,$A18,DEBIT_HARIAN!$C$6:$C$9136,J$4,DEBIT_HARIAN!$E$6:$E$9136,J$5),"")</f>
        <v/>
      </c>
      <c r="K18" s="13">
        <f>IFERROR(AVERAGEIFS(DEBIT_HARIAN!$F$6:$F$9136,DEBIT_HARIAN!$B$6:$B$9136,$A18,DEBIT_HARIAN!$C$6:$C$9136,K$4,DEBIT_HARIAN!$E$6:$E$9136,K$5),"")</f>
        <v/>
      </c>
      <c r="L18" s="13">
        <f>IFERROR(AVERAGEIFS(DEBIT_HARIAN!$F$6:$F$9136,DEBIT_HARIAN!$B$6:$B$9136,$A18,DEBIT_HARIAN!$C$6:$C$9136,L$4,DEBIT_HARIAN!$E$6:$E$9136,L$5),"")</f>
        <v/>
      </c>
      <c r="M18" s="13">
        <f>IFERROR(AVERAGEIFS(DEBIT_HARIAN!$F$6:$F$9136,DEBIT_HARIAN!$B$6:$B$9136,$A18,DEBIT_HARIAN!$C$6:$C$9136,M$4,DEBIT_HARIAN!$E$6:$E$9136,M$5),"")</f>
        <v/>
      </c>
      <c r="N18" s="13">
        <f>IFERROR(AVERAGEIFS(DEBIT_HARIAN!$F$6:$F$9136,DEBIT_HARIAN!$B$6:$B$9136,$A18,DEBIT_HARIAN!$C$6:$C$9136,N$4,DEBIT_HARIAN!$E$6:$E$9136,N$5),"")</f>
        <v/>
      </c>
      <c r="O18" s="13">
        <f>IFERROR(AVERAGEIFS(DEBIT_HARIAN!$F$6:$F$9136,DEBIT_HARIAN!$B$6:$B$9136,$A18,DEBIT_HARIAN!$C$6:$C$9136,O$4,DEBIT_HARIAN!$E$6:$E$9136,O$5),"")</f>
        <v/>
      </c>
      <c r="P18" s="13">
        <f>IFERROR(AVERAGEIFS(DEBIT_HARIAN!$F$6:$F$9136,DEBIT_HARIAN!$B$6:$B$9136,$A18,DEBIT_HARIAN!$C$6:$C$9136,P$4,DEBIT_HARIAN!$E$6:$E$9136,P$5),"")</f>
        <v/>
      </c>
      <c r="Q18" s="13">
        <f>IFERROR(AVERAGEIFS(DEBIT_HARIAN!$F$6:$F$9136,DEBIT_HARIAN!$B$6:$B$9136,$A18,DEBIT_HARIAN!$C$6:$C$9136,Q$4,DEBIT_HARIAN!$E$6:$E$9136,Q$5),"")</f>
        <v/>
      </c>
      <c r="R18" s="13">
        <f>IFERROR(AVERAGEIFS(DEBIT_HARIAN!$F$6:$F$9136,DEBIT_HARIAN!$B$6:$B$9136,$A18,DEBIT_HARIAN!$C$6:$C$9136,R$4,DEBIT_HARIAN!$E$6:$E$9136,R$5),"")</f>
        <v/>
      </c>
      <c r="S18" s="13">
        <f>IFERROR(AVERAGEIFS(DEBIT_HARIAN!$F$6:$F$9136,DEBIT_HARIAN!$B$6:$B$9136,$A18,DEBIT_HARIAN!$C$6:$C$9136,S$4,DEBIT_HARIAN!$E$6:$E$9136,S$5),"")</f>
        <v/>
      </c>
      <c r="T18" s="13">
        <f>IFERROR(AVERAGEIFS(DEBIT_HARIAN!$F$6:$F$9136,DEBIT_HARIAN!$B$6:$B$9136,$A18,DEBIT_HARIAN!$C$6:$C$9136,T$4,DEBIT_HARIAN!$E$6:$E$9136,T$5),"")</f>
        <v/>
      </c>
      <c r="U18" s="13">
        <f>IFERROR(AVERAGEIFS(DEBIT_HARIAN!$F$6:$F$9136,DEBIT_HARIAN!$B$6:$B$9136,$A18,DEBIT_HARIAN!$C$6:$C$9136,U$4,DEBIT_HARIAN!$E$6:$E$9136,U$5),"")</f>
        <v/>
      </c>
      <c r="V18" s="13">
        <f>IFERROR(AVERAGEIFS(DEBIT_HARIAN!$F$6:$F$9136,DEBIT_HARIAN!$B$6:$B$9136,$A18,DEBIT_HARIAN!$C$6:$C$9136,V$4,DEBIT_HARIAN!$E$6:$E$9136,V$5),"")</f>
        <v/>
      </c>
      <c r="W18" s="13">
        <f>IFERROR(AVERAGEIFS(DEBIT_HARIAN!$F$6:$F$9136,DEBIT_HARIAN!$B$6:$B$9136,$A18,DEBIT_HARIAN!$C$6:$C$9136,W$4,DEBIT_HARIAN!$E$6:$E$9136,W$5),"")</f>
        <v/>
      </c>
      <c r="X18" s="13">
        <f>IFERROR(AVERAGEIFS(DEBIT_HARIAN!$F$6:$F$9136,DEBIT_HARIAN!$B$6:$B$9136,$A18,DEBIT_HARIAN!$C$6:$C$9136,X$4,DEBIT_HARIAN!$E$6:$E$9136,X$5),"")</f>
        <v/>
      </c>
      <c r="Y18" s="13">
        <f>IFERROR(AVERAGEIFS(DEBIT_HARIAN!$F$6:$F$9136,DEBIT_HARIAN!$B$6:$B$9136,$A18,DEBIT_HARIAN!$C$6:$C$9136,Y$4,DEBIT_HARIAN!$E$6:$E$9136,Y$5),"")</f>
        <v/>
      </c>
      <c r="Z18" s="10">
        <f>IFERROR(AVERAGEIFS(DEBIT_HARIAN!$F$6:$F$9136,DEBIT_HARIAN!$B$6:$B$9136,$A18),"")</f>
        <v/>
      </c>
    </row>
    <row r="19">
      <c r="A19" s="18" t="n">
        <v>2013</v>
      </c>
      <c r="B19" s="13">
        <f>IFERROR(AVERAGEIFS(DEBIT_HARIAN!$F$6:$F$9136,DEBIT_HARIAN!$B$6:$B$9136,$A19,DEBIT_HARIAN!$C$6:$C$9136,B$4,DEBIT_HARIAN!$E$6:$E$9136,B$5),"")</f>
        <v/>
      </c>
      <c r="C19" s="13">
        <f>IFERROR(AVERAGEIFS(DEBIT_HARIAN!$F$6:$F$9136,DEBIT_HARIAN!$B$6:$B$9136,$A19,DEBIT_HARIAN!$C$6:$C$9136,C$4,DEBIT_HARIAN!$E$6:$E$9136,C$5),"")</f>
        <v/>
      </c>
      <c r="D19" s="13">
        <f>IFERROR(AVERAGEIFS(DEBIT_HARIAN!$F$6:$F$9136,DEBIT_HARIAN!$B$6:$B$9136,$A19,DEBIT_HARIAN!$C$6:$C$9136,D$4,DEBIT_HARIAN!$E$6:$E$9136,D$5),"")</f>
        <v/>
      </c>
      <c r="E19" s="13">
        <f>IFERROR(AVERAGEIFS(DEBIT_HARIAN!$F$6:$F$9136,DEBIT_HARIAN!$B$6:$B$9136,$A19,DEBIT_HARIAN!$C$6:$C$9136,E$4,DEBIT_HARIAN!$E$6:$E$9136,E$5),"")</f>
        <v/>
      </c>
      <c r="F19" s="13">
        <f>IFERROR(AVERAGEIFS(DEBIT_HARIAN!$F$6:$F$9136,DEBIT_HARIAN!$B$6:$B$9136,$A19,DEBIT_HARIAN!$C$6:$C$9136,F$4,DEBIT_HARIAN!$E$6:$E$9136,F$5),"")</f>
        <v/>
      </c>
      <c r="G19" s="13">
        <f>IFERROR(AVERAGEIFS(DEBIT_HARIAN!$F$6:$F$9136,DEBIT_HARIAN!$B$6:$B$9136,$A19,DEBIT_HARIAN!$C$6:$C$9136,G$4,DEBIT_HARIAN!$E$6:$E$9136,G$5),"")</f>
        <v/>
      </c>
      <c r="H19" s="13">
        <f>IFERROR(AVERAGEIFS(DEBIT_HARIAN!$F$6:$F$9136,DEBIT_HARIAN!$B$6:$B$9136,$A19,DEBIT_HARIAN!$C$6:$C$9136,H$4,DEBIT_HARIAN!$E$6:$E$9136,H$5),"")</f>
        <v/>
      </c>
      <c r="I19" s="13">
        <f>IFERROR(AVERAGEIFS(DEBIT_HARIAN!$F$6:$F$9136,DEBIT_HARIAN!$B$6:$B$9136,$A19,DEBIT_HARIAN!$C$6:$C$9136,I$4,DEBIT_HARIAN!$E$6:$E$9136,I$5),"")</f>
        <v/>
      </c>
      <c r="J19" s="13">
        <f>IFERROR(AVERAGEIFS(DEBIT_HARIAN!$F$6:$F$9136,DEBIT_HARIAN!$B$6:$B$9136,$A19,DEBIT_HARIAN!$C$6:$C$9136,J$4,DEBIT_HARIAN!$E$6:$E$9136,J$5),"")</f>
        <v/>
      </c>
      <c r="K19" s="13">
        <f>IFERROR(AVERAGEIFS(DEBIT_HARIAN!$F$6:$F$9136,DEBIT_HARIAN!$B$6:$B$9136,$A19,DEBIT_HARIAN!$C$6:$C$9136,K$4,DEBIT_HARIAN!$E$6:$E$9136,K$5),"")</f>
        <v/>
      </c>
      <c r="L19" s="13">
        <f>IFERROR(AVERAGEIFS(DEBIT_HARIAN!$F$6:$F$9136,DEBIT_HARIAN!$B$6:$B$9136,$A19,DEBIT_HARIAN!$C$6:$C$9136,L$4,DEBIT_HARIAN!$E$6:$E$9136,L$5),"")</f>
        <v/>
      </c>
      <c r="M19" s="13">
        <f>IFERROR(AVERAGEIFS(DEBIT_HARIAN!$F$6:$F$9136,DEBIT_HARIAN!$B$6:$B$9136,$A19,DEBIT_HARIAN!$C$6:$C$9136,M$4,DEBIT_HARIAN!$E$6:$E$9136,M$5),"")</f>
        <v/>
      </c>
      <c r="N19" s="13">
        <f>IFERROR(AVERAGEIFS(DEBIT_HARIAN!$F$6:$F$9136,DEBIT_HARIAN!$B$6:$B$9136,$A19,DEBIT_HARIAN!$C$6:$C$9136,N$4,DEBIT_HARIAN!$E$6:$E$9136,N$5),"")</f>
        <v/>
      </c>
      <c r="O19" s="13">
        <f>IFERROR(AVERAGEIFS(DEBIT_HARIAN!$F$6:$F$9136,DEBIT_HARIAN!$B$6:$B$9136,$A19,DEBIT_HARIAN!$C$6:$C$9136,O$4,DEBIT_HARIAN!$E$6:$E$9136,O$5),"")</f>
        <v/>
      </c>
      <c r="P19" s="13">
        <f>IFERROR(AVERAGEIFS(DEBIT_HARIAN!$F$6:$F$9136,DEBIT_HARIAN!$B$6:$B$9136,$A19,DEBIT_HARIAN!$C$6:$C$9136,P$4,DEBIT_HARIAN!$E$6:$E$9136,P$5),"")</f>
        <v/>
      </c>
      <c r="Q19" s="13">
        <f>IFERROR(AVERAGEIFS(DEBIT_HARIAN!$F$6:$F$9136,DEBIT_HARIAN!$B$6:$B$9136,$A19,DEBIT_HARIAN!$C$6:$C$9136,Q$4,DEBIT_HARIAN!$E$6:$E$9136,Q$5),"")</f>
        <v/>
      </c>
      <c r="R19" s="13">
        <f>IFERROR(AVERAGEIFS(DEBIT_HARIAN!$F$6:$F$9136,DEBIT_HARIAN!$B$6:$B$9136,$A19,DEBIT_HARIAN!$C$6:$C$9136,R$4,DEBIT_HARIAN!$E$6:$E$9136,R$5),"")</f>
        <v/>
      </c>
      <c r="S19" s="13">
        <f>IFERROR(AVERAGEIFS(DEBIT_HARIAN!$F$6:$F$9136,DEBIT_HARIAN!$B$6:$B$9136,$A19,DEBIT_HARIAN!$C$6:$C$9136,S$4,DEBIT_HARIAN!$E$6:$E$9136,S$5),"")</f>
        <v/>
      </c>
      <c r="T19" s="13">
        <f>IFERROR(AVERAGEIFS(DEBIT_HARIAN!$F$6:$F$9136,DEBIT_HARIAN!$B$6:$B$9136,$A19,DEBIT_HARIAN!$C$6:$C$9136,T$4,DEBIT_HARIAN!$E$6:$E$9136,T$5),"")</f>
        <v/>
      </c>
      <c r="U19" s="13">
        <f>IFERROR(AVERAGEIFS(DEBIT_HARIAN!$F$6:$F$9136,DEBIT_HARIAN!$B$6:$B$9136,$A19,DEBIT_HARIAN!$C$6:$C$9136,U$4,DEBIT_HARIAN!$E$6:$E$9136,U$5),"")</f>
        <v/>
      </c>
      <c r="V19" s="13">
        <f>IFERROR(AVERAGEIFS(DEBIT_HARIAN!$F$6:$F$9136,DEBIT_HARIAN!$B$6:$B$9136,$A19,DEBIT_HARIAN!$C$6:$C$9136,V$4,DEBIT_HARIAN!$E$6:$E$9136,V$5),"")</f>
        <v/>
      </c>
      <c r="W19" s="13">
        <f>IFERROR(AVERAGEIFS(DEBIT_HARIAN!$F$6:$F$9136,DEBIT_HARIAN!$B$6:$B$9136,$A19,DEBIT_HARIAN!$C$6:$C$9136,W$4,DEBIT_HARIAN!$E$6:$E$9136,W$5),"")</f>
        <v/>
      </c>
      <c r="X19" s="13">
        <f>IFERROR(AVERAGEIFS(DEBIT_HARIAN!$F$6:$F$9136,DEBIT_HARIAN!$B$6:$B$9136,$A19,DEBIT_HARIAN!$C$6:$C$9136,X$4,DEBIT_HARIAN!$E$6:$E$9136,X$5),"")</f>
        <v/>
      </c>
      <c r="Y19" s="13">
        <f>IFERROR(AVERAGEIFS(DEBIT_HARIAN!$F$6:$F$9136,DEBIT_HARIAN!$B$6:$B$9136,$A19,DEBIT_HARIAN!$C$6:$C$9136,Y$4,DEBIT_HARIAN!$E$6:$E$9136,Y$5),"")</f>
        <v/>
      </c>
      <c r="Z19" s="10">
        <f>IFERROR(AVERAGEIFS(DEBIT_HARIAN!$F$6:$F$9136,DEBIT_HARIAN!$B$6:$B$9136,$A19),"")</f>
        <v/>
      </c>
    </row>
    <row r="20">
      <c r="A20" s="18" t="n">
        <v>2014</v>
      </c>
      <c r="B20" s="13">
        <f>IFERROR(AVERAGEIFS(DEBIT_HARIAN!$F$6:$F$9136,DEBIT_HARIAN!$B$6:$B$9136,$A20,DEBIT_HARIAN!$C$6:$C$9136,B$4,DEBIT_HARIAN!$E$6:$E$9136,B$5),"")</f>
        <v/>
      </c>
      <c r="C20" s="13">
        <f>IFERROR(AVERAGEIFS(DEBIT_HARIAN!$F$6:$F$9136,DEBIT_HARIAN!$B$6:$B$9136,$A20,DEBIT_HARIAN!$C$6:$C$9136,C$4,DEBIT_HARIAN!$E$6:$E$9136,C$5),"")</f>
        <v/>
      </c>
      <c r="D20" s="13">
        <f>IFERROR(AVERAGEIFS(DEBIT_HARIAN!$F$6:$F$9136,DEBIT_HARIAN!$B$6:$B$9136,$A20,DEBIT_HARIAN!$C$6:$C$9136,D$4,DEBIT_HARIAN!$E$6:$E$9136,D$5),"")</f>
        <v/>
      </c>
      <c r="E20" s="13">
        <f>IFERROR(AVERAGEIFS(DEBIT_HARIAN!$F$6:$F$9136,DEBIT_HARIAN!$B$6:$B$9136,$A20,DEBIT_HARIAN!$C$6:$C$9136,E$4,DEBIT_HARIAN!$E$6:$E$9136,E$5),"")</f>
        <v/>
      </c>
      <c r="F20" s="13">
        <f>IFERROR(AVERAGEIFS(DEBIT_HARIAN!$F$6:$F$9136,DEBIT_HARIAN!$B$6:$B$9136,$A20,DEBIT_HARIAN!$C$6:$C$9136,F$4,DEBIT_HARIAN!$E$6:$E$9136,F$5),"")</f>
        <v/>
      </c>
      <c r="G20" s="13">
        <f>IFERROR(AVERAGEIFS(DEBIT_HARIAN!$F$6:$F$9136,DEBIT_HARIAN!$B$6:$B$9136,$A20,DEBIT_HARIAN!$C$6:$C$9136,G$4,DEBIT_HARIAN!$E$6:$E$9136,G$5),"")</f>
        <v/>
      </c>
      <c r="H20" s="13">
        <f>IFERROR(AVERAGEIFS(DEBIT_HARIAN!$F$6:$F$9136,DEBIT_HARIAN!$B$6:$B$9136,$A20,DEBIT_HARIAN!$C$6:$C$9136,H$4,DEBIT_HARIAN!$E$6:$E$9136,H$5),"")</f>
        <v/>
      </c>
      <c r="I20" s="13">
        <f>IFERROR(AVERAGEIFS(DEBIT_HARIAN!$F$6:$F$9136,DEBIT_HARIAN!$B$6:$B$9136,$A20,DEBIT_HARIAN!$C$6:$C$9136,I$4,DEBIT_HARIAN!$E$6:$E$9136,I$5),"")</f>
        <v/>
      </c>
      <c r="J20" s="13">
        <f>IFERROR(AVERAGEIFS(DEBIT_HARIAN!$F$6:$F$9136,DEBIT_HARIAN!$B$6:$B$9136,$A20,DEBIT_HARIAN!$C$6:$C$9136,J$4,DEBIT_HARIAN!$E$6:$E$9136,J$5),"")</f>
        <v/>
      </c>
      <c r="K20" s="13">
        <f>IFERROR(AVERAGEIFS(DEBIT_HARIAN!$F$6:$F$9136,DEBIT_HARIAN!$B$6:$B$9136,$A20,DEBIT_HARIAN!$C$6:$C$9136,K$4,DEBIT_HARIAN!$E$6:$E$9136,K$5),"")</f>
        <v/>
      </c>
      <c r="L20" s="13">
        <f>IFERROR(AVERAGEIFS(DEBIT_HARIAN!$F$6:$F$9136,DEBIT_HARIAN!$B$6:$B$9136,$A20,DEBIT_HARIAN!$C$6:$C$9136,L$4,DEBIT_HARIAN!$E$6:$E$9136,L$5),"")</f>
        <v/>
      </c>
      <c r="M20" s="13">
        <f>IFERROR(AVERAGEIFS(DEBIT_HARIAN!$F$6:$F$9136,DEBIT_HARIAN!$B$6:$B$9136,$A20,DEBIT_HARIAN!$C$6:$C$9136,M$4,DEBIT_HARIAN!$E$6:$E$9136,M$5),"")</f>
        <v/>
      </c>
      <c r="N20" s="13">
        <f>IFERROR(AVERAGEIFS(DEBIT_HARIAN!$F$6:$F$9136,DEBIT_HARIAN!$B$6:$B$9136,$A20,DEBIT_HARIAN!$C$6:$C$9136,N$4,DEBIT_HARIAN!$E$6:$E$9136,N$5),"")</f>
        <v/>
      </c>
      <c r="O20" s="13">
        <f>IFERROR(AVERAGEIFS(DEBIT_HARIAN!$F$6:$F$9136,DEBIT_HARIAN!$B$6:$B$9136,$A20,DEBIT_HARIAN!$C$6:$C$9136,O$4,DEBIT_HARIAN!$E$6:$E$9136,O$5),"")</f>
        <v/>
      </c>
      <c r="P20" s="13">
        <f>IFERROR(AVERAGEIFS(DEBIT_HARIAN!$F$6:$F$9136,DEBIT_HARIAN!$B$6:$B$9136,$A20,DEBIT_HARIAN!$C$6:$C$9136,P$4,DEBIT_HARIAN!$E$6:$E$9136,P$5),"")</f>
        <v/>
      </c>
      <c r="Q20" s="13">
        <f>IFERROR(AVERAGEIFS(DEBIT_HARIAN!$F$6:$F$9136,DEBIT_HARIAN!$B$6:$B$9136,$A20,DEBIT_HARIAN!$C$6:$C$9136,Q$4,DEBIT_HARIAN!$E$6:$E$9136,Q$5),"")</f>
        <v/>
      </c>
      <c r="R20" s="13">
        <f>IFERROR(AVERAGEIFS(DEBIT_HARIAN!$F$6:$F$9136,DEBIT_HARIAN!$B$6:$B$9136,$A20,DEBIT_HARIAN!$C$6:$C$9136,R$4,DEBIT_HARIAN!$E$6:$E$9136,R$5),"")</f>
        <v/>
      </c>
      <c r="S20" s="13">
        <f>IFERROR(AVERAGEIFS(DEBIT_HARIAN!$F$6:$F$9136,DEBIT_HARIAN!$B$6:$B$9136,$A20,DEBIT_HARIAN!$C$6:$C$9136,S$4,DEBIT_HARIAN!$E$6:$E$9136,S$5),"")</f>
        <v/>
      </c>
      <c r="T20" s="13">
        <f>IFERROR(AVERAGEIFS(DEBIT_HARIAN!$F$6:$F$9136,DEBIT_HARIAN!$B$6:$B$9136,$A20,DEBIT_HARIAN!$C$6:$C$9136,T$4,DEBIT_HARIAN!$E$6:$E$9136,T$5),"")</f>
        <v/>
      </c>
      <c r="U20" s="13">
        <f>IFERROR(AVERAGEIFS(DEBIT_HARIAN!$F$6:$F$9136,DEBIT_HARIAN!$B$6:$B$9136,$A20,DEBIT_HARIAN!$C$6:$C$9136,U$4,DEBIT_HARIAN!$E$6:$E$9136,U$5),"")</f>
        <v/>
      </c>
      <c r="V20" s="13">
        <f>IFERROR(AVERAGEIFS(DEBIT_HARIAN!$F$6:$F$9136,DEBIT_HARIAN!$B$6:$B$9136,$A20,DEBIT_HARIAN!$C$6:$C$9136,V$4,DEBIT_HARIAN!$E$6:$E$9136,V$5),"")</f>
        <v/>
      </c>
      <c r="W20" s="13">
        <f>IFERROR(AVERAGEIFS(DEBIT_HARIAN!$F$6:$F$9136,DEBIT_HARIAN!$B$6:$B$9136,$A20,DEBIT_HARIAN!$C$6:$C$9136,W$4,DEBIT_HARIAN!$E$6:$E$9136,W$5),"")</f>
        <v/>
      </c>
      <c r="X20" s="13">
        <f>IFERROR(AVERAGEIFS(DEBIT_HARIAN!$F$6:$F$9136,DEBIT_HARIAN!$B$6:$B$9136,$A20,DEBIT_HARIAN!$C$6:$C$9136,X$4,DEBIT_HARIAN!$E$6:$E$9136,X$5),"")</f>
        <v/>
      </c>
      <c r="Y20" s="13">
        <f>IFERROR(AVERAGEIFS(DEBIT_HARIAN!$F$6:$F$9136,DEBIT_HARIAN!$B$6:$B$9136,$A20,DEBIT_HARIAN!$C$6:$C$9136,Y$4,DEBIT_HARIAN!$E$6:$E$9136,Y$5),"")</f>
        <v/>
      </c>
      <c r="Z20" s="10">
        <f>IFERROR(AVERAGEIFS(DEBIT_HARIAN!$F$6:$F$9136,DEBIT_HARIAN!$B$6:$B$9136,$A20),"")</f>
        <v/>
      </c>
    </row>
    <row r="21">
      <c r="A21" s="18" t="n">
        <v>2015</v>
      </c>
      <c r="B21" s="13">
        <f>IFERROR(AVERAGEIFS(DEBIT_HARIAN!$F$6:$F$9136,DEBIT_HARIAN!$B$6:$B$9136,$A21,DEBIT_HARIAN!$C$6:$C$9136,B$4,DEBIT_HARIAN!$E$6:$E$9136,B$5),"")</f>
        <v/>
      </c>
      <c r="C21" s="13">
        <f>IFERROR(AVERAGEIFS(DEBIT_HARIAN!$F$6:$F$9136,DEBIT_HARIAN!$B$6:$B$9136,$A21,DEBIT_HARIAN!$C$6:$C$9136,C$4,DEBIT_HARIAN!$E$6:$E$9136,C$5),"")</f>
        <v/>
      </c>
      <c r="D21" s="13">
        <f>IFERROR(AVERAGEIFS(DEBIT_HARIAN!$F$6:$F$9136,DEBIT_HARIAN!$B$6:$B$9136,$A21,DEBIT_HARIAN!$C$6:$C$9136,D$4,DEBIT_HARIAN!$E$6:$E$9136,D$5),"")</f>
        <v/>
      </c>
      <c r="E21" s="13">
        <f>IFERROR(AVERAGEIFS(DEBIT_HARIAN!$F$6:$F$9136,DEBIT_HARIAN!$B$6:$B$9136,$A21,DEBIT_HARIAN!$C$6:$C$9136,E$4,DEBIT_HARIAN!$E$6:$E$9136,E$5),"")</f>
        <v/>
      </c>
      <c r="F21" s="13">
        <f>IFERROR(AVERAGEIFS(DEBIT_HARIAN!$F$6:$F$9136,DEBIT_HARIAN!$B$6:$B$9136,$A21,DEBIT_HARIAN!$C$6:$C$9136,F$4,DEBIT_HARIAN!$E$6:$E$9136,F$5),"")</f>
        <v/>
      </c>
      <c r="G21" s="13">
        <f>IFERROR(AVERAGEIFS(DEBIT_HARIAN!$F$6:$F$9136,DEBIT_HARIAN!$B$6:$B$9136,$A21,DEBIT_HARIAN!$C$6:$C$9136,G$4,DEBIT_HARIAN!$E$6:$E$9136,G$5),"")</f>
        <v/>
      </c>
      <c r="H21" s="13">
        <f>IFERROR(AVERAGEIFS(DEBIT_HARIAN!$F$6:$F$9136,DEBIT_HARIAN!$B$6:$B$9136,$A21,DEBIT_HARIAN!$C$6:$C$9136,H$4,DEBIT_HARIAN!$E$6:$E$9136,H$5),"")</f>
        <v/>
      </c>
      <c r="I21" s="13">
        <f>IFERROR(AVERAGEIFS(DEBIT_HARIAN!$F$6:$F$9136,DEBIT_HARIAN!$B$6:$B$9136,$A21,DEBIT_HARIAN!$C$6:$C$9136,I$4,DEBIT_HARIAN!$E$6:$E$9136,I$5),"")</f>
        <v/>
      </c>
      <c r="J21" s="13">
        <f>IFERROR(AVERAGEIFS(DEBIT_HARIAN!$F$6:$F$9136,DEBIT_HARIAN!$B$6:$B$9136,$A21,DEBIT_HARIAN!$C$6:$C$9136,J$4,DEBIT_HARIAN!$E$6:$E$9136,J$5),"")</f>
        <v/>
      </c>
      <c r="K21" s="13">
        <f>IFERROR(AVERAGEIFS(DEBIT_HARIAN!$F$6:$F$9136,DEBIT_HARIAN!$B$6:$B$9136,$A21,DEBIT_HARIAN!$C$6:$C$9136,K$4,DEBIT_HARIAN!$E$6:$E$9136,K$5),"")</f>
        <v/>
      </c>
      <c r="L21" s="13">
        <f>IFERROR(AVERAGEIFS(DEBIT_HARIAN!$F$6:$F$9136,DEBIT_HARIAN!$B$6:$B$9136,$A21,DEBIT_HARIAN!$C$6:$C$9136,L$4,DEBIT_HARIAN!$E$6:$E$9136,L$5),"")</f>
        <v/>
      </c>
      <c r="M21" s="13">
        <f>IFERROR(AVERAGEIFS(DEBIT_HARIAN!$F$6:$F$9136,DEBIT_HARIAN!$B$6:$B$9136,$A21,DEBIT_HARIAN!$C$6:$C$9136,M$4,DEBIT_HARIAN!$E$6:$E$9136,M$5),"")</f>
        <v/>
      </c>
      <c r="N21" s="13">
        <f>IFERROR(AVERAGEIFS(DEBIT_HARIAN!$F$6:$F$9136,DEBIT_HARIAN!$B$6:$B$9136,$A21,DEBIT_HARIAN!$C$6:$C$9136,N$4,DEBIT_HARIAN!$E$6:$E$9136,N$5),"")</f>
        <v/>
      </c>
      <c r="O21" s="13">
        <f>IFERROR(AVERAGEIFS(DEBIT_HARIAN!$F$6:$F$9136,DEBIT_HARIAN!$B$6:$B$9136,$A21,DEBIT_HARIAN!$C$6:$C$9136,O$4,DEBIT_HARIAN!$E$6:$E$9136,O$5),"")</f>
        <v/>
      </c>
      <c r="P21" s="13">
        <f>IFERROR(AVERAGEIFS(DEBIT_HARIAN!$F$6:$F$9136,DEBIT_HARIAN!$B$6:$B$9136,$A21,DEBIT_HARIAN!$C$6:$C$9136,P$4,DEBIT_HARIAN!$E$6:$E$9136,P$5),"")</f>
        <v/>
      </c>
      <c r="Q21" s="13">
        <f>IFERROR(AVERAGEIFS(DEBIT_HARIAN!$F$6:$F$9136,DEBIT_HARIAN!$B$6:$B$9136,$A21,DEBIT_HARIAN!$C$6:$C$9136,Q$4,DEBIT_HARIAN!$E$6:$E$9136,Q$5),"")</f>
        <v/>
      </c>
      <c r="R21" s="13">
        <f>IFERROR(AVERAGEIFS(DEBIT_HARIAN!$F$6:$F$9136,DEBIT_HARIAN!$B$6:$B$9136,$A21,DEBIT_HARIAN!$C$6:$C$9136,R$4,DEBIT_HARIAN!$E$6:$E$9136,R$5),"")</f>
        <v/>
      </c>
      <c r="S21" s="13">
        <f>IFERROR(AVERAGEIFS(DEBIT_HARIAN!$F$6:$F$9136,DEBIT_HARIAN!$B$6:$B$9136,$A21,DEBIT_HARIAN!$C$6:$C$9136,S$4,DEBIT_HARIAN!$E$6:$E$9136,S$5),"")</f>
        <v/>
      </c>
      <c r="T21" s="13">
        <f>IFERROR(AVERAGEIFS(DEBIT_HARIAN!$F$6:$F$9136,DEBIT_HARIAN!$B$6:$B$9136,$A21,DEBIT_HARIAN!$C$6:$C$9136,T$4,DEBIT_HARIAN!$E$6:$E$9136,T$5),"")</f>
        <v/>
      </c>
      <c r="U21" s="13">
        <f>IFERROR(AVERAGEIFS(DEBIT_HARIAN!$F$6:$F$9136,DEBIT_HARIAN!$B$6:$B$9136,$A21,DEBIT_HARIAN!$C$6:$C$9136,U$4,DEBIT_HARIAN!$E$6:$E$9136,U$5),"")</f>
        <v/>
      </c>
      <c r="V21" s="13">
        <f>IFERROR(AVERAGEIFS(DEBIT_HARIAN!$F$6:$F$9136,DEBIT_HARIAN!$B$6:$B$9136,$A21,DEBIT_HARIAN!$C$6:$C$9136,V$4,DEBIT_HARIAN!$E$6:$E$9136,V$5),"")</f>
        <v/>
      </c>
      <c r="W21" s="13">
        <f>IFERROR(AVERAGEIFS(DEBIT_HARIAN!$F$6:$F$9136,DEBIT_HARIAN!$B$6:$B$9136,$A21,DEBIT_HARIAN!$C$6:$C$9136,W$4,DEBIT_HARIAN!$E$6:$E$9136,W$5),"")</f>
        <v/>
      </c>
      <c r="X21" s="13">
        <f>IFERROR(AVERAGEIFS(DEBIT_HARIAN!$F$6:$F$9136,DEBIT_HARIAN!$B$6:$B$9136,$A21,DEBIT_HARIAN!$C$6:$C$9136,X$4,DEBIT_HARIAN!$E$6:$E$9136,X$5),"")</f>
        <v/>
      </c>
      <c r="Y21" s="13">
        <f>IFERROR(AVERAGEIFS(DEBIT_HARIAN!$F$6:$F$9136,DEBIT_HARIAN!$B$6:$B$9136,$A21,DEBIT_HARIAN!$C$6:$C$9136,Y$4,DEBIT_HARIAN!$E$6:$E$9136,Y$5),"")</f>
        <v/>
      </c>
      <c r="Z21" s="10">
        <f>IFERROR(AVERAGEIFS(DEBIT_HARIAN!$F$6:$F$9136,DEBIT_HARIAN!$B$6:$B$9136,$A21),"")</f>
        <v/>
      </c>
    </row>
    <row r="22">
      <c r="A22" s="18" t="n">
        <v>2016</v>
      </c>
      <c r="B22" s="13">
        <f>IFERROR(AVERAGEIFS(DEBIT_HARIAN!$F$6:$F$9136,DEBIT_HARIAN!$B$6:$B$9136,$A22,DEBIT_HARIAN!$C$6:$C$9136,B$4,DEBIT_HARIAN!$E$6:$E$9136,B$5),"")</f>
        <v/>
      </c>
      <c r="C22" s="13">
        <f>IFERROR(AVERAGEIFS(DEBIT_HARIAN!$F$6:$F$9136,DEBIT_HARIAN!$B$6:$B$9136,$A22,DEBIT_HARIAN!$C$6:$C$9136,C$4,DEBIT_HARIAN!$E$6:$E$9136,C$5),"")</f>
        <v/>
      </c>
      <c r="D22" s="13">
        <f>IFERROR(AVERAGEIFS(DEBIT_HARIAN!$F$6:$F$9136,DEBIT_HARIAN!$B$6:$B$9136,$A22,DEBIT_HARIAN!$C$6:$C$9136,D$4,DEBIT_HARIAN!$E$6:$E$9136,D$5),"")</f>
        <v/>
      </c>
      <c r="E22" s="13">
        <f>IFERROR(AVERAGEIFS(DEBIT_HARIAN!$F$6:$F$9136,DEBIT_HARIAN!$B$6:$B$9136,$A22,DEBIT_HARIAN!$C$6:$C$9136,E$4,DEBIT_HARIAN!$E$6:$E$9136,E$5),"")</f>
        <v/>
      </c>
      <c r="F22" s="13">
        <f>IFERROR(AVERAGEIFS(DEBIT_HARIAN!$F$6:$F$9136,DEBIT_HARIAN!$B$6:$B$9136,$A22,DEBIT_HARIAN!$C$6:$C$9136,F$4,DEBIT_HARIAN!$E$6:$E$9136,F$5),"")</f>
        <v/>
      </c>
      <c r="G22" s="13">
        <f>IFERROR(AVERAGEIFS(DEBIT_HARIAN!$F$6:$F$9136,DEBIT_HARIAN!$B$6:$B$9136,$A22,DEBIT_HARIAN!$C$6:$C$9136,G$4,DEBIT_HARIAN!$E$6:$E$9136,G$5),"")</f>
        <v/>
      </c>
      <c r="H22" s="13">
        <f>IFERROR(AVERAGEIFS(DEBIT_HARIAN!$F$6:$F$9136,DEBIT_HARIAN!$B$6:$B$9136,$A22,DEBIT_HARIAN!$C$6:$C$9136,H$4,DEBIT_HARIAN!$E$6:$E$9136,H$5),"")</f>
        <v/>
      </c>
      <c r="I22" s="13">
        <f>IFERROR(AVERAGEIFS(DEBIT_HARIAN!$F$6:$F$9136,DEBIT_HARIAN!$B$6:$B$9136,$A22,DEBIT_HARIAN!$C$6:$C$9136,I$4,DEBIT_HARIAN!$E$6:$E$9136,I$5),"")</f>
        <v/>
      </c>
      <c r="J22" s="13">
        <f>IFERROR(AVERAGEIFS(DEBIT_HARIAN!$F$6:$F$9136,DEBIT_HARIAN!$B$6:$B$9136,$A22,DEBIT_HARIAN!$C$6:$C$9136,J$4,DEBIT_HARIAN!$E$6:$E$9136,J$5),"")</f>
        <v/>
      </c>
      <c r="K22" s="13">
        <f>IFERROR(AVERAGEIFS(DEBIT_HARIAN!$F$6:$F$9136,DEBIT_HARIAN!$B$6:$B$9136,$A22,DEBIT_HARIAN!$C$6:$C$9136,K$4,DEBIT_HARIAN!$E$6:$E$9136,K$5),"")</f>
        <v/>
      </c>
      <c r="L22" s="13">
        <f>IFERROR(AVERAGEIFS(DEBIT_HARIAN!$F$6:$F$9136,DEBIT_HARIAN!$B$6:$B$9136,$A22,DEBIT_HARIAN!$C$6:$C$9136,L$4,DEBIT_HARIAN!$E$6:$E$9136,L$5),"")</f>
        <v/>
      </c>
      <c r="M22" s="13">
        <f>IFERROR(AVERAGEIFS(DEBIT_HARIAN!$F$6:$F$9136,DEBIT_HARIAN!$B$6:$B$9136,$A22,DEBIT_HARIAN!$C$6:$C$9136,M$4,DEBIT_HARIAN!$E$6:$E$9136,M$5),"")</f>
        <v/>
      </c>
      <c r="N22" s="13">
        <f>IFERROR(AVERAGEIFS(DEBIT_HARIAN!$F$6:$F$9136,DEBIT_HARIAN!$B$6:$B$9136,$A22,DEBIT_HARIAN!$C$6:$C$9136,N$4,DEBIT_HARIAN!$E$6:$E$9136,N$5),"")</f>
        <v/>
      </c>
      <c r="O22" s="13">
        <f>IFERROR(AVERAGEIFS(DEBIT_HARIAN!$F$6:$F$9136,DEBIT_HARIAN!$B$6:$B$9136,$A22,DEBIT_HARIAN!$C$6:$C$9136,O$4,DEBIT_HARIAN!$E$6:$E$9136,O$5),"")</f>
        <v/>
      </c>
      <c r="P22" s="13">
        <f>IFERROR(AVERAGEIFS(DEBIT_HARIAN!$F$6:$F$9136,DEBIT_HARIAN!$B$6:$B$9136,$A22,DEBIT_HARIAN!$C$6:$C$9136,P$4,DEBIT_HARIAN!$E$6:$E$9136,P$5),"")</f>
        <v/>
      </c>
      <c r="Q22" s="13">
        <f>IFERROR(AVERAGEIFS(DEBIT_HARIAN!$F$6:$F$9136,DEBIT_HARIAN!$B$6:$B$9136,$A22,DEBIT_HARIAN!$C$6:$C$9136,Q$4,DEBIT_HARIAN!$E$6:$E$9136,Q$5),"")</f>
        <v/>
      </c>
      <c r="R22" s="13">
        <f>IFERROR(AVERAGEIFS(DEBIT_HARIAN!$F$6:$F$9136,DEBIT_HARIAN!$B$6:$B$9136,$A22,DEBIT_HARIAN!$C$6:$C$9136,R$4,DEBIT_HARIAN!$E$6:$E$9136,R$5),"")</f>
        <v/>
      </c>
      <c r="S22" s="13">
        <f>IFERROR(AVERAGEIFS(DEBIT_HARIAN!$F$6:$F$9136,DEBIT_HARIAN!$B$6:$B$9136,$A22,DEBIT_HARIAN!$C$6:$C$9136,S$4,DEBIT_HARIAN!$E$6:$E$9136,S$5),"")</f>
        <v/>
      </c>
      <c r="T22" s="13">
        <f>IFERROR(AVERAGEIFS(DEBIT_HARIAN!$F$6:$F$9136,DEBIT_HARIAN!$B$6:$B$9136,$A22,DEBIT_HARIAN!$C$6:$C$9136,T$4,DEBIT_HARIAN!$E$6:$E$9136,T$5),"")</f>
        <v/>
      </c>
      <c r="U22" s="13">
        <f>IFERROR(AVERAGEIFS(DEBIT_HARIAN!$F$6:$F$9136,DEBIT_HARIAN!$B$6:$B$9136,$A22,DEBIT_HARIAN!$C$6:$C$9136,U$4,DEBIT_HARIAN!$E$6:$E$9136,U$5),"")</f>
        <v/>
      </c>
      <c r="V22" s="13">
        <f>IFERROR(AVERAGEIFS(DEBIT_HARIAN!$F$6:$F$9136,DEBIT_HARIAN!$B$6:$B$9136,$A22,DEBIT_HARIAN!$C$6:$C$9136,V$4,DEBIT_HARIAN!$E$6:$E$9136,V$5),"")</f>
        <v/>
      </c>
      <c r="W22" s="13">
        <f>IFERROR(AVERAGEIFS(DEBIT_HARIAN!$F$6:$F$9136,DEBIT_HARIAN!$B$6:$B$9136,$A22,DEBIT_HARIAN!$C$6:$C$9136,W$4,DEBIT_HARIAN!$E$6:$E$9136,W$5),"")</f>
        <v/>
      </c>
      <c r="X22" s="13">
        <f>IFERROR(AVERAGEIFS(DEBIT_HARIAN!$F$6:$F$9136,DEBIT_HARIAN!$B$6:$B$9136,$A22,DEBIT_HARIAN!$C$6:$C$9136,X$4,DEBIT_HARIAN!$E$6:$E$9136,X$5),"")</f>
        <v/>
      </c>
      <c r="Y22" s="13">
        <f>IFERROR(AVERAGEIFS(DEBIT_HARIAN!$F$6:$F$9136,DEBIT_HARIAN!$B$6:$B$9136,$A22,DEBIT_HARIAN!$C$6:$C$9136,Y$4,DEBIT_HARIAN!$E$6:$E$9136,Y$5),"")</f>
        <v/>
      </c>
      <c r="Z22" s="10">
        <f>IFERROR(AVERAGEIFS(DEBIT_HARIAN!$F$6:$F$9136,DEBIT_HARIAN!$B$6:$B$9136,$A22),"")</f>
        <v/>
      </c>
    </row>
    <row r="23">
      <c r="A23" s="18" t="n">
        <v>2017</v>
      </c>
      <c r="B23" s="13">
        <f>IFERROR(AVERAGEIFS(DEBIT_HARIAN!$F$6:$F$9136,DEBIT_HARIAN!$B$6:$B$9136,$A23,DEBIT_HARIAN!$C$6:$C$9136,B$4,DEBIT_HARIAN!$E$6:$E$9136,B$5),"")</f>
        <v/>
      </c>
      <c r="C23" s="13">
        <f>IFERROR(AVERAGEIFS(DEBIT_HARIAN!$F$6:$F$9136,DEBIT_HARIAN!$B$6:$B$9136,$A23,DEBIT_HARIAN!$C$6:$C$9136,C$4,DEBIT_HARIAN!$E$6:$E$9136,C$5),"")</f>
        <v/>
      </c>
      <c r="D23" s="13">
        <f>IFERROR(AVERAGEIFS(DEBIT_HARIAN!$F$6:$F$9136,DEBIT_HARIAN!$B$6:$B$9136,$A23,DEBIT_HARIAN!$C$6:$C$9136,D$4,DEBIT_HARIAN!$E$6:$E$9136,D$5),"")</f>
        <v/>
      </c>
      <c r="E23" s="13">
        <f>IFERROR(AVERAGEIFS(DEBIT_HARIAN!$F$6:$F$9136,DEBIT_HARIAN!$B$6:$B$9136,$A23,DEBIT_HARIAN!$C$6:$C$9136,E$4,DEBIT_HARIAN!$E$6:$E$9136,E$5),"")</f>
        <v/>
      </c>
      <c r="F23" s="13">
        <f>IFERROR(AVERAGEIFS(DEBIT_HARIAN!$F$6:$F$9136,DEBIT_HARIAN!$B$6:$B$9136,$A23,DEBIT_HARIAN!$C$6:$C$9136,F$4,DEBIT_HARIAN!$E$6:$E$9136,F$5),"")</f>
        <v/>
      </c>
      <c r="G23" s="13">
        <f>IFERROR(AVERAGEIFS(DEBIT_HARIAN!$F$6:$F$9136,DEBIT_HARIAN!$B$6:$B$9136,$A23,DEBIT_HARIAN!$C$6:$C$9136,G$4,DEBIT_HARIAN!$E$6:$E$9136,G$5),"")</f>
        <v/>
      </c>
      <c r="H23" s="13">
        <f>IFERROR(AVERAGEIFS(DEBIT_HARIAN!$F$6:$F$9136,DEBIT_HARIAN!$B$6:$B$9136,$A23,DEBIT_HARIAN!$C$6:$C$9136,H$4,DEBIT_HARIAN!$E$6:$E$9136,H$5),"")</f>
        <v/>
      </c>
      <c r="I23" s="13">
        <f>IFERROR(AVERAGEIFS(DEBIT_HARIAN!$F$6:$F$9136,DEBIT_HARIAN!$B$6:$B$9136,$A23,DEBIT_HARIAN!$C$6:$C$9136,I$4,DEBIT_HARIAN!$E$6:$E$9136,I$5),"")</f>
        <v/>
      </c>
      <c r="J23" s="13">
        <f>IFERROR(AVERAGEIFS(DEBIT_HARIAN!$F$6:$F$9136,DEBIT_HARIAN!$B$6:$B$9136,$A23,DEBIT_HARIAN!$C$6:$C$9136,J$4,DEBIT_HARIAN!$E$6:$E$9136,J$5),"")</f>
        <v/>
      </c>
      <c r="K23" s="13">
        <f>IFERROR(AVERAGEIFS(DEBIT_HARIAN!$F$6:$F$9136,DEBIT_HARIAN!$B$6:$B$9136,$A23,DEBIT_HARIAN!$C$6:$C$9136,K$4,DEBIT_HARIAN!$E$6:$E$9136,K$5),"")</f>
        <v/>
      </c>
      <c r="L23" s="13">
        <f>IFERROR(AVERAGEIFS(DEBIT_HARIAN!$F$6:$F$9136,DEBIT_HARIAN!$B$6:$B$9136,$A23,DEBIT_HARIAN!$C$6:$C$9136,L$4,DEBIT_HARIAN!$E$6:$E$9136,L$5),"")</f>
        <v/>
      </c>
      <c r="M23" s="13">
        <f>IFERROR(AVERAGEIFS(DEBIT_HARIAN!$F$6:$F$9136,DEBIT_HARIAN!$B$6:$B$9136,$A23,DEBIT_HARIAN!$C$6:$C$9136,M$4,DEBIT_HARIAN!$E$6:$E$9136,M$5),"")</f>
        <v/>
      </c>
      <c r="N23" s="13">
        <f>IFERROR(AVERAGEIFS(DEBIT_HARIAN!$F$6:$F$9136,DEBIT_HARIAN!$B$6:$B$9136,$A23,DEBIT_HARIAN!$C$6:$C$9136,N$4,DEBIT_HARIAN!$E$6:$E$9136,N$5),"")</f>
        <v/>
      </c>
      <c r="O23" s="13">
        <f>IFERROR(AVERAGEIFS(DEBIT_HARIAN!$F$6:$F$9136,DEBIT_HARIAN!$B$6:$B$9136,$A23,DEBIT_HARIAN!$C$6:$C$9136,O$4,DEBIT_HARIAN!$E$6:$E$9136,O$5),"")</f>
        <v/>
      </c>
      <c r="P23" s="13">
        <f>IFERROR(AVERAGEIFS(DEBIT_HARIAN!$F$6:$F$9136,DEBIT_HARIAN!$B$6:$B$9136,$A23,DEBIT_HARIAN!$C$6:$C$9136,P$4,DEBIT_HARIAN!$E$6:$E$9136,P$5),"")</f>
        <v/>
      </c>
      <c r="Q23" s="13">
        <f>IFERROR(AVERAGEIFS(DEBIT_HARIAN!$F$6:$F$9136,DEBIT_HARIAN!$B$6:$B$9136,$A23,DEBIT_HARIAN!$C$6:$C$9136,Q$4,DEBIT_HARIAN!$E$6:$E$9136,Q$5),"")</f>
        <v/>
      </c>
      <c r="R23" s="13">
        <f>IFERROR(AVERAGEIFS(DEBIT_HARIAN!$F$6:$F$9136,DEBIT_HARIAN!$B$6:$B$9136,$A23,DEBIT_HARIAN!$C$6:$C$9136,R$4,DEBIT_HARIAN!$E$6:$E$9136,R$5),"")</f>
        <v/>
      </c>
      <c r="S23" s="13">
        <f>IFERROR(AVERAGEIFS(DEBIT_HARIAN!$F$6:$F$9136,DEBIT_HARIAN!$B$6:$B$9136,$A23,DEBIT_HARIAN!$C$6:$C$9136,S$4,DEBIT_HARIAN!$E$6:$E$9136,S$5),"")</f>
        <v/>
      </c>
      <c r="T23" s="13">
        <f>IFERROR(AVERAGEIFS(DEBIT_HARIAN!$F$6:$F$9136,DEBIT_HARIAN!$B$6:$B$9136,$A23,DEBIT_HARIAN!$C$6:$C$9136,T$4,DEBIT_HARIAN!$E$6:$E$9136,T$5),"")</f>
        <v/>
      </c>
      <c r="U23" s="13">
        <f>IFERROR(AVERAGEIFS(DEBIT_HARIAN!$F$6:$F$9136,DEBIT_HARIAN!$B$6:$B$9136,$A23,DEBIT_HARIAN!$C$6:$C$9136,U$4,DEBIT_HARIAN!$E$6:$E$9136,U$5),"")</f>
        <v/>
      </c>
      <c r="V23" s="13">
        <f>IFERROR(AVERAGEIFS(DEBIT_HARIAN!$F$6:$F$9136,DEBIT_HARIAN!$B$6:$B$9136,$A23,DEBIT_HARIAN!$C$6:$C$9136,V$4,DEBIT_HARIAN!$E$6:$E$9136,V$5),"")</f>
        <v/>
      </c>
      <c r="W23" s="13">
        <f>IFERROR(AVERAGEIFS(DEBIT_HARIAN!$F$6:$F$9136,DEBIT_HARIAN!$B$6:$B$9136,$A23,DEBIT_HARIAN!$C$6:$C$9136,W$4,DEBIT_HARIAN!$E$6:$E$9136,W$5),"")</f>
        <v/>
      </c>
      <c r="X23" s="13">
        <f>IFERROR(AVERAGEIFS(DEBIT_HARIAN!$F$6:$F$9136,DEBIT_HARIAN!$B$6:$B$9136,$A23,DEBIT_HARIAN!$C$6:$C$9136,X$4,DEBIT_HARIAN!$E$6:$E$9136,X$5),"")</f>
        <v/>
      </c>
      <c r="Y23" s="13">
        <f>IFERROR(AVERAGEIFS(DEBIT_HARIAN!$F$6:$F$9136,DEBIT_HARIAN!$B$6:$B$9136,$A23,DEBIT_HARIAN!$C$6:$C$9136,Y$4,DEBIT_HARIAN!$E$6:$E$9136,Y$5),"")</f>
        <v/>
      </c>
      <c r="Z23" s="10">
        <f>IFERROR(AVERAGEIFS(DEBIT_HARIAN!$F$6:$F$9136,DEBIT_HARIAN!$B$6:$B$9136,$A23),"")</f>
        <v/>
      </c>
    </row>
    <row r="24">
      <c r="A24" s="18" t="n">
        <v>2018</v>
      </c>
      <c r="B24" s="13">
        <f>IFERROR(AVERAGEIFS(DEBIT_HARIAN!$F$6:$F$9136,DEBIT_HARIAN!$B$6:$B$9136,$A24,DEBIT_HARIAN!$C$6:$C$9136,B$4,DEBIT_HARIAN!$E$6:$E$9136,B$5),"")</f>
        <v/>
      </c>
      <c r="C24" s="13">
        <f>IFERROR(AVERAGEIFS(DEBIT_HARIAN!$F$6:$F$9136,DEBIT_HARIAN!$B$6:$B$9136,$A24,DEBIT_HARIAN!$C$6:$C$9136,C$4,DEBIT_HARIAN!$E$6:$E$9136,C$5),"")</f>
        <v/>
      </c>
      <c r="D24" s="13">
        <f>IFERROR(AVERAGEIFS(DEBIT_HARIAN!$F$6:$F$9136,DEBIT_HARIAN!$B$6:$B$9136,$A24,DEBIT_HARIAN!$C$6:$C$9136,D$4,DEBIT_HARIAN!$E$6:$E$9136,D$5),"")</f>
        <v/>
      </c>
      <c r="E24" s="13">
        <f>IFERROR(AVERAGEIFS(DEBIT_HARIAN!$F$6:$F$9136,DEBIT_HARIAN!$B$6:$B$9136,$A24,DEBIT_HARIAN!$C$6:$C$9136,E$4,DEBIT_HARIAN!$E$6:$E$9136,E$5),"")</f>
        <v/>
      </c>
      <c r="F24" s="13">
        <f>IFERROR(AVERAGEIFS(DEBIT_HARIAN!$F$6:$F$9136,DEBIT_HARIAN!$B$6:$B$9136,$A24,DEBIT_HARIAN!$C$6:$C$9136,F$4,DEBIT_HARIAN!$E$6:$E$9136,F$5),"")</f>
        <v/>
      </c>
      <c r="G24" s="13">
        <f>IFERROR(AVERAGEIFS(DEBIT_HARIAN!$F$6:$F$9136,DEBIT_HARIAN!$B$6:$B$9136,$A24,DEBIT_HARIAN!$C$6:$C$9136,G$4,DEBIT_HARIAN!$E$6:$E$9136,G$5),"")</f>
        <v/>
      </c>
      <c r="H24" s="13">
        <f>IFERROR(AVERAGEIFS(DEBIT_HARIAN!$F$6:$F$9136,DEBIT_HARIAN!$B$6:$B$9136,$A24,DEBIT_HARIAN!$C$6:$C$9136,H$4,DEBIT_HARIAN!$E$6:$E$9136,H$5),"")</f>
        <v/>
      </c>
      <c r="I24" s="13">
        <f>IFERROR(AVERAGEIFS(DEBIT_HARIAN!$F$6:$F$9136,DEBIT_HARIAN!$B$6:$B$9136,$A24,DEBIT_HARIAN!$C$6:$C$9136,I$4,DEBIT_HARIAN!$E$6:$E$9136,I$5),"")</f>
        <v/>
      </c>
      <c r="J24" s="13">
        <f>IFERROR(AVERAGEIFS(DEBIT_HARIAN!$F$6:$F$9136,DEBIT_HARIAN!$B$6:$B$9136,$A24,DEBIT_HARIAN!$C$6:$C$9136,J$4,DEBIT_HARIAN!$E$6:$E$9136,J$5),"")</f>
        <v/>
      </c>
      <c r="K24" s="13">
        <f>IFERROR(AVERAGEIFS(DEBIT_HARIAN!$F$6:$F$9136,DEBIT_HARIAN!$B$6:$B$9136,$A24,DEBIT_HARIAN!$C$6:$C$9136,K$4,DEBIT_HARIAN!$E$6:$E$9136,K$5),"")</f>
        <v/>
      </c>
      <c r="L24" s="13">
        <f>IFERROR(AVERAGEIFS(DEBIT_HARIAN!$F$6:$F$9136,DEBIT_HARIAN!$B$6:$B$9136,$A24,DEBIT_HARIAN!$C$6:$C$9136,L$4,DEBIT_HARIAN!$E$6:$E$9136,L$5),"")</f>
        <v/>
      </c>
      <c r="M24" s="13">
        <f>IFERROR(AVERAGEIFS(DEBIT_HARIAN!$F$6:$F$9136,DEBIT_HARIAN!$B$6:$B$9136,$A24,DEBIT_HARIAN!$C$6:$C$9136,M$4,DEBIT_HARIAN!$E$6:$E$9136,M$5),"")</f>
        <v/>
      </c>
      <c r="N24" s="13">
        <f>IFERROR(AVERAGEIFS(DEBIT_HARIAN!$F$6:$F$9136,DEBIT_HARIAN!$B$6:$B$9136,$A24,DEBIT_HARIAN!$C$6:$C$9136,N$4,DEBIT_HARIAN!$E$6:$E$9136,N$5),"")</f>
        <v/>
      </c>
      <c r="O24" s="13">
        <f>IFERROR(AVERAGEIFS(DEBIT_HARIAN!$F$6:$F$9136,DEBIT_HARIAN!$B$6:$B$9136,$A24,DEBIT_HARIAN!$C$6:$C$9136,O$4,DEBIT_HARIAN!$E$6:$E$9136,O$5),"")</f>
        <v/>
      </c>
      <c r="P24" s="13">
        <f>IFERROR(AVERAGEIFS(DEBIT_HARIAN!$F$6:$F$9136,DEBIT_HARIAN!$B$6:$B$9136,$A24,DEBIT_HARIAN!$C$6:$C$9136,P$4,DEBIT_HARIAN!$E$6:$E$9136,P$5),"")</f>
        <v/>
      </c>
      <c r="Q24" s="13">
        <f>IFERROR(AVERAGEIFS(DEBIT_HARIAN!$F$6:$F$9136,DEBIT_HARIAN!$B$6:$B$9136,$A24,DEBIT_HARIAN!$C$6:$C$9136,Q$4,DEBIT_HARIAN!$E$6:$E$9136,Q$5),"")</f>
        <v/>
      </c>
      <c r="R24" s="13">
        <f>IFERROR(AVERAGEIFS(DEBIT_HARIAN!$F$6:$F$9136,DEBIT_HARIAN!$B$6:$B$9136,$A24,DEBIT_HARIAN!$C$6:$C$9136,R$4,DEBIT_HARIAN!$E$6:$E$9136,R$5),"")</f>
        <v/>
      </c>
      <c r="S24" s="13">
        <f>IFERROR(AVERAGEIFS(DEBIT_HARIAN!$F$6:$F$9136,DEBIT_HARIAN!$B$6:$B$9136,$A24,DEBIT_HARIAN!$C$6:$C$9136,S$4,DEBIT_HARIAN!$E$6:$E$9136,S$5),"")</f>
        <v/>
      </c>
      <c r="T24" s="13">
        <f>IFERROR(AVERAGEIFS(DEBIT_HARIAN!$F$6:$F$9136,DEBIT_HARIAN!$B$6:$B$9136,$A24,DEBIT_HARIAN!$C$6:$C$9136,T$4,DEBIT_HARIAN!$E$6:$E$9136,T$5),"")</f>
        <v/>
      </c>
      <c r="U24" s="13">
        <f>IFERROR(AVERAGEIFS(DEBIT_HARIAN!$F$6:$F$9136,DEBIT_HARIAN!$B$6:$B$9136,$A24,DEBIT_HARIAN!$C$6:$C$9136,U$4,DEBIT_HARIAN!$E$6:$E$9136,U$5),"")</f>
        <v/>
      </c>
      <c r="V24" s="13">
        <f>IFERROR(AVERAGEIFS(DEBIT_HARIAN!$F$6:$F$9136,DEBIT_HARIAN!$B$6:$B$9136,$A24,DEBIT_HARIAN!$C$6:$C$9136,V$4,DEBIT_HARIAN!$E$6:$E$9136,V$5),"")</f>
        <v/>
      </c>
      <c r="W24" s="13">
        <f>IFERROR(AVERAGEIFS(DEBIT_HARIAN!$F$6:$F$9136,DEBIT_HARIAN!$B$6:$B$9136,$A24,DEBIT_HARIAN!$C$6:$C$9136,W$4,DEBIT_HARIAN!$E$6:$E$9136,W$5),"")</f>
        <v/>
      </c>
      <c r="X24" s="13">
        <f>IFERROR(AVERAGEIFS(DEBIT_HARIAN!$F$6:$F$9136,DEBIT_HARIAN!$B$6:$B$9136,$A24,DEBIT_HARIAN!$C$6:$C$9136,X$4,DEBIT_HARIAN!$E$6:$E$9136,X$5),"")</f>
        <v/>
      </c>
      <c r="Y24" s="13">
        <f>IFERROR(AVERAGEIFS(DEBIT_HARIAN!$F$6:$F$9136,DEBIT_HARIAN!$B$6:$B$9136,$A24,DEBIT_HARIAN!$C$6:$C$9136,Y$4,DEBIT_HARIAN!$E$6:$E$9136,Y$5),"")</f>
        <v/>
      </c>
      <c r="Z24" s="10">
        <f>IFERROR(AVERAGEIFS(DEBIT_HARIAN!$F$6:$F$9136,DEBIT_HARIAN!$B$6:$B$9136,$A24),"")</f>
        <v/>
      </c>
    </row>
    <row r="25">
      <c r="A25" s="18" t="n">
        <v>2019</v>
      </c>
      <c r="B25" s="13">
        <f>IFERROR(AVERAGEIFS(DEBIT_HARIAN!$F$6:$F$9136,DEBIT_HARIAN!$B$6:$B$9136,$A25,DEBIT_HARIAN!$C$6:$C$9136,B$4,DEBIT_HARIAN!$E$6:$E$9136,B$5),"")</f>
        <v/>
      </c>
      <c r="C25" s="13">
        <f>IFERROR(AVERAGEIFS(DEBIT_HARIAN!$F$6:$F$9136,DEBIT_HARIAN!$B$6:$B$9136,$A25,DEBIT_HARIAN!$C$6:$C$9136,C$4,DEBIT_HARIAN!$E$6:$E$9136,C$5),"")</f>
        <v/>
      </c>
      <c r="D25" s="13">
        <f>IFERROR(AVERAGEIFS(DEBIT_HARIAN!$F$6:$F$9136,DEBIT_HARIAN!$B$6:$B$9136,$A25,DEBIT_HARIAN!$C$6:$C$9136,D$4,DEBIT_HARIAN!$E$6:$E$9136,D$5),"")</f>
        <v/>
      </c>
      <c r="E25" s="13">
        <f>IFERROR(AVERAGEIFS(DEBIT_HARIAN!$F$6:$F$9136,DEBIT_HARIAN!$B$6:$B$9136,$A25,DEBIT_HARIAN!$C$6:$C$9136,E$4,DEBIT_HARIAN!$E$6:$E$9136,E$5),"")</f>
        <v/>
      </c>
      <c r="F25" s="13">
        <f>IFERROR(AVERAGEIFS(DEBIT_HARIAN!$F$6:$F$9136,DEBIT_HARIAN!$B$6:$B$9136,$A25,DEBIT_HARIAN!$C$6:$C$9136,F$4,DEBIT_HARIAN!$E$6:$E$9136,F$5),"")</f>
        <v/>
      </c>
      <c r="G25" s="13">
        <f>IFERROR(AVERAGEIFS(DEBIT_HARIAN!$F$6:$F$9136,DEBIT_HARIAN!$B$6:$B$9136,$A25,DEBIT_HARIAN!$C$6:$C$9136,G$4,DEBIT_HARIAN!$E$6:$E$9136,G$5),"")</f>
        <v/>
      </c>
      <c r="H25" s="13">
        <f>IFERROR(AVERAGEIFS(DEBIT_HARIAN!$F$6:$F$9136,DEBIT_HARIAN!$B$6:$B$9136,$A25,DEBIT_HARIAN!$C$6:$C$9136,H$4,DEBIT_HARIAN!$E$6:$E$9136,H$5),"")</f>
        <v/>
      </c>
      <c r="I25" s="13">
        <f>IFERROR(AVERAGEIFS(DEBIT_HARIAN!$F$6:$F$9136,DEBIT_HARIAN!$B$6:$B$9136,$A25,DEBIT_HARIAN!$C$6:$C$9136,I$4,DEBIT_HARIAN!$E$6:$E$9136,I$5),"")</f>
        <v/>
      </c>
      <c r="J25" s="13">
        <f>IFERROR(AVERAGEIFS(DEBIT_HARIAN!$F$6:$F$9136,DEBIT_HARIAN!$B$6:$B$9136,$A25,DEBIT_HARIAN!$C$6:$C$9136,J$4,DEBIT_HARIAN!$E$6:$E$9136,J$5),"")</f>
        <v/>
      </c>
      <c r="K25" s="13">
        <f>IFERROR(AVERAGEIFS(DEBIT_HARIAN!$F$6:$F$9136,DEBIT_HARIAN!$B$6:$B$9136,$A25,DEBIT_HARIAN!$C$6:$C$9136,K$4,DEBIT_HARIAN!$E$6:$E$9136,K$5),"")</f>
        <v/>
      </c>
      <c r="L25" s="13">
        <f>IFERROR(AVERAGEIFS(DEBIT_HARIAN!$F$6:$F$9136,DEBIT_HARIAN!$B$6:$B$9136,$A25,DEBIT_HARIAN!$C$6:$C$9136,L$4,DEBIT_HARIAN!$E$6:$E$9136,L$5),"")</f>
        <v/>
      </c>
      <c r="M25" s="13">
        <f>IFERROR(AVERAGEIFS(DEBIT_HARIAN!$F$6:$F$9136,DEBIT_HARIAN!$B$6:$B$9136,$A25,DEBIT_HARIAN!$C$6:$C$9136,M$4,DEBIT_HARIAN!$E$6:$E$9136,M$5),"")</f>
        <v/>
      </c>
      <c r="N25" s="13">
        <f>IFERROR(AVERAGEIFS(DEBIT_HARIAN!$F$6:$F$9136,DEBIT_HARIAN!$B$6:$B$9136,$A25,DEBIT_HARIAN!$C$6:$C$9136,N$4,DEBIT_HARIAN!$E$6:$E$9136,N$5),"")</f>
        <v/>
      </c>
      <c r="O25" s="13">
        <f>IFERROR(AVERAGEIFS(DEBIT_HARIAN!$F$6:$F$9136,DEBIT_HARIAN!$B$6:$B$9136,$A25,DEBIT_HARIAN!$C$6:$C$9136,O$4,DEBIT_HARIAN!$E$6:$E$9136,O$5),"")</f>
        <v/>
      </c>
      <c r="P25" s="13">
        <f>IFERROR(AVERAGEIFS(DEBIT_HARIAN!$F$6:$F$9136,DEBIT_HARIAN!$B$6:$B$9136,$A25,DEBIT_HARIAN!$C$6:$C$9136,P$4,DEBIT_HARIAN!$E$6:$E$9136,P$5),"")</f>
        <v/>
      </c>
      <c r="Q25" s="13">
        <f>IFERROR(AVERAGEIFS(DEBIT_HARIAN!$F$6:$F$9136,DEBIT_HARIAN!$B$6:$B$9136,$A25,DEBIT_HARIAN!$C$6:$C$9136,Q$4,DEBIT_HARIAN!$E$6:$E$9136,Q$5),"")</f>
        <v/>
      </c>
      <c r="R25" s="13">
        <f>IFERROR(AVERAGEIFS(DEBIT_HARIAN!$F$6:$F$9136,DEBIT_HARIAN!$B$6:$B$9136,$A25,DEBIT_HARIAN!$C$6:$C$9136,R$4,DEBIT_HARIAN!$E$6:$E$9136,R$5),"")</f>
        <v/>
      </c>
      <c r="S25" s="13">
        <f>IFERROR(AVERAGEIFS(DEBIT_HARIAN!$F$6:$F$9136,DEBIT_HARIAN!$B$6:$B$9136,$A25,DEBIT_HARIAN!$C$6:$C$9136,S$4,DEBIT_HARIAN!$E$6:$E$9136,S$5),"")</f>
        <v/>
      </c>
      <c r="T25" s="13">
        <f>IFERROR(AVERAGEIFS(DEBIT_HARIAN!$F$6:$F$9136,DEBIT_HARIAN!$B$6:$B$9136,$A25,DEBIT_HARIAN!$C$6:$C$9136,T$4,DEBIT_HARIAN!$E$6:$E$9136,T$5),"")</f>
        <v/>
      </c>
      <c r="U25" s="13">
        <f>IFERROR(AVERAGEIFS(DEBIT_HARIAN!$F$6:$F$9136,DEBIT_HARIAN!$B$6:$B$9136,$A25,DEBIT_HARIAN!$C$6:$C$9136,U$4,DEBIT_HARIAN!$E$6:$E$9136,U$5),"")</f>
        <v/>
      </c>
      <c r="V25" s="13">
        <f>IFERROR(AVERAGEIFS(DEBIT_HARIAN!$F$6:$F$9136,DEBIT_HARIAN!$B$6:$B$9136,$A25,DEBIT_HARIAN!$C$6:$C$9136,V$4,DEBIT_HARIAN!$E$6:$E$9136,V$5),"")</f>
        <v/>
      </c>
      <c r="W25" s="13">
        <f>IFERROR(AVERAGEIFS(DEBIT_HARIAN!$F$6:$F$9136,DEBIT_HARIAN!$B$6:$B$9136,$A25,DEBIT_HARIAN!$C$6:$C$9136,W$4,DEBIT_HARIAN!$E$6:$E$9136,W$5),"")</f>
        <v/>
      </c>
      <c r="X25" s="13">
        <f>IFERROR(AVERAGEIFS(DEBIT_HARIAN!$F$6:$F$9136,DEBIT_HARIAN!$B$6:$B$9136,$A25,DEBIT_HARIAN!$C$6:$C$9136,X$4,DEBIT_HARIAN!$E$6:$E$9136,X$5),"")</f>
        <v/>
      </c>
      <c r="Y25" s="13">
        <f>IFERROR(AVERAGEIFS(DEBIT_HARIAN!$F$6:$F$9136,DEBIT_HARIAN!$B$6:$B$9136,$A25,DEBIT_HARIAN!$C$6:$C$9136,Y$4,DEBIT_HARIAN!$E$6:$E$9136,Y$5),"")</f>
        <v/>
      </c>
      <c r="Z25" s="10">
        <f>IFERROR(AVERAGEIFS(DEBIT_HARIAN!$F$6:$F$9136,DEBIT_HARIAN!$B$6:$B$9136,$A25),"")</f>
        <v/>
      </c>
    </row>
    <row r="26">
      <c r="A26" s="18" t="n">
        <v>2020</v>
      </c>
      <c r="B26" s="13">
        <f>IFERROR(AVERAGEIFS(DEBIT_HARIAN!$F$6:$F$9136,DEBIT_HARIAN!$B$6:$B$9136,$A26,DEBIT_HARIAN!$C$6:$C$9136,B$4,DEBIT_HARIAN!$E$6:$E$9136,B$5),"")</f>
        <v/>
      </c>
      <c r="C26" s="13">
        <f>IFERROR(AVERAGEIFS(DEBIT_HARIAN!$F$6:$F$9136,DEBIT_HARIAN!$B$6:$B$9136,$A26,DEBIT_HARIAN!$C$6:$C$9136,C$4,DEBIT_HARIAN!$E$6:$E$9136,C$5),"")</f>
        <v/>
      </c>
      <c r="D26" s="13">
        <f>IFERROR(AVERAGEIFS(DEBIT_HARIAN!$F$6:$F$9136,DEBIT_HARIAN!$B$6:$B$9136,$A26,DEBIT_HARIAN!$C$6:$C$9136,D$4,DEBIT_HARIAN!$E$6:$E$9136,D$5),"")</f>
        <v/>
      </c>
      <c r="E26" s="13">
        <f>IFERROR(AVERAGEIFS(DEBIT_HARIAN!$F$6:$F$9136,DEBIT_HARIAN!$B$6:$B$9136,$A26,DEBIT_HARIAN!$C$6:$C$9136,E$4,DEBIT_HARIAN!$E$6:$E$9136,E$5),"")</f>
        <v/>
      </c>
      <c r="F26" s="13">
        <f>IFERROR(AVERAGEIFS(DEBIT_HARIAN!$F$6:$F$9136,DEBIT_HARIAN!$B$6:$B$9136,$A26,DEBIT_HARIAN!$C$6:$C$9136,F$4,DEBIT_HARIAN!$E$6:$E$9136,F$5),"")</f>
        <v/>
      </c>
      <c r="G26" s="13">
        <f>IFERROR(AVERAGEIFS(DEBIT_HARIAN!$F$6:$F$9136,DEBIT_HARIAN!$B$6:$B$9136,$A26,DEBIT_HARIAN!$C$6:$C$9136,G$4,DEBIT_HARIAN!$E$6:$E$9136,G$5),"")</f>
        <v/>
      </c>
      <c r="H26" s="13">
        <f>IFERROR(AVERAGEIFS(DEBIT_HARIAN!$F$6:$F$9136,DEBIT_HARIAN!$B$6:$B$9136,$A26,DEBIT_HARIAN!$C$6:$C$9136,H$4,DEBIT_HARIAN!$E$6:$E$9136,H$5),"")</f>
        <v/>
      </c>
      <c r="I26" s="13">
        <f>IFERROR(AVERAGEIFS(DEBIT_HARIAN!$F$6:$F$9136,DEBIT_HARIAN!$B$6:$B$9136,$A26,DEBIT_HARIAN!$C$6:$C$9136,I$4,DEBIT_HARIAN!$E$6:$E$9136,I$5),"")</f>
        <v/>
      </c>
      <c r="J26" s="13">
        <f>IFERROR(AVERAGEIFS(DEBIT_HARIAN!$F$6:$F$9136,DEBIT_HARIAN!$B$6:$B$9136,$A26,DEBIT_HARIAN!$C$6:$C$9136,J$4,DEBIT_HARIAN!$E$6:$E$9136,J$5),"")</f>
        <v/>
      </c>
      <c r="K26" s="13">
        <f>IFERROR(AVERAGEIFS(DEBIT_HARIAN!$F$6:$F$9136,DEBIT_HARIAN!$B$6:$B$9136,$A26,DEBIT_HARIAN!$C$6:$C$9136,K$4,DEBIT_HARIAN!$E$6:$E$9136,K$5),"")</f>
        <v/>
      </c>
      <c r="L26" s="13">
        <f>IFERROR(AVERAGEIFS(DEBIT_HARIAN!$F$6:$F$9136,DEBIT_HARIAN!$B$6:$B$9136,$A26,DEBIT_HARIAN!$C$6:$C$9136,L$4,DEBIT_HARIAN!$E$6:$E$9136,L$5),"")</f>
        <v/>
      </c>
      <c r="M26" s="13">
        <f>IFERROR(AVERAGEIFS(DEBIT_HARIAN!$F$6:$F$9136,DEBIT_HARIAN!$B$6:$B$9136,$A26,DEBIT_HARIAN!$C$6:$C$9136,M$4,DEBIT_HARIAN!$E$6:$E$9136,M$5),"")</f>
        <v/>
      </c>
      <c r="N26" s="13">
        <f>IFERROR(AVERAGEIFS(DEBIT_HARIAN!$F$6:$F$9136,DEBIT_HARIAN!$B$6:$B$9136,$A26,DEBIT_HARIAN!$C$6:$C$9136,N$4,DEBIT_HARIAN!$E$6:$E$9136,N$5),"")</f>
        <v/>
      </c>
      <c r="O26" s="13">
        <f>IFERROR(AVERAGEIFS(DEBIT_HARIAN!$F$6:$F$9136,DEBIT_HARIAN!$B$6:$B$9136,$A26,DEBIT_HARIAN!$C$6:$C$9136,O$4,DEBIT_HARIAN!$E$6:$E$9136,O$5),"")</f>
        <v/>
      </c>
      <c r="P26" s="13">
        <f>IFERROR(AVERAGEIFS(DEBIT_HARIAN!$F$6:$F$9136,DEBIT_HARIAN!$B$6:$B$9136,$A26,DEBIT_HARIAN!$C$6:$C$9136,P$4,DEBIT_HARIAN!$E$6:$E$9136,P$5),"")</f>
        <v/>
      </c>
      <c r="Q26" s="13">
        <f>IFERROR(AVERAGEIFS(DEBIT_HARIAN!$F$6:$F$9136,DEBIT_HARIAN!$B$6:$B$9136,$A26,DEBIT_HARIAN!$C$6:$C$9136,Q$4,DEBIT_HARIAN!$E$6:$E$9136,Q$5),"")</f>
        <v/>
      </c>
      <c r="R26" s="13">
        <f>IFERROR(AVERAGEIFS(DEBIT_HARIAN!$F$6:$F$9136,DEBIT_HARIAN!$B$6:$B$9136,$A26,DEBIT_HARIAN!$C$6:$C$9136,R$4,DEBIT_HARIAN!$E$6:$E$9136,R$5),"")</f>
        <v/>
      </c>
      <c r="S26" s="13">
        <f>IFERROR(AVERAGEIFS(DEBIT_HARIAN!$F$6:$F$9136,DEBIT_HARIAN!$B$6:$B$9136,$A26,DEBIT_HARIAN!$C$6:$C$9136,S$4,DEBIT_HARIAN!$E$6:$E$9136,S$5),"")</f>
        <v/>
      </c>
      <c r="T26" s="13">
        <f>IFERROR(AVERAGEIFS(DEBIT_HARIAN!$F$6:$F$9136,DEBIT_HARIAN!$B$6:$B$9136,$A26,DEBIT_HARIAN!$C$6:$C$9136,T$4,DEBIT_HARIAN!$E$6:$E$9136,T$5),"")</f>
        <v/>
      </c>
      <c r="U26" s="13">
        <f>IFERROR(AVERAGEIFS(DEBIT_HARIAN!$F$6:$F$9136,DEBIT_HARIAN!$B$6:$B$9136,$A26,DEBIT_HARIAN!$C$6:$C$9136,U$4,DEBIT_HARIAN!$E$6:$E$9136,U$5),"")</f>
        <v/>
      </c>
      <c r="V26" s="13">
        <f>IFERROR(AVERAGEIFS(DEBIT_HARIAN!$F$6:$F$9136,DEBIT_HARIAN!$B$6:$B$9136,$A26,DEBIT_HARIAN!$C$6:$C$9136,V$4,DEBIT_HARIAN!$E$6:$E$9136,V$5),"")</f>
        <v/>
      </c>
      <c r="W26" s="13">
        <f>IFERROR(AVERAGEIFS(DEBIT_HARIAN!$F$6:$F$9136,DEBIT_HARIAN!$B$6:$B$9136,$A26,DEBIT_HARIAN!$C$6:$C$9136,W$4,DEBIT_HARIAN!$E$6:$E$9136,W$5),"")</f>
        <v/>
      </c>
      <c r="X26" s="13">
        <f>IFERROR(AVERAGEIFS(DEBIT_HARIAN!$F$6:$F$9136,DEBIT_HARIAN!$B$6:$B$9136,$A26,DEBIT_HARIAN!$C$6:$C$9136,X$4,DEBIT_HARIAN!$E$6:$E$9136,X$5),"")</f>
        <v/>
      </c>
      <c r="Y26" s="13">
        <f>IFERROR(AVERAGEIFS(DEBIT_HARIAN!$F$6:$F$9136,DEBIT_HARIAN!$B$6:$B$9136,$A26,DEBIT_HARIAN!$C$6:$C$9136,Y$4,DEBIT_HARIAN!$E$6:$E$9136,Y$5),"")</f>
        <v/>
      </c>
      <c r="Z26" s="10">
        <f>IFERROR(AVERAGEIFS(DEBIT_HARIAN!$F$6:$F$9136,DEBIT_HARIAN!$B$6:$B$9136,$A26),"")</f>
        <v/>
      </c>
    </row>
    <row r="27">
      <c r="A27" s="18" t="n">
        <v>2021</v>
      </c>
      <c r="B27" s="13">
        <f>IFERROR(AVERAGEIFS(DEBIT_HARIAN!$F$6:$F$9136,DEBIT_HARIAN!$B$6:$B$9136,$A27,DEBIT_HARIAN!$C$6:$C$9136,B$4,DEBIT_HARIAN!$E$6:$E$9136,B$5),"")</f>
        <v/>
      </c>
      <c r="C27" s="13">
        <f>IFERROR(AVERAGEIFS(DEBIT_HARIAN!$F$6:$F$9136,DEBIT_HARIAN!$B$6:$B$9136,$A27,DEBIT_HARIAN!$C$6:$C$9136,C$4,DEBIT_HARIAN!$E$6:$E$9136,C$5),"")</f>
        <v/>
      </c>
      <c r="D27" s="13">
        <f>IFERROR(AVERAGEIFS(DEBIT_HARIAN!$F$6:$F$9136,DEBIT_HARIAN!$B$6:$B$9136,$A27,DEBIT_HARIAN!$C$6:$C$9136,D$4,DEBIT_HARIAN!$E$6:$E$9136,D$5),"")</f>
        <v/>
      </c>
      <c r="E27" s="13">
        <f>IFERROR(AVERAGEIFS(DEBIT_HARIAN!$F$6:$F$9136,DEBIT_HARIAN!$B$6:$B$9136,$A27,DEBIT_HARIAN!$C$6:$C$9136,E$4,DEBIT_HARIAN!$E$6:$E$9136,E$5),"")</f>
        <v/>
      </c>
      <c r="F27" s="13">
        <f>IFERROR(AVERAGEIFS(DEBIT_HARIAN!$F$6:$F$9136,DEBIT_HARIAN!$B$6:$B$9136,$A27,DEBIT_HARIAN!$C$6:$C$9136,F$4,DEBIT_HARIAN!$E$6:$E$9136,F$5),"")</f>
        <v/>
      </c>
      <c r="G27" s="13">
        <f>IFERROR(AVERAGEIFS(DEBIT_HARIAN!$F$6:$F$9136,DEBIT_HARIAN!$B$6:$B$9136,$A27,DEBIT_HARIAN!$C$6:$C$9136,G$4,DEBIT_HARIAN!$E$6:$E$9136,G$5),"")</f>
        <v/>
      </c>
      <c r="H27" s="13">
        <f>IFERROR(AVERAGEIFS(DEBIT_HARIAN!$F$6:$F$9136,DEBIT_HARIAN!$B$6:$B$9136,$A27,DEBIT_HARIAN!$C$6:$C$9136,H$4,DEBIT_HARIAN!$E$6:$E$9136,H$5),"")</f>
        <v/>
      </c>
      <c r="I27" s="13">
        <f>IFERROR(AVERAGEIFS(DEBIT_HARIAN!$F$6:$F$9136,DEBIT_HARIAN!$B$6:$B$9136,$A27,DEBIT_HARIAN!$C$6:$C$9136,I$4,DEBIT_HARIAN!$E$6:$E$9136,I$5),"")</f>
        <v/>
      </c>
      <c r="J27" s="13">
        <f>IFERROR(AVERAGEIFS(DEBIT_HARIAN!$F$6:$F$9136,DEBIT_HARIAN!$B$6:$B$9136,$A27,DEBIT_HARIAN!$C$6:$C$9136,J$4,DEBIT_HARIAN!$E$6:$E$9136,J$5),"")</f>
        <v/>
      </c>
      <c r="K27" s="13">
        <f>IFERROR(AVERAGEIFS(DEBIT_HARIAN!$F$6:$F$9136,DEBIT_HARIAN!$B$6:$B$9136,$A27,DEBIT_HARIAN!$C$6:$C$9136,K$4,DEBIT_HARIAN!$E$6:$E$9136,K$5),"")</f>
        <v/>
      </c>
      <c r="L27" s="13">
        <f>IFERROR(AVERAGEIFS(DEBIT_HARIAN!$F$6:$F$9136,DEBIT_HARIAN!$B$6:$B$9136,$A27,DEBIT_HARIAN!$C$6:$C$9136,L$4,DEBIT_HARIAN!$E$6:$E$9136,L$5),"")</f>
        <v/>
      </c>
      <c r="M27" s="13">
        <f>IFERROR(AVERAGEIFS(DEBIT_HARIAN!$F$6:$F$9136,DEBIT_HARIAN!$B$6:$B$9136,$A27,DEBIT_HARIAN!$C$6:$C$9136,M$4,DEBIT_HARIAN!$E$6:$E$9136,M$5),"")</f>
        <v/>
      </c>
      <c r="N27" s="13">
        <f>IFERROR(AVERAGEIFS(DEBIT_HARIAN!$F$6:$F$9136,DEBIT_HARIAN!$B$6:$B$9136,$A27,DEBIT_HARIAN!$C$6:$C$9136,N$4,DEBIT_HARIAN!$E$6:$E$9136,N$5),"")</f>
        <v/>
      </c>
      <c r="O27" s="13">
        <f>IFERROR(AVERAGEIFS(DEBIT_HARIAN!$F$6:$F$9136,DEBIT_HARIAN!$B$6:$B$9136,$A27,DEBIT_HARIAN!$C$6:$C$9136,O$4,DEBIT_HARIAN!$E$6:$E$9136,O$5),"")</f>
        <v/>
      </c>
      <c r="P27" s="13">
        <f>IFERROR(AVERAGEIFS(DEBIT_HARIAN!$F$6:$F$9136,DEBIT_HARIAN!$B$6:$B$9136,$A27,DEBIT_HARIAN!$C$6:$C$9136,P$4,DEBIT_HARIAN!$E$6:$E$9136,P$5),"")</f>
        <v/>
      </c>
      <c r="Q27" s="13">
        <f>IFERROR(AVERAGEIFS(DEBIT_HARIAN!$F$6:$F$9136,DEBIT_HARIAN!$B$6:$B$9136,$A27,DEBIT_HARIAN!$C$6:$C$9136,Q$4,DEBIT_HARIAN!$E$6:$E$9136,Q$5),"")</f>
        <v/>
      </c>
      <c r="R27" s="13">
        <f>IFERROR(AVERAGEIFS(DEBIT_HARIAN!$F$6:$F$9136,DEBIT_HARIAN!$B$6:$B$9136,$A27,DEBIT_HARIAN!$C$6:$C$9136,R$4,DEBIT_HARIAN!$E$6:$E$9136,R$5),"")</f>
        <v/>
      </c>
      <c r="S27" s="13">
        <f>IFERROR(AVERAGEIFS(DEBIT_HARIAN!$F$6:$F$9136,DEBIT_HARIAN!$B$6:$B$9136,$A27,DEBIT_HARIAN!$C$6:$C$9136,S$4,DEBIT_HARIAN!$E$6:$E$9136,S$5),"")</f>
        <v/>
      </c>
      <c r="T27" s="13">
        <f>IFERROR(AVERAGEIFS(DEBIT_HARIAN!$F$6:$F$9136,DEBIT_HARIAN!$B$6:$B$9136,$A27,DEBIT_HARIAN!$C$6:$C$9136,T$4,DEBIT_HARIAN!$E$6:$E$9136,T$5),"")</f>
        <v/>
      </c>
      <c r="U27" s="13">
        <f>IFERROR(AVERAGEIFS(DEBIT_HARIAN!$F$6:$F$9136,DEBIT_HARIAN!$B$6:$B$9136,$A27,DEBIT_HARIAN!$C$6:$C$9136,U$4,DEBIT_HARIAN!$E$6:$E$9136,U$5),"")</f>
        <v/>
      </c>
      <c r="V27" s="13">
        <f>IFERROR(AVERAGEIFS(DEBIT_HARIAN!$F$6:$F$9136,DEBIT_HARIAN!$B$6:$B$9136,$A27,DEBIT_HARIAN!$C$6:$C$9136,V$4,DEBIT_HARIAN!$E$6:$E$9136,V$5),"")</f>
        <v/>
      </c>
      <c r="W27" s="13">
        <f>IFERROR(AVERAGEIFS(DEBIT_HARIAN!$F$6:$F$9136,DEBIT_HARIAN!$B$6:$B$9136,$A27,DEBIT_HARIAN!$C$6:$C$9136,W$4,DEBIT_HARIAN!$E$6:$E$9136,W$5),"")</f>
        <v/>
      </c>
      <c r="X27" s="13">
        <f>IFERROR(AVERAGEIFS(DEBIT_HARIAN!$F$6:$F$9136,DEBIT_HARIAN!$B$6:$B$9136,$A27,DEBIT_HARIAN!$C$6:$C$9136,X$4,DEBIT_HARIAN!$E$6:$E$9136,X$5),"")</f>
        <v/>
      </c>
      <c r="Y27" s="13">
        <f>IFERROR(AVERAGEIFS(DEBIT_HARIAN!$F$6:$F$9136,DEBIT_HARIAN!$B$6:$B$9136,$A27,DEBIT_HARIAN!$C$6:$C$9136,Y$4,DEBIT_HARIAN!$E$6:$E$9136,Y$5),"")</f>
        <v/>
      </c>
      <c r="Z27" s="10">
        <f>IFERROR(AVERAGEIFS(DEBIT_HARIAN!$F$6:$F$9136,DEBIT_HARIAN!$B$6:$B$9136,$A27),"")</f>
        <v/>
      </c>
    </row>
    <row r="28">
      <c r="A28" s="18" t="n">
        <v>2022</v>
      </c>
      <c r="B28" s="13">
        <f>IFERROR(AVERAGEIFS(DEBIT_HARIAN!$F$6:$F$9136,DEBIT_HARIAN!$B$6:$B$9136,$A28,DEBIT_HARIAN!$C$6:$C$9136,B$4,DEBIT_HARIAN!$E$6:$E$9136,B$5),"")</f>
        <v/>
      </c>
      <c r="C28" s="13">
        <f>IFERROR(AVERAGEIFS(DEBIT_HARIAN!$F$6:$F$9136,DEBIT_HARIAN!$B$6:$B$9136,$A28,DEBIT_HARIAN!$C$6:$C$9136,C$4,DEBIT_HARIAN!$E$6:$E$9136,C$5),"")</f>
        <v/>
      </c>
      <c r="D28" s="13">
        <f>IFERROR(AVERAGEIFS(DEBIT_HARIAN!$F$6:$F$9136,DEBIT_HARIAN!$B$6:$B$9136,$A28,DEBIT_HARIAN!$C$6:$C$9136,D$4,DEBIT_HARIAN!$E$6:$E$9136,D$5),"")</f>
        <v/>
      </c>
      <c r="E28" s="13">
        <f>IFERROR(AVERAGEIFS(DEBIT_HARIAN!$F$6:$F$9136,DEBIT_HARIAN!$B$6:$B$9136,$A28,DEBIT_HARIAN!$C$6:$C$9136,E$4,DEBIT_HARIAN!$E$6:$E$9136,E$5),"")</f>
        <v/>
      </c>
      <c r="F28" s="13">
        <f>IFERROR(AVERAGEIFS(DEBIT_HARIAN!$F$6:$F$9136,DEBIT_HARIAN!$B$6:$B$9136,$A28,DEBIT_HARIAN!$C$6:$C$9136,F$4,DEBIT_HARIAN!$E$6:$E$9136,F$5),"")</f>
        <v/>
      </c>
      <c r="G28" s="13">
        <f>IFERROR(AVERAGEIFS(DEBIT_HARIAN!$F$6:$F$9136,DEBIT_HARIAN!$B$6:$B$9136,$A28,DEBIT_HARIAN!$C$6:$C$9136,G$4,DEBIT_HARIAN!$E$6:$E$9136,G$5),"")</f>
        <v/>
      </c>
      <c r="H28" s="13">
        <f>IFERROR(AVERAGEIFS(DEBIT_HARIAN!$F$6:$F$9136,DEBIT_HARIAN!$B$6:$B$9136,$A28,DEBIT_HARIAN!$C$6:$C$9136,H$4,DEBIT_HARIAN!$E$6:$E$9136,H$5),"")</f>
        <v/>
      </c>
      <c r="I28" s="13">
        <f>IFERROR(AVERAGEIFS(DEBIT_HARIAN!$F$6:$F$9136,DEBIT_HARIAN!$B$6:$B$9136,$A28,DEBIT_HARIAN!$C$6:$C$9136,I$4,DEBIT_HARIAN!$E$6:$E$9136,I$5),"")</f>
        <v/>
      </c>
      <c r="J28" s="13">
        <f>IFERROR(AVERAGEIFS(DEBIT_HARIAN!$F$6:$F$9136,DEBIT_HARIAN!$B$6:$B$9136,$A28,DEBIT_HARIAN!$C$6:$C$9136,J$4,DEBIT_HARIAN!$E$6:$E$9136,J$5),"")</f>
        <v/>
      </c>
      <c r="K28" s="13">
        <f>IFERROR(AVERAGEIFS(DEBIT_HARIAN!$F$6:$F$9136,DEBIT_HARIAN!$B$6:$B$9136,$A28,DEBIT_HARIAN!$C$6:$C$9136,K$4,DEBIT_HARIAN!$E$6:$E$9136,K$5),"")</f>
        <v/>
      </c>
      <c r="L28" s="13">
        <f>IFERROR(AVERAGEIFS(DEBIT_HARIAN!$F$6:$F$9136,DEBIT_HARIAN!$B$6:$B$9136,$A28,DEBIT_HARIAN!$C$6:$C$9136,L$4,DEBIT_HARIAN!$E$6:$E$9136,L$5),"")</f>
        <v/>
      </c>
      <c r="M28" s="13">
        <f>IFERROR(AVERAGEIFS(DEBIT_HARIAN!$F$6:$F$9136,DEBIT_HARIAN!$B$6:$B$9136,$A28,DEBIT_HARIAN!$C$6:$C$9136,M$4,DEBIT_HARIAN!$E$6:$E$9136,M$5),"")</f>
        <v/>
      </c>
      <c r="N28" s="13">
        <f>IFERROR(AVERAGEIFS(DEBIT_HARIAN!$F$6:$F$9136,DEBIT_HARIAN!$B$6:$B$9136,$A28,DEBIT_HARIAN!$C$6:$C$9136,N$4,DEBIT_HARIAN!$E$6:$E$9136,N$5),"")</f>
        <v/>
      </c>
      <c r="O28" s="13">
        <f>IFERROR(AVERAGEIFS(DEBIT_HARIAN!$F$6:$F$9136,DEBIT_HARIAN!$B$6:$B$9136,$A28,DEBIT_HARIAN!$C$6:$C$9136,O$4,DEBIT_HARIAN!$E$6:$E$9136,O$5),"")</f>
        <v/>
      </c>
      <c r="P28" s="13">
        <f>IFERROR(AVERAGEIFS(DEBIT_HARIAN!$F$6:$F$9136,DEBIT_HARIAN!$B$6:$B$9136,$A28,DEBIT_HARIAN!$C$6:$C$9136,P$4,DEBIT_HARIAN!$E$6:$E$9136,P$5),"")</f>
        <v/>
      </c>
      <c r="Q28" s="13">
        <f>IFERROR(AVERAGEIFS(DEBIT_HARIAN!$F$6:$F$9136,DEBIT_HARIAN!$B$6:$B$9136,$A28,DEBIT_HARIAN!$C$6:$C$9136,Q$4,DEBIT_HARIAN!$E$6:$E$9136,Q$5),"")</f>
        <v/>
      </c>
      <c r="R28" s="13">
        <f>IFERROR(AVERAGEIFS(DEBIT_HARIAN!$F$6:$F$9136,DEBIT_HARIAN!$B$6:$B$9136,$A28,DEBIT_HARIAN!$C$6:$C$9136,R$4,DEBIT_HARIAN!$E$6:$E$9136,R$5),"")</f>
        <v/>
      </c>
      <c r="S28" s="13">
        <f>IFERROR(AVERAGEIFS(DEBIT_HARIAN!$F$6:$F$9136,DEBIT_HARIAN!$B$6:$B$9136,$A28,DEBIT_HARIAN!$C$6:$C$9136,S$4,DEBIT_HARIAN!$E$6:$E$9136,S$5),"")</f>
        <v/>
      </c>
      <c r="T28" s="13">
        <f>IFERROR(AVERAGEIFS(DEBIT_HARIAN!$F$6:$F$9136,DEBIT_HARIAN!$B$6:$B$9136,$A28,DEBIT_HARIAN!$C$6:$C$9136,T$4,DEBIT_HARIAN!$E$6:$E$9136,T$5),"")</f>
        <v/>
      </c>
      <c r="U28" s="13">
        <f>IFERROR(AVERAGEIFS(DEBIT_HARIAN!$F$6:$F$9136,DEBIT_HARIAN!$B$6:$B$9136,$A28,DEBIT_HARIAN!$C$6:$C$9136,U$4,DEBIT_HARIAN!$E$6:$E$9136,U$5),"")</f>
        <v/>
      </c>
      <c r="V28" s="13">
        <f>IFERROR(AVERAGEIFS(DEBIT_HARIAN!$F$6:$F$9136,DEBIT_HARIAN!$B$6:$B$9136,$A28,DEBIT_HARIAN!$C$6:$C$9136,V$4,DEBIT_HARIAN!$E$6:$E$9136,V$5),"")</f>
        <v/>
      </c>
      <c r="W28" s="13">
        <f>IFERROR(AVERAGEIFS(DEBIT_HARIAN!$F$6:$F$9136,DEBIT_HARIAN!$B$6:$B$9136,$A28,DEBIT_HARIAN!$C$6:$C$9136,W$4,DEBIT_HARIAN!$E$6:$E$9136,W$5),"")</f>
        <v/>
      </c>
      <c r="X28" s="13">
        <f>IFERROR(AVERAGEIFS(DEBIT_HARIAN!$F$6:$F$9136,DEBIT_HARIAN!$B$6:$B$9136,$A28,DEBIT_HARIAN!$C$6:$C$9136,X$4,DEBIT_HARIAN!$E$6:$E$9136,X$5),"")</f>
        <v/>
      </c>
      <c r="Y28" s="13">
        <f>IFERROR(AVERAGEIFS(DEBIT_HARIAN!$F$6:$F$9136,DEBIT_HARIAN!$B$6:$B$9136,$A28,DEBIT_HARIAN!$C$6:$C$9136,Y$4,DEBIT_HARIAN!$E$6:$E$9136,Y$5),"")</f>
        <v/>
      </c>
      <c r="Z28" s="10">
        <f>IFERROR(AVERAGEIFS(DEBIT_HARIAN!$F$6:$F$9136,DEBIT_HARIAN!$B$6:$B$9136,$A28),"")</f>
        <v/>
      </c>
    </row>
    <row r="29">
      <c r="A29" s="18" t="n">
        <v>2023</v>
      </c>
      <c r="B29" s="13">
        <f>IFERROR(AVERAGEIFS(DEBIT_HARIAN!$F$6:$F$9136,DEBIT_HARIAN!$B$6:$B$9136,$A29,DEBIT_HARIAN!$C$6:$C$9136,B$4,DEBIT_HARIAN!$E$6:$E$9136,B$5),"")</f>
        <v/>
      </c>
      <c r="C29" s="13">
        <f>IFERROR(AVERAGEIFS(DEBIT_HARIAN!$F$6:$F$9136,DEBIT_HARIAN!$B$6:$B$9136,$A29,DEBIT_HARIAN!$C$6:$C$9136,C$4,DEBIT_HARIAN!$E$6:$E$9136,C$5),"")</f>
        <v/>
      </c>
      <c r="D29" s="13">
        <f>IFERROR(AVERAGEIFS(DEBIT_HARIAN!$F$6:$F$9136,DEBIT_HARIAN!$B$6:$B$9136,$A29,DEBIT_HARIAN!$C$6:$C$9136,D$4,DEBIT_HARIAN!$E$6:$E$9136,D$5),"")</f>
        <v/>
      </c>
      <c r="E29" s="13">
        <f>IFERROR(AVERAGEIFS(DEBIT_HARIAN!$F$6:$F$9136,DEBIT_HARIAN!$B$6:$B$9136,$A29,DEBIT_HARIAN!$C$6:$C$9136,E$4,DEBIT_HARIAN!$E$6:$E$9136,E$5),"")</f>
        <v/>
      </c>
      <c r="F29" s="13">
        <f>IFERROR(AVERAGEIFS(DEBIT_HARIAN!$F$6:$F$9136,DEBIT_HARIAN!$B$6:$B$9136,$A29,DEBIT_HARIAN!$C$6:$C$9136,F$4,DEBIT_HARIAN!$E$6:$E$9136,F$5),"")</f>
        <v/>
      </c>
      <c r="G29" s="13">
        <f>IFERROR(AVERAGEIFS(DEBIT_HARIAN!$F$6:$F$9136,DEBIT_HARIAN!$B$6:$B$9136,$A29,DEBIT_HARIAN!$C$6:$C$9136,G$4,DEBIT_HARIAN!$E$6:$E$9136,G$5),"")</f>
        <v/>
      </c>
      <c r="H29" s="13">
        <f>IFERROR(AVERAGEIFS(DEBIT_HARIAN!$F$6:$F$9136,DEBIT_HARIAN!$B$6:$B$9136,$A29,DEBIT_HARIAN!$C$6:$C$9136,H$4,DEBIT_HARIAN!$E$6:$E$9136,H$5),"")</f>
        <v/>
      </c>
      <c r="I29" s="13">
        <f>IFERROR(AVERAGEIFS(DEBIT_HARIAN!$F$6:$F$9136,DEBIT_HARIAN!$B$6:$B$9136,$A29,DEBIT_HARIAN!$C$6:$C$9136,I$4,DEBIT_HARIAN!$E$6:$E$9136,I$5),"")</f>
        <v/>
      </c>
      <c r="J29" s="13">
        <f>IFERROR(AVERAGEIFS(DEBIT_HARIAN!$F$6:$F$9136,DEBIT_HARIAN!$B$6:$B$9136,$A29,DEBIT_HARIAN!$C$6:$C$9136,J$4,DEBIT_HARIAN!$E$6:$E$9136,J$5),"")</f>
        <v/>
      </c>
      <c r="K29" s="13">
        <f>IFERROR(AVERAGEIFS(DEBIT_HARIAN!$F$6:$F$9136,DEBIT_HARIAN!$B$6:$B$9136,$A29,DEBIT_HARIAN!$C$6:$C$9136,K$4,DEBIT_HARIAN!$E$6:$E$9136,K$5),"")</f>
        <v/>
      </c>
      <c r="L29" s="13">
        <f>IFERROR(AVERAGEIFS(DEBIT_HARIAN!$F$6:$F$9136,DEBIT_HARIAN!$B$6:$B$9136,$A29,DEBIT_HARIAN!$C$6:$C$9136,L$4,DEBIT_HARIAN!$E$6:$E$9136,L$5),"")</f>
        <v/>
      </c>
      <c r="M29" s="13">
        <f>IFERROR(AVERAGEIFS(DEBIT_HARIAN!$F$6:$F$9136,DEBIT_HARIAN!$B$6:$B$9136,$A29,DEBIT_HARIAN!$C$6:$C$9136,M$4,DEBIT_HARIAN!$E$6:$E$9136,M$5),"")</f>
        <v/>
      </c>
      <c r="N29" s="13">
        <f>IFERROR(AVERAGEIFS(DEBIT_HARIAN!$F$6:$F$9136,DEBIT_HARIAN!$B$6:$B$9136,$A29,DEBIT_HARIAN!$C$6:$C$9136,N$4,DEBIT_HARIAN!$E$6:$E$9136,N$5),"")</f>
        <v/>
      </c>
      <c r="O29" s="13">
        <f>IFERROR(AVERAGEIFS(DEBIT_HARIAN!$F$6:$F$9136,DEBIT_HARIAN!$B$6:$B$9136,$A29,DEBIT_HARIAN!$C$6:$C$9136,O$4,DEBIT_HARIAN!$E$6:$E$9136,O$5),"")</f>
        <v/>
      </c>
      <c r="P29" s="13">
        <f>IFERROR(AVERAGEIFS(DEBIT_HARIAN!$F$6:$F$9136,DEBIT_HARIAN!$B$6:$B$9136,$A29,DEBIT_HARIAN!$C$6:$C$9136,P$4,DEBIT_HARIAN!$E$6:$E$9136,P$5),"")</f>
        <v/>
      </c>
      <c r="Q29" s="13">
        <f>IFERROR(AVERAGEIFS(DEBIT_HARIAN!$F$6:$F$9136,DEBIT_HARIAN!$B$6:$B$9136,$A29,DEBIT_HARIAN!$C$6:$C$9136,Q$4,DEBIT_HARIAN!$E$6:$E$9136,Q$5),"")</f>
        <v/>
      </c>
      <c r="R29" s="13">
        <f>IFERROR(AVERAGEIFS(DEBIT_HARIAN!$F$6:$F$9136,DEBIT_HARIAN!$B$6:$B$9136,$A29,DEBIT_HARIAN!$C$6:$C$9136,R$4,DEBIT_HARIAN!$E$6:$E$9136,R$5),"")</f>
        <v/>
      </c>
      <c r="S29" s="13">
        <f>IFERROR(AVERAGEIFS(DEBIT_HARIAN!$F$6:$F$9136,DEBIT_HARIAN!$B$6:$B$9136,$A29,DEBIT_HARIAN!$C$6:$C$9136,S$4,DEBIT_HARIAN!$E$6:$E$9136,S$5),"")</f>
        <v/>
      </c>
      <c r="T29" s="13">
        <f>IFERROR(AVERAGEIFS(DEBIT_HARIAN!$F$6:$F$9136,DEBIT_HARIAN!$B$6:$B$9136,$A29,DEBIT_HARIAN!$C$6:$C$9136,T$4,DEBIT_HARIAN!$E$6:$E$9136,T$5),"")</f>
        <v/>
      </c>
      <c r="U29" s="13">
        <f>IFERROR(AVERAGEIFS(DEBIT_HARIAN!$F$6:$F$9136,DEBIT_HARIAN!$B$6:$B$9136,$A29,DEBIT_HARIAN!$C$6:$C$9136,U$4,DEBIT_HARIAN!$E$6:$E$9136,U$5),"")</f>
        <v/>
      </c>
      <c r="V29" s="13">
        <f>IFERROR(AVERAGEIFS(DEBIT_HARIAN!$F$6:$F$9136,DEBIT_HARIAN!$B$6:$B$9136,$A29,DEBIT_HARIAN!$C$6:$C$9136,V$4,DEBIT_HARIAN!$E$6:$E$9136,V$5),"")</f>
        <v/>
      </c>
      <c r="W29" s="13">
        <f>IFERROR(AVERAGEIFS(DEBIT_HARIAN!$F$6:$F$9136,DEBIT_HARIAN!$B$6:$B$9136,$A29,DEBIT_HARIAN!$C$6:$C$9136,W$4,DEBIT_HARIAN!$E$6:$E$9136,W$5),"")</f>
        <v/>
      </c>
      <c r="X29" s="13">
        <f>IFERROR(AVERAGEIFS(DEBIT_HARIAN!$F$6:$F$9136,DEBIT_HARIAN!$B$6:$B$9136,$A29,DEBIT_HARIAN!$C$6:$C$9136,X$4,DEBIT_HARIAN!$E$6:$E$9136,X$5),"")</f>
        <v/>
      </c>
      <c r="Y29" s="13">
        <f>IFERROR(AVERAGEIFS(DEBIT_HARIAN!$F$6:$F$9136,DEBIT_HARIAN!$B$6:$B$9136,$A29,DEBIT_HARIAN!$C$6:$C$9136,Y$4,DEBIT_HARIAN!$E$6:$E$9136,Y$5),"")</f>
        <v/>
      </c>
      <c r="Z29" s="10">
        <f>IFERROR(AVERAGEIFS(DEBIT_HARIAN!$F$6:$F$9136,DEBIT_HARIAN!$B$6:$B$9136,$A29),"")</f>
        <v/>
      </c>
    </row>
    <row r="30">
      <c r="A30" s="18" t="n">
        <v>2024</v>
      </c>
      <c r="B30" s="13">
        <f>IFERROR(AVERAGEIFS(DEBIT_HARIAN!$F$6:$F$9136,DEBIT_HARIAN!$B$6:$B$9136,$A30,DEBIT_HARIAN!$C$6:$C$9136,B$4,DEBIT_HARIAN!$E$6:$E$9136,B$5),"")</f>
        <v/>
      </c>
      <c r="C30" s="13">
        <f>IFERROR(AVERAGEIFS(DEBIT_HARIAN!$F$6:$F$9136,DEBIT_HARIAN!$B$6:$B$9136,$A30,DEBIT_HARIAN!$C$6:$C$9136,C$4,DEBIT_HARIAN!$E$6:$E$9136,C$5),"")</f>
        <v/>
      </c>
      <c r="D30" s="13">
        <f>IFERROR(AVERAGEIFS(DEBIT_HARIAN!$F$6:$F$9136,DEBIT_HARIAN!$B$6:$B$9136,$A30,DEBIT_HARIAN!$C$6:$C$9136,D$4,DEBIT_HARIAN!$E$6:$E$9136,D$5),"")</f>
        <v/>
      </c>
      <c r="E30" s="13">
        <f>IFERROR(AVERAGEIFS(DEBIT_HARIAN!$F$6:$F$9136,DEBIT_HARIAN!$B$6:$B$9136,$A30,DEBIT_HARIAN!$C$6:$C$9136,E$4,DEBIT_HARIAN!$E$6:$E$9136,E$5),"")</f>
        <v/>
      </c>
      <c r="F30" s="13">
        <f>IFERROR(AVERAGEIFS(DEBIT_HARIAN!$F$6:$F$9136,DEBIT_HARIAN!$B$6:$B$9136,$A30,DEBIT_HARIAN!$C$6:$C$9136,F$4,DEBIT_HARIAN!$E$6:$E$9136,F$5),"")</f>
        <v/>
      </c>
      <c r="G30" s="13">
        <f>IFERROR(AVERAGEIFS(DEBIT_HARIAN!$F$6:$F$9136,DEBIT_HARIAN!$B$6:$B$9136,$A30,DEBIT_HARIAN!$C$6:$C$9136,G$4,DEBIT_HARIAN!$E$6:$E$9136,G$5),"")</f>
        <v/>
      </c>
      <c r="H30" s="13">
        <f>IFERROR(AVERAGEIFS(DEBIT_HARIAN!$F$6:$F$9136,DEBIT_HARIAN!$B$6:$B$9136,$A30,DEBIT_HARIAN!$C$6:$C$9136,H$4,DEBIT_HARIAN!$E$6:$E$9136,H$5),"")</f>
        <v/>
      </c>
      <c r="I30" s="13">
        <f>IFERROR(AVERAGEIFS(DEBIT_HARIAN!$F$6:$F$9136,DEBIT_HARIAN!$B$6:$B$9136,$A30,DEBIT_HARIAN!$C$6:$C$9136,I$4,DEBIT_HARIAN!$E$6:$E$9136,I$5),"")</f>
        <v/>
      </c>
      <c r="J30" s="13">
        <f>IFERROR(AVERAGEIFS(DEBIT_HARIAN!$F$6:$F$9136,DEBIT_HARIAN!$B$6:$B$9136,$A30,DEBIT_HARIAN!$C$6:$C$9136,J$4,DEBIT_HARIAN!$E$6:$E$9136,J$5),"")</f>
        <v/>
      </c>
      <c r="K30" s="13">
        <f>IFERROR(AVERAGEIFS(DEBIT_HARIAN!$F$6:$F$9136,DEBIT_HARIAN!$B$6:$B$9136,$A30,DEBIT_HARIAN!$C$6:$C$9136,K$4,DEBIT_HARIAN!$E$6:$E$9136,K$5),"")</f>
        <v/>
      </c>
      <c r="L30" s="13">
        <f>IFERROR(AVERAGEIFS(DEBIT_HARIAN!$F$6:$F$9136,DEBIT_HARIAN!$B$6:$B$9136,$A30,DEBIT_HARIAN!$C$6:$C$9136,L$4,DEBIT_HARIAN!$E$6:$E$9136,L$5),"")</f>
        <v/>
      </c>
      <c r="M30" s="13">
        <f>IFERROR(AVERAGEIFS(DEBIT_HARIAN!$F$6:$F$9136,DEBIT_HARIAN!$B$6:$B$9136,$A30,DEBIT_HARIAN!$C$6:$C$9136,M$4,DEBIT_HARIAN!$E$6:$E$9136,M$5),"")</f>
        <v/>
      </c>
      <c r="N30" s="13">
        <f>IFERROR(AVERAGEIFS(DEBIT_HARIAN!$F$6:$F$9136,DEBIT_HARIAN!$B$6:$B$9136,$A30,DEBIT_HARIAN!$C$6:$C$9136,N$4,DEBIT_HARIAN!$E$6:$E$9136,N$5),"")</f>
        <v/>
      </c>
      <c r="O30" s="13">
        <f>IFERROR(AVERAGEIFS(DEBIT_HARIAN!$F$6:$F$9136,DEBIT_HARIAN!$B$6:$B$9136,$A30,DEBIT_HARIAN!$C$6:$C$9136,O$4,DEBIT_HARIAN!$E$6:$E$9136,O$5),"")</f>
        <v/>
      </c>
      <c r="P30" s="13">
        <f>IFERROR(AVERAGEIFS(DEBIT_HARIAN!$F$6:$F$9136,DEBIT_HARIAN!$B$6:$B$9136,$A30,DEBIT_HARIAN!$C$6:$C$9136,P$4,DEBIT_HARIAN!$E$6:$E$9136,P$5),"")</f>
        <v/>
      </c>
      <c r="Q30" s="13">
        <f>IFERROR(AVERAGEIFS(DEBIT_HARIAN!$F$6:$F$9136,DEBIT_HARIAN!$B$6:$B$9136,$A30,DEBIT_HARIAN!$C$6:$C$9136,Q$4,DEBIT_HARIAN!$E$6:$E$9136,Q$5),"")</f>
        <v/>
      </c>
      <c r="R30" s="13">
        <f>IFERROR(AVERAGEIFS(DEBIT_HARIAN!$F$6:$F$9136,DEBIT_HARIAN!$B$6:$B$9136,$A30,DEBIT_HARIAN!$C$6:$C$9136,R$4,DEBIT_HARIAN!$E$6:$E$9136,R$5),"")</f>
        <v/>
      </c>
      <c r="S30" s="13">
        <f>IFERROR(AVERAGEIFS(DEBIT_HARIAN!$F$6:$F$9136,DEBIT_HARIAN!$B$6:$B$9136,$A30,DEBIT_HARIAN!$C$6:$C$9136,S$4,DEBIT_HARIAN!$E$6:$E$9136,S$5),"")</f>
        <v/>
      </c>
      <c r="T30" s="13">
        <f>IFERROR(AVERAGEIFS(DEBIT_HARIAN!$F$6:$F$9136,DEBIT_HARIAN!$B$6:$B$9136,$A30,DEBIT_HARIAN!$C$6:$C$9136,T$4,DEBIT_HARIAN!$E$6:$E$9136,T$5),"")</f>
        <v/>
      </c>
      <c r="U30" s="13">
        <f>IFERROR(AVERAGEIFS(DEBIT_HARIAN!$F$6:$F$9136,DEBIT_HARIAN!$B$6:$B$9136,$A30,DEBIT_HARIAN!$C$6:$C$9136,U$4,DEBIT_HARIAN!$E$6:$E$9136,U$5),"")</f>
        <v/>
      </c>
      <c r="V30" s="13">
        <f>IFERROR(AVERAGEIFS(DEBIT_HARIAN!$F$6:$F$9136,DEBIT_HARIAN!$B$6:$B$9136,$A30,DEBIT_HARIAN!$C$6:$C$9136,V$4,DEBIT_HARIAN!$E$6:$E$9136,V$5),"")</f>
        <v/>
      </c>
      <c r="W30" s="13">
        <f>IFERROR(AVERAGEIFS(DEBIT_HARIAN!$F$6:$F$9136,DEBIT_HARIAN!$B$6:$B$9136,$A30,DEBIT_HARIAN!$C$6:$C$9136,W$4,DEBIT_HARIAN!$E$6:$E$9136,W$5),"")</f>
        <v/>
      </c>
      <c r="X30" s="13">
        <f>IFERROR(AVERAGEIFS(DEBIT_HARIAN!$F$6:$F$9136,DEBIT_HARIAN!$B$6:$B$9136,$A30,DEBIT_HARIAN!$C$6:$C$9136,X$4,DEBIT_HARIAN!$E$6:$E$9136,X$5),"")</f>
        <v/>
      </c>
      <c r="Y30" s="13">
        <f>IFERROR(AVERAGEIFS(DEBIT_HARIAN!$F$6:$F$9136,DEBIT_HARIAN!$B$6:$B$9136,$A30,DEBIT_HARIAN!$C$6:$C$9136,Y$4,DEBIT_HARIAN!$E$6:$E$9136,Y$5),"")</f>
        <v/>
      </c>
      <c r="Z30" s="10">
        <f>IFERROR(AVERAGEIFS(DEBIT_HARIAN!$F$6:$F$9136,DEBIT_HARIAN!$B$6:$B$9136,$A30),"")</f>
        <v/>
      </c>
    </row>
    <row r="31">
      <c r="A31" s="18" t="n">
        <v>2025</v>
      </c>
      <c r="B31" s="13">
        <f>IFERROR(AVERAGEIFS(DEBIT_HARIAN!$F$6:$F$9136,DEBIT_HARIAN!$B$6:$B$9136,$A31,DEBIT_HARIAN!$C$6:$C$9136,B$4,DEBIT_HARIAN!$E$6:$E$9136,B$5),"")</f>
        <v/>
      </c>
      <c r="C31" s="13">
        <f>IFERROR(AVERAGEIFS(DEBIT_HARIAN!$F$6:$F$9136,DEBIT_HARIAN!$B$6:$B$9136,$A31,DEBIT_HARIAN!$C$6:$C$9136,C$4,DEBIT_HARIAN!$E$6:$E$9136,C$5),"")</f>
        <v/>
      </c>
      <c r="D31" s="13">
        <f>IFERROR(AVERAGEIFS(DEBIT_HARIAN!$F$6:$F$9136,DEBIT_HARIAN!$B$6:$B$9136,$A31,DEBIT_HARIAN!$C$6:$C$9136,D$4,DEBIT_HARIAN!$E$6:$E$9136,D$5),"")</f>
        <v/>
      </c>
      <c r="E31" s="13">
        <f>IFERROR(AVERAGEIFS(DEBIT_HARIAN!$F$6:$F$9136,DEBIT_HARIAN!$B$6:$B$9136,$A31,DEBIT_HARIAN!$C$6:$C$9136,E$4,DEBIT_HARIAN!$E$6:$E$9136,E$5),"")</f>
        <v/>
      </c>
      <c r="F31" s="13">
        <f>IFERROR(AVERAGEIFS(DEBIT_HARIAN!$F$6:$F$9136,DEBIT_HARIAN!$B$6:$B$9136,$A31,DEBIT_HARIAN!$C$6:$C$9136,F$4,DEBIT_HARIAN!$E$6:$E$9136,F$5),"")</f>
        <v/>
      </c>
      <c r="G31" s="13">
        <f>IFERROR(AVERAGEIFS(DEBIT_HARIAN!$F$6:$F$9136,DEBIT_HARIAN!$B$6:$B$9136,$A31,DEBIT_HARIAN!$C$6:$C$9136,G$4,DEBIT_HARIAN!$E$6:$E$9136,G$5),"")</f>
        <v/>
      </c>
      <c r="H31" s="13">
        <f>IFERROR(AVERAGEIFS(DEBIT_HARIAN!$F$6:$F$9136,DEBIT_HARIAN!$B$6:$B$9136,$A31,DEBIT_HARIAN!$C$6:$C$9136,H$4,DEBIT_HARIAN!$E$6:$E$9136,H$5),"")</f>
        <v/>
      </c>
      <c r="I31" s="13">
        <f>IFERROR(AVERAGEIFS(DEBIT_HARIAN!$F$6:$F$9136,DEBIT_HARIAN!$B$6:$B$9136,$A31,DEBIT_HARIAN!$C$6:$C$9136,I$4,DEBIT_HARIAN!$E$6:$E$9136,I$5),"")</f>
        <v/>
      </c>
      <c r="J31" s="13">
        <f>IFERROR(AVERAGEIFS(DEBIT_HARIAN!$F$6:$F$9136,DEBIT_HARIAN!$B$6:$B$9136,$A31,DEBIT_HARIAN!$C$6:$C$9136,J$4,DEBIT_HARIAN!$E$6:$E$9136,J$5),"")</f>
        <v/>
      </c>
      <c r="K31" s="13">
        <f>IFERROR(AVERAGEIFS(DEBIT_HARIAN!$F$6:$F$9136,DEBIT_HARIAN!$B$6:$B$9136,$A31,DEBIT_HARIAN!$C$6:$C$9136,K$4,DEBIT_HARIAN!$E$6:$E$9136,K$5),"")</f>
        <v/>
      </c>
      <c r="L31" s="13">
        <f>IFERROR(AVERAGEIFS(DEBIT_HARIAN!$F$6:$F$9136,DEBIT_HARIAN!$B$6:$B$9136,$A31,DEBIT_HARIAN!$C$6:$C$9136,L$4,DEBIT_HARIAN!$E$6:$E$9136,L$5),"")</f>
        <v/>
      </c>
      <c r="M31" s="13">
        <f>IFERROR(AVERAGEIFS(DEBIT_HARIAN!$F$6:$F$9136,DEBIT_HARIAN!$B$6:$B$9136,$A31,DEBIT_HARIAN!$C$6:$C$9136,M$4,DEBIT_HARIAN!$E$6:$E$9136,M$5),"")</f>
        <v/>
      </c>
      <c r="N31" s="13">
        <f>IFERROR(AVERAGEIFS(DEBIT_HARIAN!$F$6:$F$9136,DEBIT_HARIAN!$B$6:$B$9136,$A31,DEBIT_HARIAN!$C$6:$C$9136,N$4,DEBIT_HARIAN!$E$6:$E$9136,N$5),"")</f>
        <v/>
      </c>
      <c r="O31" s="13">
        <f>IFERROR(AVERAGEIFS(DEBIT_HARIAN!$F$6:$F$9136,DEBIT_HARIAN!$B$6:$B$9136,$A31,DEBIT_HARIAN!$C$6:$C$9136,O$4,DEBIT_HARIAN!$E$6:$E$9136,O$5),"")</f>
        <v/>
      </c>
      <c r="P31" s="13">
        <f>IFERROR(AVERAGEIFS(DEBIT_HARIAN!$F$6:$F$9136,DEBIT_HARIAN!$B$6:$B$9136,$A31,DEBIT_HARIAN!$C$6:$C$9136,P$4,DEBIT_HARIAN!$E$6:$E$9136,P$5),"")</f>
        <v/>
      </c>
      <c r="Q31" s="13">
        <f>IFERROR(AVERAGEIFS(DEBIT_HARIAN!$F$6:$F$9136,DEBIT_HARIAN!$B$6:$B$9136,$A31,DEBIT_HARIAN!$C$6:$C$9136,Q$4,DEBIT_HARIAN!$E$6:$E$9136,Q$5),"")</f>
        <v/>
      </c>
      <c r="R31" s="13">
        <f>IFERROR(AVERAGEIFS(DEBIT_HARIAN!$F$6:$F$9136,DEBIT_HARIAN!$B$6:$B$9136,$A31,DEBIT_HARIAN!$C$6:$C$9136,R$4,DEBIT_HARIAN!$E$6:$E$9136,R$5),"")</f>
        <v/>
      </c>
      <c r="S31" s="13">
        <f>IFERROR(AVERAGEIFS(DEBIT_HARIAN!$F$6:$F$9136,DEBIT_HARIAN!$B$6:$B$9136,$A31,DEBIT_HARIAN!$C$6:$C$9136,S$4,DEBIT_HARIAN!$E$6:$E$9136,S$5),"")</f>
        <v/>
      </c>
      <c r="T31" s="13">
        <f>IFERROR(AVERAGEIFS(DEBIT_HARIAN!$F$6:$F$9136,DEBIT_HARIAN!$B$6:$B$9136,$A31,DEBIT_HARIAN!$C$6:$C$9136,T$4,DEBIT_HARIAN!$E$6:$E$9136,T$5),"")</f>
        <v/>
      </c>
      <c r="U31" s="13">
        <f>IFERROR(AVERAGEIFS(DEBIT_HARIAN!$F$6:$F$9136,DEBIT_HARIAN!$B$6:$B$9136,$A31,DEBIT_HARIAN!$C$6:$C$9136,U$4,DEBIT_HARIAN!$E$6:$E$9136,U$5),"")</f>
        <v/>
      </c>
      <c r="V31" s="13">
        <f>IFERROR(AVERAGEIFS(DEBIT_HARIAN!$F$6:$F$9136,DEBIT_HARIAN!$B$6:$B$9136,$A31,DEBIT_HARIAN!$C$6:$C$9136,V$4,DEBIT_HARIAN!$E$6:$E$9136,V$5),"")</f>
        <v/>
      </c>
      <c r="W31" s="13">
        <f>IFERROR(AVERAGEIFS(DEBIT_HARIAN!$F$6:$F$9136,DEBIT_HARIAN!$B$6:$B$9136,$A31,DEBIT_HARIAN!$C$6:$C$9136,W$4,DEBIT_HARIAN!$E$6:$E$9136,W$5),"")</f>
        <v/>
      </c>
      <c r="X31" s="13">
        <f>IFERROR(AVERAGEIFS(DEBIT_HARIAN!$F$6:$F$9136,DEBIT_HARIAN!$B$6:$B$9136,$A31,DEBIT_HARIAN!$C$6:$C$9136,X$4,DEBIT_HARIAN!$E$6:$E$9136,X$5),"")</f>
        <v/>
      </c>
      <c r="Y31" s="13">
        <f>IFERROR(AVERAGEIFS(DEBIT_HARIAN!$F$6:$F$9136,DEBIT_HARIAN!$B$6:$B$9136,$A31,DEBIT_HARIAN!$C$6:$C$9136,Y$4,DEBIT_HARIAN!$E$6:$E$9136,Y$5),"")</f>
        <v/>
      </c>
      <c r="Z31" s="10">
        <f>IFERROR(AVERAGEIFS(DEBIT_HARIAN!$F$6:$F$9136,DEBIT_HARIAN!$B$6:$B$9136,$A31),"")</f>
        <v/>
      </c>
    </row>
    <row r="32">
      <c r="A32" s="2" t="inlineStr">
        <is>
          <t>Rata-rata</t>
        </is>
      </c>
      <c r="B32" s="16">
        <f>IFERROR(AVERAGE(B7:B31),"")</f>
        <v/>
      </c>
      <c r="C32" s="16">
        <f>IFERROR(AVERAGE(C7:C31),"")</f>
        <v/>
      </c>
      <c r="D32" s="16">
        <f>IFERROR(AVERAGE(D7:D31),"")</f>
        <v/>
      </c>
      <c r="E32" s="16">
        <f>IFERROR(AVERAGE(E7:E31),"")</f>
        <v/>
      </c>
      <c r="F32" s="16">
        <f>IFERROR(AVERAGE(F7:F31),"")</f>
        <v/>
      </c>
      <c r="G32" s="16">
        <f>IFERROR(AVERAGE(G7:G31),"")</f>
        <v/>
      </c>
      <c r="H32" s="16">
        <f>IFERROR(AVERAGE(H7:H31),"")</f>
        <v/>
      </c>
      <c r="I32" s="16">
        <f>IFERROR(AVERAGE(I7:I31),"")</f>
        <v/>
      </c>
      <c r="J32" s="16">
        <f>IFERROR(AVERAGE(J7:J31),"")</f>
        <v/>
      </c>
      <c r="K32" s="16">
        <f>IFERROR(AVERAGE(K7:K31),"")</f>
        <v/>
      </c>
      <c r="L32" s="16">
        <f>IFERROR(AVERAGE(L7:L31),"")</f>
        <v/>
      </c>
      <c r="M32" s="16">
        <f>IFERROR(AVERAGE(M7:M31),"")</f>
        <v/>
      </c>
      <c r="N32" s="16">
        <f>IFERROR(AVERAGE(N7:N31),"")</f>
        <v/>
      </c>
      <c r="O32" s="16">
        <f>IFERROR(AVERAGE(O7:O31),"")</f>
        <v/>
      </c>
      <c r="P32" s="16">
        <f>IFERROR(AVERAGE(P7:P31),"")</f>
        <v/>
      </c>
      <c r="Q32" s="16">
        <f>IFERROR(AVERAGE(Q7:Q31),"")</f>
        <v/>
      </c>
      <c r="R32" s="16">
        <f>IFERROR(AVERAGE(R7:R31),"")</f>
        <v/>
      </c>
      <c r="S32" s="16">
        <f>IFERROR(AVERAGE(S7:S31),"")</f>
        <v/>
      </c>
      <c r="T32" s="16">
        <f>IFERROR(AVERAGE(T7:T31),"")</f>
        <v/>
      </c>
      <c r="U32" s="16">
        <f>IFERROR(AVERAGE(U7:U31),"")</f>
        <v/>
      </c>
      <c r="V32" s="16">
        <f>IFERROR(AVERAGE(V7:V31),"")</f>
        <v/>
      </c>
      <c r="W32" s="16">
        <f>IFERROR(AVERAGE(W7:W31),"")</f>
        <v/>
      </c>
      <c r="X32" s="16">
        <f>IFERROR(AVERAGE(X7:X31),"")</f>
        <v/>
      </c>
      <c r="Y32" s="16">
        <f>IFERROR(AVERAGE(Y7:Y31),"")</f>
        <v/>
      </c>
      <c r="Z32" s="16">
        <f>IFERROR(AVERAGE(Z7:Z31),"")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4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5" t="n">
        <v>53.281728</v>
      </c>
    </row>
    <row r="7">
      <c r="A7" s="24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5" t="n">
        <v>77.66467400000001</v>
      </c>
    </row>
    <row r="8">
      <c r="A8" s="24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5" t="n">
        <v>67.80591800000001</v>
      </c>
    </row>
    <row r="9">
      <c r="A9" s="24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5" t="n">
        <v>78.17768100000001</v>
      </c>
    </row>
    <row r="10">
      <c r="A10" s="24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5" t="n">
        <v>81.254363</v>
      </c>
    </row>
    <row r="11">
      <c r="A11" s="24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5" t="n">
        <v>83.27076700000001</v>
      </c>
    </row>
    <row r="12">
      <c r="A12" s="24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5" t="n">
        <v>72.062408</v>
      </c>
    </row>
    <row r="13">
      <c r="A13" s="24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5" t="n">
        <v>74.344657</v>
      </c>
    </row>
    <row r="14">
      <c r="A14" s="24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5" t="n">
        <v>95.778542</v>
      </c>
    </row>
    <row r="15">
      <c r="A15" s="24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5" t="n">
        <v>76.099864</v>
      </c>
    </row>
    <row r="16">
      <c r="A16" s="24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5" t="n">
        <v>73.36711099999999</v>
      </c>
    </row>
    <row r="17">
      <c r="A17" s="24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5" t="n">
        <v>99.123757</v>
      </c>
    </row>
    <row r="18">
      <c r="A18" s="24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5" t="n">
        <v>84.06011599999999</v>
      </c>
    </row>
    <row r="19">
      <c r="A19" s="24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5" t="n">
        <v>76.35439100000001</v>
      </c>
    </row>
    <row r="20">
      <c r="A20" s="24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5" t="n">
        <v>64.10980000000001</v>
      </c>
    </row>
    <row r="21">
      <c r="A21" s="24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5" t="n">
        <v>53.156782</v>
      </c>
    </row>
    <row r="22">
      <c r="A22" s="24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5" t="n">
        <v>45.30474</v>
      </c>
    </row>
    <row r="23">
      <c r="A23" s="24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5" t="n">
        <v>43.672516</v>
      </c>
    </row>
    <row r="24">
      <c r="A24" s="24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5" t="n">
        <v>53.960218</v>
      </c>
    </row>
    <row r="25">
      <c r="A25" s="24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5" t="n">
        <v>74.82088</v>
      </c>
    </row>
    <row r="26">
      <c r="A26" s="24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5" t="n">
        <v>85.11482100000001</v>
      </c>
    </row>
    <row r="27">
      <c r="A27" s="24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5" t="n">
        <v>71.890327</v>
      </c>
    </row>
    <row r="28">
      <c r="A28" s="24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5" t="n">
        <v>70.564252</v>
      </c>
    </row>
    <row r="29">
      <c r="A29" s="24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5" t="n">
        <v>78.28497400000001</v>
      </c>
    </row>
    <row r="30">
      <c r="A30" s="24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5" t="n">
        <v>66.807489</v>
      </c>
    </row>
    <row r="31">
      <c r="A31" s="24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5" t="n">
        <v>68.712841</v>
      </c>
    </row>
    <row r="32">
      <c r="A32" s="24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5" t="n">
        <v>55.607327</v>
      </c>
    </row>
    <row r="33">
      <c r="A33" s="24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5" t="n">
        <v>43.472487</v>
      </c>
    </row>
    <row r="34">
      <c r="A34" s="24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5" t="n">
        <v>36.517065</v>
      </c>
    </row>
    <row r="35">
      <c r="A35" s="24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5" t="n">
        <v>30.345213</v>
      </c>
    </row>
    <row r="36">
      <c r="A36" s="24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5" t="n">
        <v>34.529279</v>
      </c>
    </row>
    <row r="37">
      <c r="A37" s="24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5" t="n">
        <v>32.36666</v>
      </c>
    </row>
    <row r="38">
      <c r="A38" s="24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5" t="n">
        <v>56.110907</v>
      </c>
    </row>
    <row r="39">
      <c r="A39" s="24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5" t="n">
        <v>53.324585</v>
      </c>
    </row>
    <row r="40">
      <c r="A40" s="24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5" t="n">
        <v>55.420049</v>
      </c>
    </row>
    <row r="41">
      <c r="A41" s="24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5" t="n">
        <v>60.67393</v>
      </c>
    </row>
    <row r="42">
      <c r="A42" s="24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5" t="n">
        <v>49.628959</v>
      </c>
    </row>
    <row r="43">
      <c r="A43" s="24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5" t="n">
        <v>39.113904</v>
      </c>
    </row>
    <row r="44">
      <c r="A44" s="24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5" t="n">
        <v>47.668924</v>
      </c>
    </row>
    <row r="45">
      <c r="A45" s="24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5" t="n">
        <v>64.970534</v>
      </c>
    </row>
    <row r="46">
      <c r="A46" s="24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5" t="n">
        <v>73.852125</v>
      </c>
    </row>
    <row r="47">
      <c r="A47" s="24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5" t="n">
        <v>76.434299</v>
      </c>
    </row>
    <row r="48">
      <c r="A48" s="24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5" t="n">
        <v>59.195674</v>
      </c>
    </row>
    <row r="49">
      <c r="A49" s="24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5" t="n">
        <v>50.6174</v>
      </c>
    </row>
    <row r="50">
      <c r="A50" s="24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5" t="n">
        <v>42.752368</v>
      </c>
    </row>
    <row r="51">
      <c r="A51" s="24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5" t="n">
        <v>37.571069</v>
      </c>
    </row>
    <row r="52">
      <c r="A52" s="24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5" t="n">
        <v>66.67098799999999</v>
      </c>
    </row>
    <row r="53">
      <c r="A53" s="24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5" t="n">
        <v>53.555715</v>
      </c>
    </row>
    <row r="54">
      <c r="A54" s="24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5" t="n">
        <v>41.772054</v>
      </c>
    </row>
    <row r="55">
      <c r="A55" s="24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5" t="n">
        <v>55.942632</v>
      </c>
    </row>
    <row r="56">
      <c r="A56" s="24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5" t="n">
        <v>53.318184</v>
      </c>
    </row>
    <row r="57">
      <c r="A57" s="24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5" t="n">
        <v>41.11592</v>
      </c>
    </row>
    <row r="58">
      <c r="A58" s="24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5" t="n">
        <v>50.263287</v>
      </c>
    </row>
    <row r="59">
      <c r="A59" s="24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5" t="n">
        <v>50.273935</v>
      </c>
    </row>
    <row r="60">
      <c r="A60" s="24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5" t="n">
        <v>47.784493</v>
      </c>
    </row>
    <row r="61">
      <c r="A61" s="24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5" t="n">
        <v>37.901027</v>
      </c>
    </row>
    <row r="62">
      <c r="A62" s="24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5" t="n">
        <v>29.8893</v>
      </c>
    </row>
    <row r="63">
      <c r="A63" s="24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5" t="n">
        <v>24.102871</v>
      </c>
    </row>
    <row r="64">
      <c r="A64" s="24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5" t="n">
        <v>19.827974</v>
      </c>
    </row>
    <row r="65">
      <c r="A65" s="24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5" t="n">
        <v>16.604877</v>
      </c>
    </row>
    <row r="66">
      <c r="A66" s="24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5" t="n">
        <v>17.281207</v>
      </c>
    </row>
    <row r="67">
      <c r="A67" s="24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5" t="n">
        <v>16.365218</v>
      </c>
    </row>
    <row r="68">
      <c r="A68" s="24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5" t="n">
        <v>21.58781</v>
      </c>
    </row>
    <row r="69">
      <c r="A69" s="24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5" t="n">
        <v>19.181583</v>
      </c>
    </row>
    <row r="70">
      <c r="A70" s="24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5" t="n">
        <v>18.531511</v>
      </c>
    </row>
    <row r="71">
      <c r="A71" s="24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5" t="n">
        <v>18.71314</v>
      </c>
    </row>
    <row r="72">
      <c r="A72" s="24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5" t="n">
        <v>32.578446</v>
      </c>
    </row>
    <row r="73">
      <c r="A73" s="24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5" t="n">
        <v>46.286312</v>
      </c>
    </row>
    <row r="74">
      <c r="A74" s="24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5" t="n">
        <v>67.907059</v>
      </c>
    </row>
    <row r="75">
      <c r="A75" s="24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5" t="n">
        <v>81.959154</v>
      </c>
    </row>
    <row r="76">
      <c r="A76" s="24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5" t="n">
        <v>81.422782</v>
      </c>
    </row>
    <row r="77">
      <c r="A77" s="24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5" t="n">
        <v>120.625271</v>
      </c>
    </row>
    <row r="78">
      <c r="A78" s="24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5" t="n">
        <v>125.144371</v>
      </c>
    </row>
    <row r="79">
      <c r="A79" s="24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5" t="n">
        <v>148.048999</v>
      </c>
    </row>
    <row r="80">
      <c r="A80" s="24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5" t="n">
        <v>121.706096</v>
      </c>
    </row>
    <row r="81">
      <c r="A81" s="24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5" t="n">
        <v>90.975793</v>
      </c>
    </row>
    <row r="82">
      <c r="A82" s="24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5" t="n">
        <v>83.285579</v>
      </c>
    </row>
    <row r="83">
      <c r="A83" s="24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5" t="n">
        <v>68.25943700000001</v>
      </c>
    </row>
    <row r="84">
      <c r="A84" s="24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5" t="n">
        <v>61.735662</v>
      </c>
    </row>
    <row r="85">
      <c r="A85" s="24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5" t="n">
        <v>50.782343</v>
      </c>
    </row>
    <row r="86">
      <c r="A86" s="24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5" t="n">
        <v>49.175659</v>
      </c>
    </row>
    <row r="87">
      <c r="A87" s="24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5" t="n">
        <v>46.939963</v>
      </c>
    </row>
    <row r="88">
      <c r="A88" s="24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5" t="n">
        <v>44.011971</v>
      </c>
    </row>
    <row r="89">
      <c r="A89" s="24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5" t="n">
        <v>42.531698</v>
      </c>
    </row>
    <row r="90">
      <c r="A90" s="24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5" t="n">
        <v>76.319979</v>
      </c>
    </row>
    <row r="91">
      <c r="A91" s="24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5" t="n">
        <v>73.44753300000001</v>
      </c>
    </row>
    <row r="92">
      <c r="A92" s="24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5" t="n">
        <v>63.184452</v>
      </c>
    </row>
    <row r="93">
      <c r="A93" s="24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5" t="n">
        <v>76.29525700000001</v>
      </c>
    </row>
    <row r="94">
      <c r="A94" s="24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5" t="n">
        <v>69.216323</v>
      </c>
    </row>
    <row r="95">
      <c r="A95" s="24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5" t="n">
        <v>62.939377</v>
      </c>
    </row>
    <row r="96">
      <c r="A96" s="24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5" t="n">
        <v>64.756823</v>
      </c>
    </row>
    <row r="97">
      <c r="A97" s="24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5" t="n">
        <v>54.311987</v>
      </c>
    </row>
    <row r="98">
      <c r="A98" s="24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5" t="n">
        <v>42.741353</v>
      </c>
    </row>
    <row r="99">
      <c r="A99" s="24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5" t="n">
        <v>38.214477</v>
      </c>
    </row>
    <row r="100">
      <c r="A100" s="24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5" t="n">
        <v>43.699608</v>
      </c>
    </row>
    <row r="101">
      <c r="A101" s="24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5" t="n">
        <v>68.038224</v>
      </c>
    </row>
    <row r="102">
      <c r="A102" s="24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5" t="n">
        <v>80.01675899999999</v>
      </c>
    </row>
    <row r="103">
      <c r="A103" s="24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5" t="n">
        <v>119.452717</v>
      </c>
    </row>
    <row r="104">
      <c r="A104" s="24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5" t="n">
        <v>139.958839</v>
      </c>
    </row>
    <row r="105">
      <c r="A105" s="24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5" t="n">
        <v>163.322976</v>
      </c>
    </row>
    <row r="106">
      <c r="A106" s="24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5" t="n">
        <v>166.011522</v>
      </c>
    </row>
    <row r="107">
      <c r="A107" s="24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5" t="n">
        <v>184.599945</v>
      </c>
    </row>
    <row r="108">
      <c r="A108" s="24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5" t="n">
        <v>193.98471</v>
      </c>
    </row>
    <row r="109">
      <c r="A109" s="24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5" t="n">
        <v>205.326049</v>
      </c>
    </row>
    <row r="110">
      <c r="A110" s="24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5" t="n">
        <v>187.526614</v>
      </c>
    </row>
    <row r="111">
      <c r="A111" s="24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5" t="n">
        <v>149.92222</v>
      </c>
    </row>
    <row r="112">
      <c r="A112" s="24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5" t="n">
        <v>115.756651</v>
      </c>
    </row>
    <row r="113">
      <c r="A113" s="24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5" t="n">
        <v>91.169301</v>
      </c>
    </row>
    <row r="114">
      <c r="A114" s="24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5" t="n">
        <v>78.728549</v>
      </c>
    </row>
    <row r="115">
      <c r="A115" s="24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5" t="n">
        <v>67.637384</v>
      </c>
    </row>
    <row r="116">
      <c r="A116" s="24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5" t="n">
        <v>77.40061</v>
      </c>
    </row>
    <row r="117">
      <c r="A117" s="24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5" t="n">
        <v>103.07686</v>
      </c>
    </row>
    <row r="118">
      <c r="A118" s="24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5" t="n">
        <v>97.389217</v>
      </c>
    </row>
    <row r="119">
      <c r="A119" s="24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5" t="n">
        <v>94.57351800000001</v>
      </c>
    </row>
    <row r="120">
      <c r="A120" s="24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5" t="n">
        <v>95.655312</v>
      </c>
    </row>
    <row r="121">
      <c r="A121" s="24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5" t="n">
        <v>126.387019</v>
      </c>
    </row>
    <row r="122">
      <c r="A122" s="24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5" t="n">
        <v>126.264474</v>
      </c>
    </row>
    <row r="123">
      <c r="A123" s="24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5" t="n">
        <v>154.512124</v>
      </c>
    </row>
    <row r="124">
      <c r="A124" s="24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5" t="n">
        <v>172.502698</v>
      </c>
    </row>
    <row r="125">
      <c r="A125" s="24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5" t="n">
        <v>149.654366</v>
      </c>
    </row>
    <row r="126">
      <c r="A126" s="24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5" t="n">
        <v>175.737421</v>
      </c>
    </row>
    <row r="127">
      <c r="A127" s="24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5" t="n">
        <v>189.092334</v>
      </c>
    </row>
    <row r="128">
      <c r="A128" s="24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5" t="n">
        <v>162.507049</v>
      </c>
    </row>
    <row r="129">
      <c r="A129" s="24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5" t="n">
        <v>127.200944</v>
      </c>
    </row>
    <row r="130">
      <c r="A130" s="24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5" t="n">
        <v>154.75126</v>
      </c>
    </row>
    <row r="131">
      <c r="A131" s="24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5" t="n">
        <v>186.244312</v>
      </c>
    </row>
    <row r="132">
      <c r="A132" s="24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5" t="n">
        <v>201.355615</v>
      </c>
    </row>
    <row r="133">
      <c r="A133" s="24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5" t="n">
        <v>201.948379</v>
      </c>
    </row>
    <row r="134">
      <c r="A134" s="24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5" t="n">
        <v>221.933425</v>
      </c>
    </row>
    <row r="135">
      <c r="A135" s="24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5" t="n">
        <v>236.065737</v>
      </c>
    </row>
    <row r="136">
      <c r="A136" s="24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5" t="n">
        <v>247.185712</v>
      </c>
    </row>
    <row r="137">
      <c r="A137" s="24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5" t="n">
        <v>235.183305</v>
      </c>
    </row>
    <row r="138">
      <c r="A138" s="24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5" t="n">
        <v>218.05668</v>
      </c>
    </row>
    <row r="139">
      <c r="A139" s="24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5" t="n">
        <v>190.765133</v>
      </c>
    </row>
    <row r="140">
      <c r="A140" s="24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5" t="n">
        <v>148.85443</v>
      </c>
    </row>
    <row r="141">
      <c r="A141" s="24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5" t="n">
        <v>117.660928</v>
      </c>
    </row>
    <row r="142">
      <c r="A142" s="24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5" t="n">
        <v>96.724304</v>
      </c>
    </row>
    <row r="143">
      <c r="A143" s="24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5" t="n">
        <v>79.486299</v>
      </c>
    </row>
    <row r="144">
      <c r="A144" s="24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5" t="n">
        <v>74.50628399999999</v>
      </c>
    </row>
    <row r="145">
      <c r="A145" s="24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5" t="n">
        <v>119.638226</v>
      </c>
    </row>
    <row r="146">
      <c r="A146" s="24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5" t="n">
        <v>129.599372</v>
      </c>
    </row>
    <row r="147">
      <c r="A147" s="24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5" t="n">
        <v>106.801326</v>
      </c>
    </row>
    <row r="148">
      <c r="A148" s="24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5" t="n">
        <v>138.859079</v>
      </c>
    </row>
    <row r="149">
      <c r="A149" s="24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5" t="n">
        <v>136.439009</v>
      </c>
    </row>
    <row r="150">
      <c r="A150" s="24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5" t="n">
        <v>122.52586</v>
      </c>
    </row>
    <row r="151">
      <c r="A151" s="24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5" t="n">
        <v>96.45532300000001</v>
      </c>
    </row>
    <row r="152">
      <c r="A152" s="24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5" t="n">
        <v>100.144173</v>
      </c>
    </row>
    <row r="153">
      <c r="A153" s="24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5" t="n">
        <v>139.79035</v>
      </c>
    </row>
    <row r="154">
      <c r="A154" s="24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5" t="n">
        <v>142.198334</v>
      </c>
    </row>
    <row r="155">
      <c r="A155" s="24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5" t="n">
        <v>111.265569</v>
      </c>
    </row>
    <row r="156">
      <c r="A156" s="24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5" t="n">
        <v>111.538653</v>
      </c>
    </row>
    <row r="157">
      <c r="A157" s="24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5" t="n">
        <v>125.703766</v>
      </c>
    </row>
    <row r="158">
      <c r="A158" s="24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5" t="n">
        <v>117.892471</v>
      </c>
    </row>
    <row r="159">
      <c r="A159" s="24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5" t="n">
        <v>93.951369</v>
      </c>
    </row>
    <row r="160">
      <c r="A160" s="24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5" t="n">
        <v>78.98265000000001</v>
      </c>
    </row>
    <row r="161">
      <c r="A161" s="24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5" t="n">
        <v>66.850711</v>
      </c>
    </row>
    <row r="162">
      <c r="A162" s="24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5" t="n">
        <v>112.531144</v>
      </c>
    </row>
    <row r="163">
      <c r="A163" s="24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5" t="n">
        <v>124.144024</v>
      </c>
    </row>
    <row r="164">
      <c r="A164" s="24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5" t="n">
        <v>106.857765</v>
      </c>
    </row>
    <row r="165">
      <c r="A165" s="24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5" t="n">
        <v>99.235827</v>
      </c>
    </row>
    <row r="166">
      <c r="A166" s="24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5" t="n">
        <v>117.765295</v>
      </c>
    </row>
    <row r="167">
      <c r="A167" s="24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5" t="n">
        <v>155.460172</v>
      </c>
    </row>
    <row r="168">
      <c r="A168" s="24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5" t="n">
        <v>168.600835</v>
      </c>
    </row>
    <row r="169">
      <c r="A169" s="24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5" t="n">
        <v>169.811408</v>
      </c>
    </row>
    <row r="170">
      <c r="A170" s="24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5" t="n">
        <v>158.250852</v>
      </c>
    </row>
    <row r="171">
      <c r="A171" s="24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5" t="n">
        <v>177.174244</v>
      </c>
    </row>
    <row r="172">
      <c r="A172" s="24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5" t="n">
        <v>219.663095</v>
      </c>
    </row>
    <row r="173">
      <c r="A173" s="24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5" t="n">
        <v>222.44036</v>
      </c>
    </row>
    <row r="174">
      <c r="A174" s="24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5" t="n">
        <v>218.92369</v>
      </c>
    </row>
    <row r="175">
      <c r="A175" s="24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5" t="n">
        <v>214.708014</v>
      </c>
    </row>
    <row r="176">
      <c r="A176" s="24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5" t="n">
        <v>215.843096</v>
      </c>
    </row>
    <row r="177">
      <c r="A177" s="24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5" t="n">
        <v>219.646422</v>
      </c>
    </row>
    <row r="178">
      <c r="A178" s="24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5" t="n">
        <v>222.800683</v>
      </c>
    </row>
    <row r="179">
      <c r="A179" s="24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5" t="n">
        <v>209.879006</v>
      </c>
    </row>
    <row r="180">
      <c r="A180" s="24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5" t="n">
        <v>221.433171</v>
      </c>
    </row>
    <row r="181">
      <c r="A181" s="24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5" t="n">
        <v>226.358538</v>
      </c>
    </row>
    <row r="182">
      <c r="A182" s="24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5" t="n">
        <v>229.672966</v>
      </c>
    </row>
    <row r="183">
      <c r="A183" s="24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5" t="n">
        <v>185.659327</v>
      </c>
    </row>
    <row r="184">
      <c r="A184" s="24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5" t="n">
        <v>143.458956</v>
      </c>
    </row>
    <row r="185">
      <c r="A185" s="24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5" t="n">
        <v>116.448757</v>
      </c>
    </row>
    <row r="186">
      <c r="A186" s="24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5" t="n">
        <v>105.447691</v>
      </c>
    </row>
    <row r="187">
      <c r="A187" s="24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5" t="n">
        <v>120.803688</v>
      </c>
    </row>
    <row r="188">
      <c r="A188" s="24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5" t="n">
        <v>98.05726199999999</v>
      </c>
    </row>
    <row r="189">
      <c r="A189" s="24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5" t="n">
        <v>77.93388400000001</v>
      </c>
    </row>
    <row r="190">
      <c r="A190" s="24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5" t="n">
        <v>63.95259</v>
      </c>
    </row>
    <row r="191">
      <c r="A191" s="24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5" t="n">
        <v>53.473819</v>
      </c>
    </row>
    <row r="192">
      <c r="A192" s="24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5" t="n">
        <v>45.35921</v>
      </c>
    </row>
    <row r="193">
      <c r="A193" s="24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5" t="n">
        <v>38.914922</v>
      </c>
    </row>
    <row r="194">
      <c r="A194" s="24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5" t="n">
        <v>33.699759</v>
      </c>
    </row>
    <row r="195">
      <c r="A195" s="24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5" t="n">
        <v>29.41083</v>
      </c>
    </row>
    <row r="196">
      <c r="A196" s="24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5" t="n">
        <v>25.835596</v>
      </c>
    </row>
    <row r="197">
      <c r="A197" s="24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5" t="n">
        <v>22.820085</v>
      </c>
    </row>
    <row r="198">
      <c r="A198" s="24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5" t="n">
        <v>20.251461</v>
      </c>
    </row>
    <row r="199">
      <c r="A199" s="24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5" t="n">
        <v>18.745773</v>
      </c>
    </row>
    <row r="200">
      <c r="A200" s="24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5" t="n">
        <v>23.603877</v>
      </c>
    </row>
    <row r="201">
      <c r="A201" s="24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5" t="n">
        <v>52.435884</v>
      </c>
    </row>
    <row r="202">
      <c r="A202" s="24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5" t="n">
        <v>52.807778</v>
      </c>
    </row>
    <row r="203">
      <c r="A203" s="24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5" t="n">
        <v>55.025755</v>
      </c>
    </row>
    <row r="204">
      <c r="A204" s="24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5" t="n">
        <v>85.272176</v>
      </c>
    </row>
    <row r="205">
      <c r="A205" s="24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5" t="n">
        <v>85.630726</v>
      </c>
    </row>
    <row r="206">
      <c r="A206" s="24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5" t="n">
        <v>69.88726</v>
      </c>
    </row>
    <row r="207">
      <c r="A207" s="24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5" t="n">
        <v>112.168537</v>
      </c>
    </row>
    <row r="208">
      <c r="A208" s="24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5" t="n">
        <v>142.966152</v>
      </c>
    </row>
    <row r="209">
      <c r="A209" s="24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5" t="n">
        <v>147.70446</v>
      </c>
    </row>
    <row r="210">
      <c r="A210" s="24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5" t="n">
        <v>123.531008</v>
      </c>
    </row>
    <row r="211">
      <c r="A211" s="24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5" t="n">
        <v>100.575809</v>
      </c>
    </row>
    <row r="212">
      <c r="A212" s="24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5" t="n">
        <v>90.796227</v>
      </c>
    </row>
    <row r="213">
      <c r="A213" s="24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5" t="n">
        <v>83.69169100000001</v>
      </c>
    </row>
    <row r="214">
      <c r="A214" s="24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5" t="n">
        <v>99.9122</v>
      </c>
    </row>
    <row r="215">
      <c r="A215" s="24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5" t="n">
        <v>134.778046</v>
      </c>
    </row>
    <row r="216">
      <c r="A216" s="24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5" t="n">
        <v>161.39396</v>
      </c>
    </row>
    <row r="217">
      <c r="A217" s="24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5" t="n">
        <v>130.727648</v>
      </c>
    </row>
    <row r="218">
      <c r="A218" s="24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5" t="n">
        <v>98.105677</v>
      </c>
    </row>
    <row r="219">
      <c r="A219" s="24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5" t="n">
        <v>79.871641</v>
      </c>
    </row>
    <row r="220">
      <c r="A220" s="24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5" t="n">
        <v>63.66878</v>
      </c>
    </row>
    <row r="221">
      <c r="A221" s="24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5" t="n">
        <v>52.347697</v>
      </c>
    </row>
    <row r="222">
      <c r="A222" s="24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5" t="n">
        <v>48.539197</v>
      </c>
    </row>
    <row r="223">
      <c r="A223" s="24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5" t="n">
        <v>51.500535</v>
      </c>
    </row>
    <row r="224">
      <c r="A224" s="24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5" t="n">
        <v>50.666</v>
      </c>
    </row>
    <row r="225">
      <c r="A225" s="24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5" t="n">
        <v>48.580621</v>
      </c>
    </row>
    <row r="226">
      <c r="A226" s="24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5" t="n">
        <v>39.612248</v>
      </c>
    </row>
    <row r="227">
      <c r="A227" s="24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5" t="n">
        <v>32.02209</v>
      </c>
    </row>
    <row r="228">
      <c r="A228" s="24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5" t="n">
        <v>27.904135</v>
      </c>
    </row>
    <row r="229">
      <c r="A229" s="24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5" t="n">
        <v>59.360551</v>
      </c>
    </row>
    <row r="230">
      <c r="A230" s="24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5" t="n">
        <v>83.659132</v>
      </c>
    </row>
    <row r="231">
      <c r="A231" s="24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5" t="n">
        <v>64.692089</v>
      </c>
    </row>
    <row r="232">
      <c r="A232" s="24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5" t="n">
        <v>50.415225</v>
      </c>
    </row>
    <row r="233">
      <c r="A233" s="24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5" t="n">
        <v>39.589791</v>
      </c>
    </row>
    <row r="234">
      <c r="A234" s="24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5" t="n">
        <v>31.657091</v>
      </c>
    </row>
    <row r="235">
      <c r="A235" s="24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5" t="n">
        <v>25.900306</v>
      </c>
    </row>
    <row r="236">
      <c r="A236" s="24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5" t="n">
        <v>21.573123</v>
      </c>
    </row>
    <row r="237">
      <c r="A237" s="24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5" t="n">
        <v>18.23397</v>
      </c>
    </row>
    <row r="238">
      <c r="A238" s="24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5" t="n">
        <v>15.598982</v>
      </c>
    </row>
    <row r="239">
      <c r="A239" s="24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5" t="n">
        <v>13.47922</v>
      </c>
    </row>
    <row r="240">
      <c r="A240" s="24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5" t="n">
        <v>11.92952</v>
      </c>
    </row>
    <row r="241">
      <c r="A241" s="24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5" t="n">
        <v>10.441173</v>
      </c>
    </row>
    <row r="242">
      <c r="A242" s="24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5" t="n">
        <v>9.157500000000001</v>
      </c>
    </row>
    <row r="243">
      <c r="A243" s="24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5" t="n">
        <v>8.108105999999999</v>
      </c>
    </row>
    <row r="244">
      <c r="A244" s="24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5" t="n">
        <v>7.215762</v>
      </c>
    </row>
    <row r="245">
      <c r="A245" s="24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5" t="n">
        <v>8.222477</v>
      </c>
    </row>
    <row r="246">
      <c r="A246" s="24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5" t="n">
        <v>7.329633</v>
      </c>
    </row>
    <row r="247">
      <c r="A247" s="24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5" t="n">
        <v>6.106844</v>
      </c>
    </row>
    <row r="248">
      <c r="A248" s="24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5" t="n">
        <v>5.321596</v>
      </c>
    </row>
    <row r="249">
      <c r="A249" s="24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5" t="n">
        <v>5.031164</v>
      </c>
    </row>
    <row r="250">
      <c r="A250" s="24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5" t="n">
        <v>4.443267</v>
      </c>
    </row>
    <row r="251">
      <c r="A251" s="24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5" t="n">
        <v>3.887969</v>
      </c>
    </row>
    <row r="252">
      <c r="A252" s="24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5" t="n">
        <v>26.684099</v>
      </c>
    </row>
    <row r="253">
      <c r="A253" s="24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5" t="n">
        <v>21.693674</v>
      </c>
    </row>
    <row r="254">
      <c r="A254" s="24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5" t="n">
        <v>16.255594</v>
      </c>
    </row>
    <row r="255">
      <c r="A255" s="24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5" t="n">
        <v>69.721654</v>
      </c>
    </row>
    <row r="256">
      <c r="A256" s="24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5" t="n">
        <v>94.243978</v>
      </c>
    </row>
    <row r="257">
      <c r="A257" s="24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5" t="n">
        <v>80.226589</v>
      </c>
    </row>
    <row r="258">
      <c r="A258" s="24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5" t="n">
        <v>79.70144999999999</v>
      </c>
    </row>
    <row r="259">
      <c r="A259" s="24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5" t="n">
        <v>100.413935</v>
      </c>
    </row>
    <row r="260">
      <c r="A260" s="24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5" t="n">
        <v>77.08853499999999</v>
      </c>
    </row>
    <row r="261">
      <c r="A261" s="24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5" t="n">
        <v>114.506476</v>
      </c>
    </row>
    <row r="262">
      <c r="A262" s="24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5" t="n">
        <v>105.765541</v>
      </c>
    </row>
    <row r="263">
      <c r="A263" s="24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5" t="n">
        <v>80.040783</v>
      </c>
    </row>
    <row r="264">
      <c r="A264" s="24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5" t="n">
        <v>63.726148</v>
      </c>
    </row>
    <row r="265">
      <c r="A265" s="24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5" t="n">
        <v>50.140516</v>
      </c>
    </row>
    <row r="266">
      <c r="A266" s="24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5" t="n">
        <v>45.753411</v>
      </c>
    </row>
    <row r="267">
      <c r="A267" s="24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5" t="n">
        <v>65.708744</v>
      </c>
    </row>
    <row r="268">
      <c r="A268" s="24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5" t="n">
        <v>56.438935</v>
      </c>
    </row>
    <row r="269">
      <c r="A269" s="24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5" t="n">
        <v>53.178617</v>
      </c>
    </row>
    <row r="270">
      <c r="A270" s="24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5" t="n">
        <v>53.293668</v>
      </c>
    </row>
    <row r="271">
      <c r="A271" s="24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5" t="n">
        <v>53.016911</v>
      </c>
    </row>
    <row r="272">
      <c r="A272" s="24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5" t="n">
        <v>84.727574</v>
      </c>
    </row>
    <row r="273">
      <c r="A273" s="24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5" t="n">
        <v>104.239534</v>
      </c>
    </row>
    <row r="274">
      <c r="A274" s="24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5" t="n">
        <v>95.440471</v>
      </c>
    </row>
    <row r="275">
      <c r="A275" s="24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5" t="n">
        <v>122.816452</v>
      </c>
    </row>
    <row r="276">
      <c r="A276" s="24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5" t="n">
        <v>113.379263</v>
      </c>
    </row>
    <row r="277">
      <c r="A277" s="24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5" t="n">
        <v>135.520608</v>
      </c>
    </row>
    <row r="278">
      <c r="A278" s="24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5" t="n">
        <v>160.32567</v>
      </c>
    </row>
    <row r="279">
      <c r="A279" s="24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5" t="n">
        <v>159.944068</v>
      </c>
    </row>
    <row r="280">
      <c r="A280" s="24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5" t="n">
        <v>122.578317</v>
      </c>
    </row>
    <row r="281">
      <c r="A281" s="24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5" t="n">
        <v>115.553969</v>
      </c>
    </row>
    <row r="282">
      <c r="A282" s="24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5" t="n">
        <v>109.413806</v>
      </c>
    </row>
    <row r="283">
      <c r="A283" s="24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5" t="n">
        <v>88.49541600000001</v>
      </c>
    </row>
    <row r="284">
      <c r="A284" s="24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5" t="n">
        <v>70.66478499999999</v>
      </c>
    </row>
    <row r="285">
      <c r="A285" s="24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5" t="n">
        <v>62.101284</v>
      </c>
    </row>
    <row r="286">
      <c r="A286" s="24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5" t="n">
        <v>55.19439</v>
      </c>
    </row>
    <row r="287">
      <c r="A287" s="24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5" t="n">
        <v>57.649878</v>
      </c>
    </row>
    <row r="288">
      <c r="A288" s="24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5" t="n">
        <v>104.288985</v>
      </c>
    </row>
    <row r="289">
      <c r="A289" s="24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5" t="n">
        <v>117.362064</v>
      </c>
    </row>
    <row r="290">
      <c r="A290" s="24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5" t="n">
        <v>122.118161</v>
      </c>
    </row>
    <row r="291">
      <c r="A291" s="24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5" t="n">
        <v>108.24111</v>
      </c>
    </row>
    <row r="292">
      <c r="A292" s="24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5" t="n">
        <v>96.349468</v>
      </c>
    </row>
    <row r="293">
      <c r="A293" s="24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5" t="n">
        <v>79.643038</v>
      </c>
    </row>
    <row r="294">
      <c r="A294" s="24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5" t="n">
        <v>74.482429</v>
      </c>
    </row>
    <row r="295">
      <c r="A295" s="24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5" t="n">
        <v>62.128479</v>
      </c>
    </row>
    <row r="296">
      <c r="A296" s="24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5" t="n">
        <v>55.822453</v>
      </c>
    </row>
    <row r="297">
      <c r="A297" s="24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5" t="n">
        <v>52.32991</v>
      </c>
    </row>
    <row r="298">
      <c r="A298" s="24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5" t="n">
        <v>44.4817</v>
      </c>
    </row>
    <row r="299">
      <c r="A299" s="24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5" t="n">
        <v>39.904413</v>
      </c>
    </row>
    <row r="300">
      <c r="A300" s="24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5" t="n">
        <v>33.320933</v>
      </c>
    </row>
    <row r="301">
      <c r="A301" s="24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5" t="n">
        <v>27.709369</v>
      </c>
    </row>
    <row r="302">
      <c r="A302" s="24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5" t="n">
        <v>23.255446</v>
      </c>
    </row>
    <row r="303">
      <c r="A303" s="24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5" t="n">
        <v>26.42206</v>
      </c>
    </row>
    <row r="304">
      <c r="A304" s="24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5" t="n">
        <v>32.366195</v>
      </c>
    </row>
    <row r="305">
      <c r="A305" s="24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5" t="n">
        <v>36.161865</v>
      </c>
    </row>
    <row r="306">
      <c r="A306" s="24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5" t="n">
        <v>59.561772</v>
      </c>
    </row>
    <row r="307">
      <c r="A307" s="24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5" t="n">
        <v>57.024327</v>
      </c>
    </row>
    <row r="308">
      <c r="A308" s="24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5" t="n">
        <v>77.64308699999999</v>
      </c>
    </row>
    <row r="309">
      <c r="A309" s="24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5" t="n">
        <v>109.087012</v>
      </c>
    </row>
    <row r="310">
      <c r="A310" s="24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5" t="n">
        <v>101.537682</v>
      </c>
    </row>
    <row r="311">
      <c r="A311" s="24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5" t="n">
        <v>82.344886</v>
      </c>
    </row>
    <row r="312">
      <c r="A312" s="24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5" t="n">
        <v>74.881581</v>
      </c>
    </row>
    <row r="313">
      <c r="A313" s="24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5" t="n">
        <v>76.074359</v>
      </c>
    </row>
    <row r="314">
      <c r="A314" s="24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5" t="n">
        <v>62.445048</v>
      </c>
    </row>
    <row r="315">
      <c r="A315" s="24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5" t="n">
        <v>54.079137</v>
      </c>
    </row>
    <row r="316">
      <c r="A316" s="24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5" t="n">
        <v>92.617789</v>
      </c>
    </row>
    <row r="317">
      <c r="A317" s="24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5" t="n">
        <v>85.933734</v>
      </c>
    </row>
    <row r="318">
      <c r="A318" s="24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5" t="n">
        <v>90.10243199999999</v>
      </c>
    </row>
    <row r="319">
      <c r="A319" s="24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5" t="n">
        <v>80.873755</v>
      </c>
    </row>
    <row r="320">
      <c r="A320" s="24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5" t="n">
        <v>99.099188</v>
      </c>
    </row>
    <row r="321">
      <c r="A321" s="24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5" t="n">
        <v>81.65427800000001</v>
      </c>
    </row>
    <row r="322">
      <c r="A322" s="24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5" t="n">
        <v>117.998589</v>
      </c>
    </row>
    <row r="323">
      <c r="A323" s="24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5" t="n">
        <v>96.434409</v>
      </c>
    </row>
    <row r="324">
      <c r="A324" s="24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5" t="n">
        <v>75.60355</v>
      </c>
    </row>
    <row r="325">
      <c r="A325" s="24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5" t="n">
        <v>89.645597</v>
      </c>
    </row>
    <row r="326">
      <c r="A326" s="24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5" t="n">
        <v>86.364638</v>
      </c>
    </row>
    <row r="327">
      <c r="A327" s="24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5" t="n">
        <v>67.465952</v>
      </c>
    </row>
    <row r="328">
      <c r="A328" s="24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5" t="n">
        <v>54.021093</v>
      </c>
    </row>
    <row r="329">
      <c r="A329" s="24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5" t="n">
        <v>45.111304</v>
      </c>
    </row>
    <row r="330">
      <c r="A330" s="24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5" t="n">
        <v>36.789993</v>
      </c>
    </row>
    <row r="331">
      <c r="A331" s="24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5" t="n">
        <v>51.878304</v>
      </c>
    </row>
    <row r="332">
      <c r="A332" s="24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5" t="n">
        <v>97.54211599999999</v>
      </c>
    </row>
    <row r="333">
      <c r="A333" s="24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5" t="n">
        <v>83.509767</v>
      </c>
    </row>
    <row r="334">
      <c r="A334" s="24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5" t="n">
        <v>68.534086</v>
      </c>
    </row>
    <row r="335">
      <c r="A335" s="24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5" t="n">
        <v>64.366579</v>
      </c>
    </row>
    <row r="336">
      <c r="A336" s="24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5" t="n">
        <v>80.44837800000001</v>
      </c>
    </row>
    <row r="337">
      <c r="A337" s="24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5" t="n">
        <v>91.96787500000001</v>
      </c>
    </row>
    <row r="338">
      <c r="A338" s="24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5" t="n">
        <v>121.297063</v>
      </c>
    </row>
    <row r="339">
      <c r="A339" s="24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5" t="n">
        <v>102.23252</v>
      </c>
    </row>
    <row r="340">
      <c r="A340" s="24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5" t="n">
        <v>112.274618</v>
      </c>
    </row>
    <row r="341">
      <c r="A341" s="24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5" t="n">
        <v>143.062021</v>
      </c>
    </row>
    <row r="342">
      <c r="A342" s="24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5" t="n">
        <v>115.013591</v>
      </c>
    </row>
    <row r="343">
      <c r="A343" s="24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5" t="n">
        <v>117.43141</v>
      </c>
    </row>
    <row r="344">
      <c r="A344" s="24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5" t="n">
        <v>107.850579</v>
      </c>
    </row>
    <row r="345">
      <c r="A345" s="24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5" t="n">
        <v>92.45444500000001</v>
      </c>
    </row>
    <row r="346">
      <c r="A346" s="24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5" t="n">
        <v>101.008422</v>
      </c>
    </row>
    <row r="347">
      <c r="A347" s="24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5" t="n">
        <v>88.061499</v>
      </c>
    </row>
    <row r="348">
      <c r="A348" s="24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5" t="n">
        <v>71.68305599999999</v>
      </c>
    </row>
    <row r="349">
      <c r="A349" s="24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5" t="n">
        <v>58.244107</v>
      </c>
    </row>
    <row r="350">
      <c r="A350" s="24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5" t="n">
        <v>57.947864</v>
      </c>
    </row>
    <row r="351">
      <c r="A351" s="24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5" t="n">
        <v>83.80812899999999</v>
      </c>
    </row>
    <row r="352">
      <c r="A352" s="24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5" t="n">
        <v>70.612154</v>
      </c>
    </row>
    <row r="353">
      <c r="A353" s="24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5" t="n">
        <v>60.820831</v>
      </c>
    </row>
    <row r="354">
      <c r="A354" s="24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5" t="n">
        <v>69.727834</v>
      </c>
    </row>
    <row r="355">
      <c r="A355" s="24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5" t="n">
        <v>60.343099</v>
      </c>
    </row>
    <row r="356">
      <c r="A356" s="24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5" t="n">
        <v>48.542104</v>
      </c>
    </row>
    <row r="357">
      <c r="A357" s="24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5" t="n">
        <v>65.606679</v>
      </c>
    </row>
    <row r="358">
      <c r="A358" s="24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5" t="n">
        <v>52.95029</v>
      </c>
    </row>
    <row r="359">
      <c r="A359" s="24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5" t="n">
        <v>44.560574</v>
      </c>
    </row>
    <row r="360">
      <c r="A360" s="24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5" t="n">
        <v>36.753416</v>
      </c>
    </row>
    <row r="361">
      <c r="A361" s="24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5" t="n">
        <v>36.823201</v>
      </c>
    </row>
    <row r="362">
      <c r="A362" s="24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5" t="n">
        <v>32.962618</v>
      </c>
    </row>
    <row r="363">
      <c r="A363" s="24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5" t="n">
        <v>32.113786</v>
      </c>
    </row>
    <row r="364">
      <c r="A364" s="24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5" t="n">
        <v>66.740099</v>
      </c>
    </row>
    <row r="365">
      <c r="A365" s="24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5" t="n">
        <v>58.621434</v>
      </c>
    </row>
    <row r="366">
      <c r="A366" s="24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5" t="n">
        <v>57.925805</v>
      </c>
    </row>
    <row r="367">
      <c r="A367" s="24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5" t="n">
        <v>46.25361</v>
      </c>
    </row>
    <row r="368">
      <c r="A368" s="24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5" t="n">
        <v>46.060031</v>
      </c>
    </row>
    <row r="369">
      <c r="A369" s="24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5" t="n">
        <v>40.404133</v>
      </c>
    </row>
    <row r="370">
      <c r="A370" s="24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5" t="n">
        <v>32.379961</v>
      </c>
    </row>
    <row r="371">
      <c r="A371" s="24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5" t="n">
        <v>29.395285</v>
      </c>
    </row>
    <row r="372">
      <c r="A372" s="24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5" t="n">
        <v>38.299966</v>
      </c>
    </row>
    <row r="373">
      <c r="A373" s="24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5" t="n">
        <v>60.181756</v>
      </c>
    </row>
    <row r="374">
      <c r="A374" s="24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5" t="n">
        <v>47.940912</v>
      </c>
    </row>
    <row r="375">
      <c r="A375" s="24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5" t="n">
        <v>42.599915</v>
      </c>
    </row>
    <row r="376">
      <c r="A376" s="24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5" t="n">
        <v>36.839695</v>
      </c>
    </row>
    <row r="377">
      <c r="A377" s="24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5" t="n">
        <v>30.33961</v>
      </c>
    </row>
    <row r="378">
      <c r="A378" s="24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5" t="n">
        <v>38.197565</v>
      </c>
    </row>
    <row r="379">
      <c r="A379" s="24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5" t="n">
        <v>38.998118</v>
      </c>
    </row>
    <row r="380">
      <c r="A380" s="24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5" t="n">
        <v>51.454143</v>
      </c>
    </row>
    <row r="381">
      <c r="A381" s="24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5" t="n">
        <v>51.084572</v>
      </c>
    </row>
    <row r="382">
      <c r="A382" s="24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5" t="n">
        <v>47.965626</v>
      </c>
    </row>
    <row r="383">
      <c r="A383" s="24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5" t="n">
        <v>49.478002</v>
      </c>
    </row>
    <row r="384">
      <c r="A384" s="24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5" t="n">
        <v>41.633469</v>
      </c>
    </row>
    <row r="385">
      <c r="A385" s="24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5" t="n">
        <v>34.814051</v>
      </c>
    </row>
    <row r="386">
      <c r="A386" s="24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5" t="n">
        <v>38.022688</v>
      </c>
    </row>
    <row r="387">
      <c r="A387" s="24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5" t="n">
        <v>35.430412</v>
      </c>
    </row>
    <row r="388">
      <c r="A388" s="24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5" t="n">
        <v>29.672092</v>
      </c>
    </row>
    <row r="389">
      <c r="A389" s="24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5" t="n">
        <v>31.332996</v>
      </c>
    </row>
    <row r="390">
      <c r="A390" s="24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5" t="n">
        <v>34.366033</v>
      </c>
    </row>
    <row r="391">
      <c r="A391" s="24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5" t="n">
        <v>30.687051</v>
      </c>
    </row>
    <row r="392">
      <c r="A392" s="24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5" t="n">
        <v>41.414498</v>
      </c>
    </row>
    <row r="393">
      <c r="A393" s="24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5" t="n">
        <v>56.183569</v>
      </c>
    </row>
    <row r="394">
      <c r="A394" s="24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5" t="n">
        <v>49.197192</v>
      </c>
    </row>
    <row r="395">
      <c r="A395" s="24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5" t="n">
        <v>55.221385</v>
      </c>
    </row>
    <row r="396">
      <c r="A396" s="24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5" t="n">
        <v>49.551212</v>
      </c>
    </row>
    <row r="397">
      <c r="A397" s="24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5" t="n">
        <v>46.677547</v>
      </c>
    </row>
    <row r="398">
      <c r="A398" s="24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5" t="n">
        <v>37.063422</v>
      </c>
    </row>
    <row r="399">
      <c r="A399" s="24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5" t="n">
        <v>37.006035</v>
      </c>
    </row>
    <row r="400">
      <c r="A400" s="24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5" t="n">
        <v>41.848249</v>
      </c>
    </row>
    <row r="401">
      <c r="A401" s="24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5" t="n">
        <v>47.021223</v>
      </c>
    </row>
    <row r="402">
      <c r="A402" s="24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5" t="n">
        <v>38.21019</v>
      </c>
    </row>
    <row r="403">
      <c r="A403" s="24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5" t="n">
        <v>34.525655</v>
      </c>
    </row>
    <row r="404">
      <c r="A404" s="24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5" t="n">
        <v>55.605615</v>
      </c>
    </row>
    <row r="405">
      <c r="A405" s="24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5" t="n">
        <v>45.672897</v>
      </c>
    </row>
    <row r="406">
      <c r="A406" s="24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5" t="n">
        <v>59.048681</v>
      </c>
    </row>
    <row r="407">
      <c r="A407" s="24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5" t="n">
        <v>49.299612</v>
      </c>
    </row>
    <row r="408">
      <c r="A408" s="24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5" t="n">
        <v>37.805112</v>
      </c>
    </row>
    <row r="409">
      <c r="A409" s="24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5" t="n">
        <v>31.244043</v>
      </c>
    </row>
    <row r="410">
      <c r="A410" s="24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5" t="n">
        <v>25.312299</v>
      </c>
    </row>
    <row r="411">
      <c r="A411" s="24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5" t="n">
        <v>25.362961</v>
      </c>
    </row>
    <row r="412">
      <c r="A412" s="24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5" t="n">
        <v>21.311194</v>
      </c>
    </row>
    <row r="413">
      <c r="A413" s="24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5" t="n">
        <v>33.343386</v>
      </c>
    </row>
    <row r="414">
      <c r="A414" s="24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5" t="n">
        <v>32.660783</v>
      </c>
    </row>
    <row r="415">
      <c r="A415" s="24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5" t="n">
        <v>29.568017</v>
      </c>
    </row>
    <row r="416">
      <c r="A416" s="24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5" t="n">
        <v>33.506643</v>
      </c>
    </row>
    <row r="417">
      <c r="A417" s="24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5" t="n">
        <v>26.714921</v>
      </c>
    </row>
    <row r="418">
      <c r="A418" s="24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5" t="n">
        <v>30.844822</v>
      </c>
    </row>
    <row r="419">
      <c r="A419" s="24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5" t="n">
        <v>39.999753</v>
      </c>
    </row>
    <row r="420">
      <c r="A420" s="24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5" t="n">
        <v>37.322884</v>
      </c>
    </row>
    <row r="421">
      <c r="A421" s="24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5" t="n">
        <v>29.059756</v>
      </c>
    </row>
    <row r="422">
      <c r="A422" s="24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5" t="n">
        <v>22.525632</v>
      </c>
    </row>
    <row r="423">
      <c r="A423" s="24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5" t="n">
        <v>18.21206</v>
      </c>
    </row>
    <row r="424">
      <c r="A424" s="24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5" t="n">
        <v>16.285322</v>
      </c>
    </row>
    <row r="425">
      <c r="A425" s="24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5" t="n">
        <v>28.594904</v>
      </c>
    </row>
    <row r="426">
      <c r="A426" s="24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5" t="n">
        <v>28.91653</v>
      </c>
    </row>
    <row r="427">
      <c r="A427" s="24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5" t="n">
        <v>68.33318800000001</v>
      </c>
    </row>
    <row r="428">
      <c r="A428" s="24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5" t="n">
        <v>59.041799</v>
      </c>
    </row>
    <row r="429">
      <c r="A429" s="24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5" t="n">
        <v>45.85291</v>
      </c>
    </row>
    <row r="430">
      <c r="A430" s="24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5" t="n">
        <v>42.433087</v>
      </c>
    </row>
    <row r="431">
      <c r="A431" s="24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5" t="n">
        <v>34.210359</v>
      </c>
    </row>
    <row r="432">
      <c r="A432" s="24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5" t="n">
        <v>43.086887</v>
      </c>
    </row>
    <row r="433">
      <c r="A433" s="24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5" t="n">
        <v>34.388049</v>
      </c>
    </row>
    <row r="434">
      <c r="A434" s="24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5" t="n">
        <v>32.693272</v>
      </c>
    </row>
    <row r="435">
      <c r="A435" s="24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5" t="n">
        <v>37.032616</v>
      </c>
    </row>
    <row r="436">
      <c r="A436" s="24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5" t="n">
        <v>54.477882</v>
      </c>
    </row>
    <row r="437">
      <c r="A437" s="24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5" t="n">
        <v>56.760001</v>
      </c>
    </row>
    <row r="438">
      <c r="A438" s="24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5" t="n">
        <v>55.906355</v>
      </c>
    </row>
    <row r="439">
      <c r="A439" s="24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5" t="n">
        <v>68.308437</v>
      </c>
    </row>
    <row r="440">
      <c r="A440" s="24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5" t="n">
        <v>63.1621</v>
      </c>
    </row>
    <row r="441">
      <c r="A441" s="24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5" t="n">
        <v>68.759415</v>
      </c>
    </row>
    <row r="442">
      <c r="A442" s="24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5" t="n">
        <v>61.49303</v>
      </c>
    </row>
    <row r="443">
      <c r="A443" s="24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5" t="n">
        <v>73.538965</v>
      </c>
    </row>
    <row r="444">
      <c r="A444" s="24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5" t="n">
        <v>74.796904</v>
      </c>
    </row>
    <row r="445">
      <c r="A445" s="24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5" t="n">
        <v>64.91957499999999</v>
      </c>
    </row>
    <row r="446">
      <c r="A446" s="24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5" t="n">
        <v>51.15221</v>
      </c>
    </row>
    <row r="447">
      <c r="A447" s="24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5" t="n">
        <v>40.422708</v>
      </c>
    </row>
    <row r="448">
      <c r="A448" s="24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5" t="n">
        <v>44.544497</v>
      </c>
    </row>
    <row r="449">
      <c r="A449" s="24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5" t="n">
        <v>39.5267</v>
      </c>
    </row>
    <row r="450">
      <c r="A450" s="24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5" t="n">
        <v>46.3239</v>
      </c>
    </row>
    <row r="451">
      <c r="A451" s="24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5" t="n">
        <v>99.208878</v>
      </c>
    </row>
    <row r="452">
      <c r="A452" s="24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5" t="n">
        <v>132.930854</v>
      </c>
    </row>
    <row r="453">
      <c r="A453" s="24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5" t="n">
        <v>125.971032</v>
      </c>
    </row>
    <row r="454">
      <c r="A454" s="24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5" t="n">
        <v>99.77382299999999</v>
      </c>
    </row>
    <row r="455">
      <c r="A455" s="24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5" t="n">
        <v>92.415548</v>
      </c>
    </row>
    <row r="456">
      <c r="A456" s="24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5" t="n">
        <v>107.361463</v>
      </c>
    </row>
    <row r="457">
      <c r="A457" s="24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5" t="n">
        <v>141.33506</v>
      </c>
    </row>
    <row r="458">
      <c r="A458" s="24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5" t="n">
        <v>135.509761</v>
      </c>
    </row>
    <row r="459">
      <c r="A459" s="24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5" t="n">
        <v>123.687809</v>
      </c>
    </row>
    <row r="460">
      <c r="A460" s="24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5" t="n">
        <v>105.745013</v>
      </c>
    </row>
    <row r="461">
      <c r="A461" s="24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5" t="n">
        <v>94.267494</v>
      </c>
    </row>
    <row r="462">
      <c r="A462" s="24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5" t="n">
        <v>76.561792</v>
      </c>
    </row>
    <row r="463">
      <c r="A463" s="24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5" t="n">
        <v>60.898385</v>
      </c>
    </row>
    <row r="464">
      <c r="A464" s="24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5" t="n">
        <v>50.842629</v>
      </c>
    </row>
    <row r="465">
      <c r="A465" s="24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5" t="n">
        <v>43.127967</v>
      </c>
    </row>
    <row r="466">
      <c r="A466" s="24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5" t="n">
        <v>36.705217</v>
      </c>
    </row>
    <row r="467">
      <c r="A467" s="24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5" t="n">
        <v>32.702501</v>
      </c>
    </row>
    <row r="468">
      <c r="A468" s="24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5" t="n">
        <v>47.286066</v>
      </c>
    </row>
    <row r="469">
      <c r="A469" s="24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5" t="n">
        <v>50.898554</v>
      </c>
    </row>
    <row r="470">
      <c r="A470" s="24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5" t="n">
        <v>44.194562</v>
      </c>
    </row>
    <row r="471">
      <c r="A471" s="24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5" t="n">
        <v>36.727237</v>
      </c>
    </row>
    <row r="472">
      <c r="A472" s="24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5" t="n">
        <v>30.927322</v>
      </c>
    </row>
    <row r="473">
      <c r="A473" s="24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5" t="n">
        <v>28.563095</v>
      </c>
    </row>
    <row r="474">
      <c r="A474" s="24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5" t="n">
        <v>30.336472</v>
      </c>
    </row>
    <row r="475">
      <c r="A475" s="24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5" t="n">
        <v>38.30793</v>
      </c>
    </row>
    <row r="476">
      <c r="A476" s="24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5" t="n">
        <v>50.537839</v>
      </c>
    </row>
    <row r="477">
      <c r="A477" s="24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5" t="n">
        <v>48.354929</v>
      </c>
    </row>
    <row r="478">
      <c r="A478" s="24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5" t="n">
        <v>44.764393</v>
      </c>
    </row>
    <row r="479">
      <c r="A479" s="24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5" t="n">
        <v>38.60212</v>
      </c>
    </row>
    <row r="480">
      <c r="A480" s="24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5" t="n">
        <v>34.426712</v>
      </c>
    </row>
    <row r="481">
      <c r="A481" s="24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5" t="n">
        <v>40.065645</v>
      </c>
    </row>
    <row r="482">
      <c r="A482" s="24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5" t="n">
        <v>33.864433</v>
      </c>
    </row>
    <row r="483">
      <c r="A483" s="24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5" t="n">
        <v>40.839003</v>
      </c>
    </row>
    <row r="484">
      <c r="A484" s="24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5" t="n">
        <v>67.65595399999999</v>
      </c>
    </row>
    <row r="485">
      <c r="A485" s="24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5" t="n">
        <v>78.431172</v>
      </c>
    </row>
    <row r="486">
      <c r="A486" s="24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5" t="n">
        <v>86.103825</v>
      </c>
    </row>
    <row r="487">
      <c r="A487" s="24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5" t="n">
        <v>89.228729</v>
      </c>
    </row>
    <row r="488">
      <c r="A488" s="24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5" t="n">
        <v>82.78451699999999</v>
      </c>
    </row>
    <row r="489">
      <c r="A489" s="24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5" t="n">
        <v>111.480653</v>
      </c>
    </row>
    <row r="490">
      <c r="A490" s="24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5" t="n">
        <v>125.047291</v>
      </c>
    </row>
    <row r="491">
      <c r="A491" s="24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5" t="n">
        <v>150.870192</v>
      </c>
    </row>
    <row r="492">
      <c r="A492" s="24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5" t="n">
        <v>161.262365</v>
      </c>
    </row>
    <row r="493">
      <c r="A493" s="24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5" t="n">
        <v>147.353299</v>
      </c>
    </row>
    <row r="494">
      <c r="A494" s="24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5" t="n">
        <v>143.629187</v>
      </c>
    </row>
    <row r="495">
      <c r="A495" s="24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5" t="n">
        <v>163.495215</v>
      </c>
    </row>
    <row r="496">
      <c r="A496" s="24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5" t="n">
        <v>151.620342</v>
      </c>
    </row>
    <row r="497">
      <c r="A497" s="24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5" t="n">
        <v>129.104402</v>
      </c>
    </row>
    <row r="498">
      <c r="A498" s="24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5" t="n">
        <v>117.140343</v>
      </c>
    </row>
    <row r="499">
      <c r="A499" s="24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5" t="n">
        <v>126.359817</v>
      </c>
    </row>
    <row r="500">
      <c r="A500" s="24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5" t="n">
        <v>128.817915</v>
      </c>
    </row>
    <row r="501">
      <c r="A501" s="24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5" t="n">
        <v>119.55813</v>
      </c>
    </row>
    <row r="502">
      <c r="A502" s="24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5" t="n">
        <v>92.808415</v>
      </c>
    </row>
    <row r="503">
      <c r="A503" s="24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5" t="n">
        <v>72.45647</v>
      </c>
    </row>
    <row r="504">
      <c r="A504" s="24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5" t="n">
        <v>58.289482</v>
      </c>
    </row>
    <row r="505">
      <c r="A505" s="24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5" t="n">
        <v>47.847891</v>
      </c>
    </row>
    <row r="506">
      <c r="A506" s="24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5" t="n">
        <v>39.911502</v>
      </c>
    </row>
    <row r="507">
      <c r="A507" s="24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5" t="n">
        <v>33.730229</v>
      </c>
    </row>
    <row r="508">
      <c r="A508" s="24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5" t="n">
        <v>28.819702</v>
      </c>
    </row>
    <row r="509">
      <c r="A509" s="24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5" t="n">
        <v>25.005716</v>
      </c>
    </row>
    <row r="510">
      <c r="A510" s="24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5" t="n">
        <v>21.712495</v>
      </c>
    </row>
    <row r="511">
      <c r="A511" s="24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5" t="n">
        <v>18.960653</v>
      </c>
    </row>
    <row r="512">
      <c r="A512" s="24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5" t="n">
        <v>16.793607</v>
      </c>
    </row>
    <row r="513">
      <c r="A513" s="24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5" t="n">
        <v>14.833407</v>
      </c>
    </row>
    <row r="514">
      <c r="A514" s="24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5" t="n">
        <v>13.130095</v>
      </c>
    </row>
    <row r="515">
      <c r="A515" s="24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5" t="n">
        <v>16.012769</v>
      </c>
    </row>
    <row r="516">
      <c r="A516" s="24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5" t="n">
        <v>13.867915</v>
      </c>
    </row>
    <row r="517">
      <c r="A517" s="24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5" t="n">
        <v>25.873794</v>
      </c>
    </row>
    <row r="518">
      <c r="A518" s="24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5" t="n">
        <v>24.349016</v>
      </c>
    </row>
    <row r="519">
      <c r="A519" s="24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5" t="n">
        <v>35.544991</v>
      </c>
    </row>
    <row r="520">
      <c r="A520" s="24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5" t="n">
        <v>33.310619</v>
      </c>
    </row>
    <row r="521">
      <c r="A521" s="24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5" t="n">
        <v>28.373618</v>
      </c>
    </row>
    <row r="522">
      <c r="A522" s="24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5" t="n">
        <v>29.527787</v>
      </c>
    </row>
    <row r="523">
      <c r="A523" s="24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5" t="n">
        <v>27.749126</v>
      </c>
    </row>
    <row r="524">
      <c r="A524" s="24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5" t="n">
        <v>23.743437</v>
      </c>
    </row>
    <row r="525">
      <c r="A525" s="24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5" t="n">
        <v>20.119935</v>
      </c>
    </row>
    <row r="526">
      <c r="A526" s="24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5" t="n">
        <v>16.582455</v>
      </c>
    </row>
    <row r="527">
      <c r="A527" s="24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5" t="n">
        <v>46.553517</v>
      </c>
    </row>
    <row r="528">
      <c r="A528" s="24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5" t="n">
        <v>41.727999</v>
      </c>
    </row>
    <row r="529">
      <c r="A529" s="24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5" t="n">
        <v>31.078527</v>
      </c>
    </row>
    <row r="530">
      <c r="A530" s="24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5" t="n">
        <v>30.69069</v>
      </c>
    </row>
    <row r="531">
      <c r="A531" s="24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5" t="n">
        <v>24.855729</v>
      </c>
    </row>
    <row r="532">
      <c r="A532" s="24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5" t="n">
        <v>20.351417</v>
      </c>
    </row>
    <row r="533">
      <c r="A533" s="24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5" t="n">
        <v>16.693768</v>
      </c>
    </row>
    <row r="534">
      <c r="A534" s="24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5" t="n">
        <v>30.005374</v>
      </c>
    </row>
    <row r="535">
      <c r="A535" s="24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5" t="n">
        <v>38.357188</v>
      </c>
    </row>
    <row r="536">
      <c r="A536" s="24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5" t="n">
        <v>42.035503</v>
      </c>
    </row>
    <row r="537">
      <c r="A537" s="24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5" t="n">
        <v>50.631866</v>
      </c>
    </row>
    <row r="538">
      <c r="A538" s="24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5" t="n">
        <v>63.815817</v>
      </c>
    </row>
    <row r="539">
      <c r="A539" s="24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5" t="n">
        <v>73.75766900000001</v>
      </c>
    </row>
    <row r="540">
      <c r="A540" s="24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5" t="n">
        <v>67.76915</v>
      </c>
    </row>
    <row r="541">
      <c r="A541" s="24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5" t="n">
        <v>72.913708</v>
      </c>
    </row>
    <row r="542">
      <c r="A542" s="24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5" t="n">
        <v>163.386612</v>
      </c>
    </row>
    <row r="543">
      <c r="A543" s="24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5" t="n">
        <v>191.159153</v>
      </c>
    </row>
    <row r="544">
      <c r="A544" s="24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5" t="n">
        <v>164.833488</v>
      </c>
    </row>
    <row r="545">
      <c r="A545" s="24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5" t="n">
        <v>151.385801</v>
      </c>
    </row>
    <row r="546">
      <c r="A546" s="24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5" t="n">
        <v>119.512262</v>
      </c>
    </row>
    <row r="547">
      <c r="A547" s="24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5" t="n">
        <v>98.21021</v>
      </c>
    </row>
    <row r="548">
      <c r="A548" s="24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5" t="n">
        <v>78.42966</v>
      </c>
    </row>
    <row r="549">
      <c r="A549" s="24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5" t="n">
        <v>62.186635</v>
      </c>
    </row>
    <row r="550">
      <c r="A550" s="24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5" t="n">
        <v>50.392162</v>
      </c>
    </row>
    <row r="551">
      <c r="A551" s="24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5" t="n">
        <v>41.70557</v>
      </c>
    </row>
    <row r="552">
      <c r="A552" s="24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5" t="n">
        <v>35.335174</v>
      </c>
    </row>
    <row r="553">
      <c r="A553" s="24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5" t="n">
        <v>29.822104</v>
      </c>
    </row>
    <row r="554">
      <c r="A554" s="24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5" t="n">
        <v>25.388691</v>
      </c>
    </row>
    <row r="555">
      <c r="A555" s="24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5" t="n">
        <v>22.188507</v>
      </c>
    </row>
    <row r="556">
      <c r="A556" s="24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5" t="n">
        <v>19.345052</v>
      </c>
    </row>
    <row r="557">
      <c r="A557" s="24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5" t="n">
        <v>16.745593</v>
      </c>
    </row>
    <row r="558">
      <c r="A558" s="24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5" t="n">
        <v>14.628265</v>
      </c>
    </row>
    <row r="559">
      <c r="A559" s="24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5" t="n">
        <v>12.811241</v>
      </c>
    </row>
    <row r="560">
      <c r="A560" s="24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5" t="n">
        <v>11.680185</v>
      </c>
    </row>
    <row r="561">
      <c r="A561" s="24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5" t="n">
        <v>10.455053</v>
      </c>
    </row>
    <row r="562">
      <c r="A562" s="24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5" t="n">
        <v>9.231176</v>
      </c>
    </row>
    <row r="563">
      <c r="A563" s="24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5" t="n">
        <v>8.162570000000001</v>
      </c>
    </row>
    <row r="564">
      <c r="A564" s="24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5" t="n">
        <v>7.25881</v>
      </c>
    </row>
    <row r="565">
      <c r="A565" s="24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5" t="n">
        <v>6.966254</v>
      </c>
    </row>
    <row r="566">
      <c r="A566" s="24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5" t="n">
        <v>6.19229</v>
      </c>
    </row>
    <row r="567">
      <c r="A567" s="24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5" t="n">
        <v>5.437474</v>
      </c>
    </row>
    <row r="568">
      <c r="A568" s="24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5" t="n">
        <v>4.941165</v>
      </c>
    </row>
    <row r="569">
      <c r="A569" s="24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5" t="n">
        <v>4.42549</v>
      </c>
    </row>
    <row r="570">
      <c r="A570" s="24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5" t="n">
        <v>3.968643</v>
      </c>
    </row>
    <row r="571">
      <c r="A571" s="24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5" t="n">
        <v>3.849337</v>
      </c>
    </row>
    <row r="572">
      <c r="A572" s="24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5" t="n">
        <v>3.4465</v>
      </c>
    </row>
    <row r="573">
      <c r="A573" s="24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5" t="n">
        <v>3.120676</v>
      </c>
    </row>
    <row r="574">
      <c r="A574" s="24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5" t="n">
        <v>3.029181</v>
      </c>
    </row>
    <row r="575">
      <c r="A575" s="24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5" t="n">
        <v>11.225184</v>
      </c>
    </row>
    <row r="576">
      <c r="A576" s="24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5" t="n">
        <v>9.378176</v>
      </c>
    </row>
    <row r="577">
      <c r="A577" s="24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5" t="n">
        <v>7.039585</v>
      </c>
    </row>
    <row r="578">
      <c r="A578" s="24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5" t="n">
        <v>6.44337</v>
      </c>
    </row>
    <row r="579">
      <c r="A579" s="24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5" t="n">
        <v>5.372904</v>
      </c>
    </row>
    <row r="580">
      <c r="A580" s="24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5" t="n">
        <v>4.683414</v>
      </c>
    </row>
    <row r="581">
      <c r="A581" s="24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5" t="n">
        <v>3.932477</v>
      </c>
    </row>
    <row r="582">
      <c r="A582" s="24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5" t="n">
        <v>4.131243</v>
      </c>
    </row>
    <row r="583">
      <c r="A583" s="24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5" t="n">
        <v>3.507472</v>
      </c>
    </row>
    <row r="584">
      <c r="A584" s="24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5" t="n">
        <v>2.894308</v>
      </c>
    </row>
    <row r="585">
      <c r="A585" s="24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5" t="n">
        <v>2.446246</v>
      </c>
    </row>
    <row r="586">
      <c r="A586" s="24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5" t="n">
        <v>2.102594</v>
      </c>
    </row>
    <row r="587">
      <c r="A587" s="24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5" t="n">
        <v>1.951698</v>
      </c>
    </row>
    <row r="588">
      <c r="A588" s="24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5" t="n">
        <v>2.180891</v>
      </c>
    </row>
    <row r="589">
      <c r="A589" s="24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5" t="n">
        <v>2.158038</v>
      </c>
    </row>
    <row r="590">
      <c r="A590" s="24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5" t="n">
        <v>2.565543</v>
      </c>
    </row>
    <row r="591">
      <c r="A591" s="24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5" t="n">
        <v>3.593441</v>
      </c>
    </row>
    <row r="592">
      <c r="A592" s="24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5" t="n">
        <v>3.007785</v>
      </c>
    </row>
    <row r="593">
      <c r="A593" s="24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5" t="n">
        <v>11.831358</v>
      </c>
    </row>
    <row r="594">
      <c r="A594" s="24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5" t="n">
        <v>9.603382</v>
      </c>
    </row>
    <row r="595">
      <c r="A595" s="24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5" t="n">
        <v>7.241183</v>
      </c>
    </row>
    <row r="596">
      <c r="A596" s="24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5" t="n">
        <v>6.740216</v>
      </c>
    </row>
    <row r="597">
      <c r="A597" s="24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5" t="n">
        <v>5.454497</v>
      </c>
    </row>
    <row r="598">
      <c r="A598" s="24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5" t="n">
        <v>4.33634</v>
      </c>
    </row>
    <row r="599">
      <c r="A599" s="24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5" t="n">
        <v>5.207526</v>
      </c>
    </row>
    <row r="600">
      <c r="A600" s="24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5" t="n">
        <v>11.097841</v>
      </c>
    </row>
    <row r="601">
      <c r="A601" s="24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5" t="n">
        <v>9.014135</v>
      </c>
    </row>
    <row r="602">
      <c r="A602" s="24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5" t="n">
        <v>6.610435</v>
      </c>
    </row>
    <row r="603">
      <c r="A603" s="24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5" t="n">
        <v>5.078257</v>
      </c>
    </row>
    <row r="604">
      <c r="A604" s="24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5" t="n">
        <v>4.020798</v>
      </c>
    </row>
    <row r="605">
      <c r="A605" s="24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5" t="n">
        <v>3.256515</v>
      </c>
    </row>
    <row r="606">
      <c r="A606" s="24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5" t="n">
        <v>2.685378</v>
      </c>
    </row>
    <row r="607">
      <c r="A607" s="24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5" t="n">
        <v>2.24812</v>
      </c>
    </row>
    <row r="608">
      <c r="A608" s="24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5" t="n">
        <v>1.906063</v>
      </c>
    </row>
    <row r="609">
      <c r="A609" s="24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5" t="n">
        <v>1.633406</v>
      </c>
    </row>
    <row r="610">
      <c r="A610" s="24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5" t="n">
        <v>1.412302</v>
      </c>
    </row>
    <row r="611">
      <c r="A611" s="24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5" t="n">
        <v>1.23035</v>
      </c>
    </row>
    <row r="612">
      <c r="A612" s="24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5" t="n">
        <v>1.268061</v>
      </c>
    </row>
    <row r="613">
      <c r="A613" s="24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5" t="n">
        <v>1.09879</v>
      </c>
    </row>
    <row r="614">
      <c r="A614" s="24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5" t="n">
        <v>1.048644</v>
      </c>
    </row>
    <row r="615">
      <c r="A615" s="24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5" t="n">
        <v>1.157184</v>
      </c>
    </row>
    <row r="616">
      <c r="A616" s="24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5" t="n">
        <v>0.998634</v>
      </c>
    </row>
    <row r="617">
      <c r="A617" s="24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5" t="n">
        <v>0.787319</v>
      </c>
    </row>
    <row r="618">
      <c r="A618" s="24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5" t="n">
        <v>0.66087</v>
      </c>
    </row>
    <row r="619">
      <c r="A619" s="24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5" t="n">
        <v>0.576209</v>
      </c>
    </row>
    <row r="620">
      <c r="A620" s="24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5" t="n">
        <v>0.508944</v>
      </c>
    </row>
    <row r="621">
      <c r="A621" s="24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5" t="n">
        <v>0.452801</v>
      </c>
    </row>
    <row r="622">
      <c r="A622" s="24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5" t="n">
        <v>0.404905</v>
      </c>
    </row>
    <row r="623">
      <c r="A623" s="24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5" t="n">
        <v>20.078521</v>
      </c>
    </row>
    <row r="624">
      <c r="A624" s="24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5" t="n">
        <v>17.630533</v>
      </c>
    </row>
    <row r="625">
      <c r="A625" s="24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5" t="n">
        <v>12.281258</v>
      </c>
    </row>
    <row r="626">
      <c r="A626" s="24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5" t="n">
        <v>9.548386000000001</v>
      </c>
    </row>
    <row r="627">
      <c r="A627" s="24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5" t="n">
        <v>7.256832</v>
      </c>
    </row>
    <row r="628">
      <c r="A628" s="24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5" t="n">
        <v>5.606895</v>
      </c>
    </row>
    <row r="629">
      <c r="A629" s="24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5" t="n">
        <v>4.5966</v>
      </c>
    </row>
    <row r="630">
      <c r="A630" s="24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5" t="n">
        <v>6.410102</v>
      </c>
    </row>
    <row r="631">
      <c r="A631" s="24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5" t="n">
        <v>5.126633</v>
      </c>
    </row>
    <row r="632">
      <c r="A632" s="24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5" t="n">
        <v>3.833407</v>
      </c>
    </row>
    <row r="633">
      <c r="A633" s="24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5" t="n">
        <v>3.061918</v>
      </c>
    </row>
    <row r="634">
      <c r="A634" s="24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5" t="n">
        <v>2.50943</v>
      </c>
    </row>
    <row r="635">
      <c r="A635" s="24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5" t="n">
        <v>2.092629</v>
      </c>
    </row>
    <row r="636">
      <c r="A636" s="24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5" t="n">
        <v>1.781065</v>
      </c>
    </row>
    <row r="637">
      <c r="A637" s="24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5" t="n">
        <v>33.354649</v>
      </c>
    </row>
    <row r="638">
      <c r="A638" s="24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5" t="n">
        <v>26.612049</v>
      </c>
    </row>
    <row r="639">
      <c r="A639" s="24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5" t="n">
        <v>18.31029</v>
      </c>
    </row>
    <row r="640">
      <c r="A640" s="24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5" t="n">
        <v>13.530693</v>
      </c>
    </row>
    <row r="641">
      <c r="A641" s="24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5" t="n">
        <v>10.35073</v>
      </c>
    </row>
    <row r="642">
      <c r="A642" s="24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5" t="n">
        <v>8.50132</v>
      </c>
    </row>
    <row r="643">
      <c r="A643" s="24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5" t="n">
        <v>15.06741</v>
      </c>
    </row>
    <row r="644">
      <c r="A644" s="24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5" t="n">
        <v>37.687514</v>
      </c>
    </row>
    <row r="645">
      <c r="A645" s="24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5" t="n">
        <v>35.698811</v>
      </c>
    </row>
    <row r="646">
      <c r="A646" s="24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5" t="n">
        <v>48.304256</v>
      </c>
    </row>
    <row r="647">
      <c r="A647" s="24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5" t="n">
        <v>44.304188</v>
      </c>
    </row>
    <row r="648">
      <c r="A648" s="24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5" t="n">
        <v>34.437651</v>
      </c>
    </row>
    <row r="649">
      <c r="A649" s="24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5" t="n">
        <v>28.155863</v>
      </c>
    </row>
    <row r="650">
      <c r="A650" s="24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5" t="n">
        <v>21.789044</v>
      </c>
    </row>
    <row r="651">
      <c r="A651" s="24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5" t="n">
        <v>17.074968</v>
      </c>
    </row>
    <row r="652">
      <c r="A652" s="24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5" t="n">
        <v>13.71002</v>
      </c>
    </row>
    <row r="653">
      <c r="A653" s="24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5" t="n">
        <v>11.211327</v>
      </c>
    </row>
    <row r="654">
      <c r="A654" s="24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5" t="n">
        <v>9.638833</v>
      </c>
    </row>
    <row r="655">
      <c r="A655" s="24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5" t="n">
        <v>8.068125</v>
      </c>
    </row>
    <row r="656">
      <c r="A656" s="24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5" t="n">
        <v>6.762706</v>
      </c>
    </row>
    <row r="657">
      <c r="A657" s="24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5" t="n">
        <v>6.187355</v>
      </c>
    </row>
    <row r="658">
      <c r="A658" s="24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5" t="n">
        <v>5.758272</v>
      </c>
    </row>
    <row r="659">
      <c r="A659" s="24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5" t="n">
        <v>4.817141</v>
      </c>
    </row>
    <row r="660">
      <c r="A660" s="24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5" t="n">
        <v>4.040048</v>
      </c>
    </row>
    <row r="661">
      <c r="A661" s="24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5" t="n">
        <v>3.503969</v>
      </c>
    </row>
    <row r="662">
      <c r="A662" s="24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5" t="n">
        <v>3.070468</v>
      </c>
    </row>
    <row r="663">
      <c r="A663" s="24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5" t="n">
        <v>2.707638</v>
      </c>
    </row>
    <row r="664">
      <c r="A664" s="24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5" t="n">
        <v>2.399038</v>
      </c>
    </row>
    <row r="665">
      <c r="A665" s="24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5" t="n">
        <v>2.134072</v>
      </c>
    </row>
    <row r="666">
      <c r="A666" s="24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5" t="n">
        <v>1.904886</v>
      </c>
    </row>
    <row r="667">
      <c r="A667" s="24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5" t="n">
        <v>1.705443</v>
      </c>
    </row>
    <row r="668">
      <c r="A668" s="24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5" t="n">
        <v>1.530985</v>
      </c>
    </row>
    <row r="669">
      <c r="A669" s="24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5" t="n">
        <v>1.547835</v>
      </c>
    </row>
    <row r="670">
      <c r="A670" s="24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5" t="n">
        <v>1.367261</v>
      </c>
    </row>
    <row r="671">
      <c r="A671" s="24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5" t="n">
        <v>1.180546</v>
      </c>
    </row>
    <row r="672">
      <c r="A672" s="24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5" t="n">
        <v>1.810096</v>
      </c>
    </row>
    <row r="673">
      <c r="A673" s="24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5" t="n">
        <v>30.14941</v>
      </c>
    </row>
    <row r="674">
      <c r="A674" s="24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5" t="n">
        <v>64.30216799999999</v>
      </c>
    </row>
    <row r="675">
      <c r="A675" s="24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5" t="n">
        <v>57.498846</v>
      </c>
    </row>
    <row r="676">
      <c r="A676" s="24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5" t="n">
        <v>49.957232</v>
      </c>
    </row>
    <row r="677">
      <c r="A677" s="24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5" t="n">
        <v>90.363945</v>
      </c>
    </row>
    <row r="678">
      <c r="A678" s="24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5" t="n">
        <v>90.488201</v>
      </c>
    </row>
    <row r="679">
      <c r="A679" s="24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5" t="n">
        <v>67.119885</v>
      </c>
    </row>
    <row r="680">
      <c r="A680" s="24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5" t="n">
        <v>56.528223</v>
      </c>
    </row>
    <row r="681">
      <c r="A681" s="24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5" t="n">
        <v>45.38812</v>
      </c>
    </row>
    <row r="682">
      <c r="A682" s="24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5" t="n">
        <v>50.149257</v>
      </c>
    </row>
    <row r="683">
      <c r="A683" s="24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5" t="n">
        <v>42.145588</v>
      </c>
    </row>
    <row r="684">
      <c r="A684" s="24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5" t="n">
        <v>36.902842</v>
      </c>
    </row>
    <row r="685">
      <c r="A685" s="24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5" t="n">
        <v>38.726456</v>
      </c>
    </row>
    <row r="686">
      <c r="A686" s="24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5" t="n">
        <v>38.793767</v>
      </c>
    </row>
    <row r="687">
      <c r="A687" s="24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5" t="n">
        <v>44.740676</v>
      </c>
    </row>
    <row r="688">
      <c r="A688" s="24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5" t="n">
        <v>78.883167</v>
      </c>
    </row>
    <row r="689">
      <c r="A689" s="24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5" t="n">
        <v>72.944643</v>
      </c>
    </row>
    <row r="690">
      <c r="A690" s="24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5" t="n">
        <v>58.559843</v>
      </c>
    </row>
    <row r="691">
      <c r="A691" s="24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5" t="n">
        <v>48.572953</v>
      </c>
    </row>
    <row r="692">
      <c r="A692" s="24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5" t="n">
        <v>40.459154</v>
      </c>
    </row>
    <row r="693">
      <c r="A693" s="24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5" t="n">
        <v>34.319066</v>
      </c>
    </row>
    <row r="694">
      <c r="A694" s="24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5" t="n">
        <v>27.598508</v>
      </c>
    </row>
    <row r="695">
      <c r="A695" s="24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5" t="n">
        <v>22.661447</v>
      </c>
    </row>
    <row r="696">
      <c r="A696" s="24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5" t="n">
        <v>18.981284</v>
      </c>
    </row>
    <row r="697">
      <c r="A697" s="24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5" t="n">
        <v>17.80795</v>
      </c>
    </row>
    <row r="698">
      <c r="A698" s="24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5" t="n">
        <v>18.603556</v>
      </c>
    </row>
    <row r="699">
      <c r="A699" s="24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5" t="n">
        <v>17.805411</v>
      </c>
    </row>
    <row r="700">
      <c r="A700" s="24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5" t="n">
        <v>15.771747</v>
      </c>
    </row>
    <row r="701">
      <c r="A701" s="24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5" t="n">
        <v>48.832208</v>
      </c>
    </row>
    <row r="702">
      <c r="A702" s="24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5" t="n">
        <v>47.105891</v>
      </c>
    </row>
    <row r="703">
      <c r="A703" s="24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5" t="n">
        <v>35.021299</v>
      </c>
    </row>
    <row r="704">
      <c r="A704" s="24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5" t="n">
        <v>32.169492</v>
      </c>
    </row>
    <row r="705">
      <c r="A705" s="24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5" t="n">
        <v>54.218436</v>
      </c>
    </row>
    <row r="706">
      <c r="A706" s="24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5" t="n">
        <v>61.749024</v>
      </c>
    </row>
    <row r="707">
      <c r="A707" s="24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5" t="n">
        <v>56.170215</v>
      </c>
    </row>
    <row r="708">
      <c r="A708" s="24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5" t="n">
        <v>43.873623</v>
      </c>
    </row>
    <row r="709">
      <c r="A709" s="24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5" t="n">
        <v>37.676545</v>
      </c>
    </row>
    <row r="710">
      <c r="A710" s="24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5" t="n">
        <v>31.416953</v>
      </c>
    </row>
    <row r="711">
      <c r="A711" s="24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5" t="n">
        <v>32.333745</v>
      </c>
    </row>
    <row r="712">
      <c r="A712" s="24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5" t="n">
        <v>32.22253</v>
      </c>
    </row>
    <row r="713">
      <c r="A713" s="24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5" t="n">
        <v>29.370666</v>
      </c>
    </row>
    <row r="714">
      <c r="A714" s="24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5" t="n">
        <v>26.805881</v>
      </c>
    </row>
    <row r="715">
      <c r="A715" s="24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5" t="n">
        <v>29.269464</v>
      </c>
    </row>
    <row r="716">
      <c r="A716" s="24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5" t="n">
        <v>31.999551</v>
      </c>
    </row>
    <row r="717">
      <c r="A717" s="24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5" t="n">
        <v>41.143343</v>
      </c>
    </row>
    <row r="718">
      <c r="A718" s="24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5" t="n">
        <v>33.405181</v>
      </c>
    </row>
    <row r="719">
      <c r="A719" s="24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5" t="n">
        <v>52.622736</v>
      </c>
    </row>
    <row r="720">
      <c r="A720" s="24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5" t="n">
        <v>44.926661</v>
      </c>
    </row>
    <row r="721">
      <c r="A721" s="24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5" t="n">
        <v>43.898903</v>
      </c>
    </row>
    <row r="722">
      <c r="A722" s="24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5" t="n">
        <v>36.669273</v>
      </c>
    </row>
    <row r="723">
      <c r="A723" s="24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5" t="n">
        <v>28.474503</v>
      </c>
    </row>
    <row r="724">
      <c r="A724" s="24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5" t="n">
        <v>25.248935</v>
      </c>
    </row>
    <row r="725">
      <c r="A725" s="24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5" t="n">
        <v>21.915357</v>
      </c>
    </row>
    <row r="726">
      <c r="A726" s="24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5" t="n">
        <v>26.346003</v>
      </c>
    </row>
    <row r="727">
      <c r="A727" s="24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5" t="n">
        <v>62.428321</v>
      </c>
    </row>
    <row r="728">
      <c r="A728" s="24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5" t="n">
        <v>71.732744</v>
      </c>
    </row>
    <row r="729">
      <c r="A729" s="24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5" t="n">
        <v>64.29133299999999</v>
      </c>
    </row>
    <row r="730">
      <c r="A730" s="24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5" t="n">
        <v>53.521061</v>
      </c>
    </row>
    <row r="731">
      <c r="A731" s="24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5" t="n">
        <v>41.304868</v>
      </c>
    </row>
    <row r="732">
      <c r="A732" s="24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5" t="n">
        <v>95.46393399999999</v>
      </c>
    </row>
    <row r="733">
      <c r="A733" s="24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5" t="n">
        <v>129.90436</v>
      </c>
    </row>
    <row r="734">
      <c r="A734" s="24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5" t="n">
        <v>155.985404</v>
      </c>
    </row>
    <row r="735">
      <c r="A735" s="24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5" t="n">
        <v>168.871569</v>
      </c>
    </row>
    <row r="736">
      <c r="A736" s="24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5" t="n">
        <v>157.943999</v>
      </c>
    </row>
    <row r="737">
      <c r="A737" s="24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5" t="n">
        <v>151.229931</v>
      </c>
    </row>
    <row r="738">
      <c r="A738" s="24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5" t="n">
        <v>147.427361</v>
      </c>
    </row>
    <row r="739">
      <c r="A739" s="24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5" t="n">
        <v>126.142015</v>
      </c>
    </row>
    <row r="740">
      <c r="A740" s="24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5" t="n">
        <v>99.38694</v>
      </c>
    </row>
    <row r="741">
      <c r="A741" s="24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5" t="n">
        <v>77.744561</v>
      </c>
    </row>
    <row r="742">
      <c r="A742" s="24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5" t="n">
        <v>65.233768</v>
      </c>
    </row>
    <row r="743">
      <c r="A743" s="24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5" t="n">
        <v>53.1173</v>
      </c>
    </row>
    <row r="744">
      <c r="A744" s="24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5" t="n">
        <v>43.531994</v>
      </c>
    </row>
    <row r="745">
      <c r="A745" s="24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5" t="n">
        <v>73.348163</v>
      </c>
    </row>
    <row r="746">
      <c r="A746" s="24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5" t="n">
        <v>60.763201</v>
      </c>
    </row>
    <row r="747">
      <c r="A747" s="24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5" t="n">
        <v>62.369342</v>
      </c>
    </row>
    <row r="748">
      <c r="A748" s="24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5" t="n">
        <v>53.963036</v>
      </c>
    </row>
    <row r="749">
      <c r="A749" s="24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5" t="n">
        <v>53.697</v>
      </c>
    </row>
    <row r="750">
      <c r="A750" s="24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5" t="n">
        <v>45.393836</v>
      </c>
    </row>
    <row r="751">
      <c r="A751" s="24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5" t="n">
        <v>36.543719</v>
      </c>
    </row>
    <row r="752">
      <c r="A752" s="24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5" t="n">
        <v>29.706968</v>
      </c>
    </row>
    <row r="753">
      <c r="A753" s="24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5" t="n">
        <v>24.693706</v>
      </c>
    </row>
    <row r="754">
      <c r="A754" s="24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5" t="n">
        <v>27.329754</v>
      </c>
    </row>
    <row r="755">
      <c r="A755" s="24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5" t="n">
        <v>23.188869</v>
      </c>
    </row>
    <row r="756">
      <c r="A756" s="24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5" t="n">
        <v>28.1033</v>
      </c>
    </row>
    <row r="757">
      <c r="A757" s="24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5" t="n">
        <v>26.458281</v>
      </c>
    </row>
    <row r="758">
      <c r="A758" s="24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5" t="n">
        <v>23.016248</v>
      </c>
    </row>
    <row r="759">
      <c r="A759" s="24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5" t="n">
        <v>22.387595</v>
      </c>
    </row>
    <row r="760">
      <c r="A760" s="24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5" t="n">
        <v>19.767279</v>
      </c>
    </row>
    <row r="761">
      <c r="A761" s="24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5" t="n">
        <v>16.11854</v>
      </c>
    </row>
    <row r="762">
      <c r="A762" s="24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5" t="n">
        <v>13.431924</v>
      </c>
    </row>
    <row r="763">
      <c r="A763" s="24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5" t="n">
        <v>11.750658</v>
      </c>
    </row>
    <row r="764">
      <c r="A764" s="24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5" t="n">
        <v>18.727349</v>
      </c>
    </row>
    <row r="765">
      <c r="A765" s="24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5" t="n">
        <v>24.940975</v>
      </c>
    </row>
    <row r="766">
      <c r="A766" s="24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5" t="n">
        <v>25.084422</v>
      </c>
    </row>
    <row r="767">
      <c r="A767" s="24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5" t="n">
        <v>30.924151</v>
      </c>
    </row>
    <row r="768">
      <c r="A768" s="24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5" t="n">
        <v>33.027849</v>
      </c>
    </row>
    <row r="769">
      <c r="A769" s="24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5" t="n">
        <v>39.806446</v>
      </c>
    </row>
    <row r="770">
      <c r="A770" s="24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5" t="n">
        <v>32.252977</v>
      </c>
    </row>
    <row r="771">
      <c r="A771" s="24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5" t="n">
        <v>29.281763</v>
      </c>
    </row>
    <row r="772">
      <c r="A772" s="24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5" t="n">
        <v>31.322872</v>
      </c>
    </row>
    <row r="773">
      <c r="A773" s="24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5" t="n">
        <v>30.304407</v>
      </c>
    </row>
    <row r="774">
      <c r="A774" s="24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5" t="n">
        <v>24.752786</v>
      </c>
    </row>
    <row r="775">
      <c r="A775" s="24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5" t="n">
        <v>46.409891</v>
      </c>
    </row>
    <row r="776">
      <c r="A776" s="24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5" t="n">
        <v>48.646702</v>
      </c>
    </row>
    <row r="777">
      <c r="A777" s="24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5" t="n">
        <v>47.047805</v>
      </c>
    </row>
    <row r="778">
      <c r="A778" s="24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5" t="n">
        <v>53.39525</v>
      </c>
    </row>
    <row r="779">
      <c r="A779" s="24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5" t="n">
        <v>41.751014</v>
      </c>
    </row>
    <row r="780">
      <c r="A780" s="24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5" t="n">
        <v>39.750816</v>
      </c>
    </row>
    <row r="781">
      <c r="A781" s="24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5" t="n">
        <v>39.20705</v>
      </c>
    </row>
    <row r="782">
      <c r="A782" s="24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5" t="n">
        <v>45.643496</v>
      </c>
    </row>
    <row r="783">
      <c r="A783" s="24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5" t="n">
        <v>41.06127</v>
      </c>
    </row>
    <row r="784">
      <c r="A784" s="24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5" t="n">
        <v>42.773835</v>
      </c>
    </row>
    <row r="785">
      <c r="A785" s="24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5" t="n">
        <v>46.809851</v>
      </c>
    </row>
    <row r="786">
      <c r="A786" s="24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5" t="n">
        <v>47.518399</v>
      </c>
    </row>
    <row r="787">
      <c r="A787" s="24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5" t="n">
        <v>49.460152</v>
      </c>
    </row>
    <row r="788">
      <c r="A788" s="24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5" t="n">
        <v>39.300526</v>
      </c>
    </row>
    <row r="789">
      <c r="A789" s="24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5" t="n">
        <v>34.00136</v>
      </c>
    </row>
    <row r="790">
      <c r="A790" s="24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5" t="n">
        <v>27.511716</v>
      </c>
    </row>
    <row r="791">
      <c r="A791" s="24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5" t="n">
        <v>23.511981</v>
      </c>
    </row>
    <row r="792">
      <c r="A792" s="24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5" t="n">
        <v>19.221846</v>
      </c>
    </row>
    <row r="793">
      <c r="A793" s="24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5" t="n">
        <v>21.400961</v>
      </c>
    </row>
    <row r="794">
      <c r="A794" s="24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5" t="n">
        <v>29.632523</v>
      </c>
    </row>
    <row r="795">
      <c r="A795" s="24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5" t="n">
        <v>30.367623</v>
      </c>
    </row>
    <row r="796">
      <c r="A796" s="24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5" t="n">
        <v>30.644294</v>
      </c>
    </row>
    <row r="797">
      <c r="A797" s="24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5" t="n">
        <v>31.565544</v>
      </c>
    </row>
    <row r="798">
      <c r="A798" s="24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5" t="n">
        <v>30.660504</v>
      </c>
    </row>
    <row r="799">
      <c r="A799" s="24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5" t="n">
        <v>37.181745</v>
      </c>
    </row>
    <row r="800">
      <c r="A800" s="24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5" t="n">
        <v>33.849657</v>
      </c>
    </row>
    <row r="801">
      <c r="A801" s="24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5" t="n">
        <v>26.937632</v>
      </c>
    </row>
    <row r="802">
      <c r="A802" s="24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5" t="n">
        <v>21.703041</v>
      </c>
    </row>
    <row r="803">
      <c r="A803" s="24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5" t="n">
        <v>17.519541</v>
      </c>
    </row>
    <row r="804">
      <c r="A804" s="24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5" t="n">
        <v>22.424478</v>
      </c>
    </row>
    <row r="805">
      <c r="A805" s="24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5" t="n">
        <v>24.096834</v>
      </c>
    </row>
    <row r="806">
      <c r="A806" s="24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5" t="n">
        <v>40.234901</v>
      </c>
    </row>
    <row r="807">
      <c r="A807" s="24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5" t="n">
        <v>37.819529</v>
      </c>
    </row>
    <row r="808">
      <c r="A808" s="24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5" t="n">
        <v>42.683199</v>
      </c>
    </row>
    <row r="809">
      <c r="A809" s="24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5" t="n">
        <v>39.526372</v>
      </c>
    </row>
    <row r="810">
      <c r="A810" s="24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5" t="n">
        <v>34.469194</v>
      </c>
    </row>
    <row r="811">
      <c r="A811" s="24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5" t="n">
        <v>42.970216</v>
      </c>
    </row>
    <row r="812">
      <c r="A812" s="24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5" t="n">
        <v>51.756117</v>
      </c>
    </row>
    <row r="813">
      <c r="A813" s="24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5" t="n">
        <v>48.902791</v>
      </c>
    </row>
    <row r="814">
      <c r="A814" s="24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5" t="n">
        <v>40.730714</v>
      </c>
    </row>
    <row r="815">
      <c r="A815" s="24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5" t="n">
        <v>34.80446</v>
      </c>
    </row>
    <row r="816">
      <c r="A816" s="24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5" t="n">
        <v>31.267577</v>
      </c>
    </row>
    <row r="817">
      <c r="A817" s="24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5" t="n">
        <v>54.725332</v>
      </c>
    </row>
    <row r="818">
      <c r="A818" s="24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5" t="n">
        <v>45.425802</v>
      </c>
    </row>
    <row r="819">
      <c r="A819" s="24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5" t="n">
        <v>34.613284</v>
      </c>
    </row>
    <row r="820">
      <c r="A820" s="24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5" t="n">
        <v>28.220064</v>
      </c>
    </row>
    <row r="821">
      <c r="A821" s="24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5" t="n">
        <v>25.650082</v>
      </c>
    </row>
    <row r="822">
      <c r="A822" s="24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5" t="n">
        <v>76.901475</v>
      </c>
    </row>
    <row r="823">
      <c r="A823" s="24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5" t="n">
        <v>97.413061</v>
      </c>
    </row>
    <row r="824">
      <c r="A824" s="24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5" t="n">
        <v>79.922325</v>
      </c>
    </row>
    <row r="825">
      <c r="A825" s="24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5" t="n">
        <v>83.677483</v>
      </c>
    </row>
    <row r="826">
      <c r="A826" s="24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5" t="n">
        <v>101.221688</v>
      </c>
    </row>
    <row r="827">
      <c r="A827" s="24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5" t="n">
        <v>79.543705</v>
      </c>
    </row>
    <row r="828">
      <c r="A828" s="24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5" t="n">
        <v>62.454141</v>
      </c>
    </row>
    <row r="829">
      <c r="A829" s="24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5" t="n">
        <v>59.198099</v>
      </c>
    </row>
    <row r="830">
      <c r="A830" s="24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5" t="n">
        <v>46.869829</v>
      </c>
    </row>
    <row r="831">
      <c r="A831" s="24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5" t="n">
        <v>39.170302</v>
      </c>
    </row>
    <row r="832">
      <c r="A832" s="24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5" t="n">
        <v>63.716852</v>
      </c>
    </row>
    <row r="833">
      <c r="A833" s="24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5" t="n">
        <v>96.68427699999999</v>
      </c>
    </row>
    <row r="834">
      <c r="A834" s="24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5" t="n">
        <v>83.722146</v>
      </c>
    </row>
    <row r="835">
      <c r="A835" s="24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5" t="n">
        <v>67.48623499999999</v>
      </c>
    </row>
    <row r="836">
      <c r="A836" s="24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5" t="n">
        <v>52.365831</v>
      </c>
    </row>
    <row r="837">
      <c r="A837" s="24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5" t="n">
        <v>41.067734</v>
      </c>
    </row>
    <row r="838">
      <c r="A838" s="24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5" t="n">
        <v>33.250694</v>
      </c>
    </row>
    <row r="839">
      <c r="A839" s="24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5" t="n">
        <v>27.368495</v>
      </c>
    </row>
    <row r="840">
      <c r="A840" s="24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5" t="n">
        <v>23.069361</v>
      </c>
    </row>
    <row r="841">
      <c r="A841" s="24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5" t="n">
        <v>29.16721</v>
      </c>
    </row>
    <row r="842">
      <c r="A842" s="24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5" t="n">
        <v>27.185226</v>
      </c>
    </row>
    <row r="843">
      <c r="A843" s="24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5" t="n">
        <v>54.792144</v>
      </c>
    </row>
    <row r="844">
      <c r="A844" s="24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5" t="n">
        <v>52.317245</v>
      </c>
    </row>
    <row r="845">
      <c r="A845" s="24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5" t="n">
        <v>62.317371</v>
      </c>
    </row>
    <row r="846">
      <c r="A846" s="24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5" t="n">
        <v>72.171789</v>
      </c>
    </row>
    <row r="847">
      <c r="A847" s="24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5" t="n">
        <v>69.958876</v>
      </c>
    </row>
    <row r="848">
      <c r="A848" s="24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5" t="n">
        <v>53.312091</v>
      </c>
    </row>
    <row r="849">
      <c r="A849" s="24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5" t="n">
        <v>61.024412</v>
      </c>
    </row>
    <row r="850">
      <c r="A850" s="24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5" t="n">
        <v>105.108418</v>
      </c>
    </row>
    <row r="851">
      <c r="A851" s="24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5" t="n">
        <v>110.080595</v>
      </c>
    </row>
    <row r="852">
      <c r="A852" s="24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5" t="n">
        <v>125.238982</v>
      </c>
    </row>
    <row r="853">
      <c r="A853" s="24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5" t="n">
        <v>153.44039</v>
      </c>
    </row>
    <row r="854">
      <c r="A854" s="24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5" t="n">
        <v>131.259616</v>
      </c>
    </row>
    <row r="855">
      <c r="A855" s="24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5" t="n">
        <v>104.933274</v>
      </c>
    </row>
    <row r="856">
      <c r="A856" s="24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5" t="n">
        <v>99.465248</v>
      </c>
    </row>
    <row r="857">
      <c r="A857" s="24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5" t="n">
        <v>106.665676</v>
      </c>
    </row>
    <row r="858">
      <c r="A858" s="24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5" t="n">
        <v>86.160313</v>
      </c>
    </row>
    <row r="859">
      <c r="A859" s="24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5" t="n">
        <v>93.545008</v>
      </c>
    </row>
    <row r="860">
      <c r="A860" s="24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5" t="n">
        <v>88.397007</v>
      </c>
    </row>
    <row r="861">
      <c r="A861" s="24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5" t="n">
        <v>124.636759</v>
      </c>
    </row>
    <row r="862">
      <c r="A862" s="24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5" t="n">
        <v>127.638879</v>
      </c>
    </row>
    <row r="863">
      <c r="A863" s="24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5" t="n">
        <v>131.261757</v>
      </c>
    </row>
    <row r="864">
      <c r="A864" s="24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5" t="n">
        <v>105.801026</v>
      </c>
    </row>
    <row r="865">
      <c r="A865" s="24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5" t="n">
        <v>123.43136</v>
      </c>
    </row>
    <row r="866">
      <c r="A866" s="24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5" t="n">
        <v>98.359931</v>
      </c>
    </row>
    <row r="867">
      <c r="A867" s="24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5" t="n">
        <v>76.042242</v>
      </c>
    </row>
    <row r="868">
      <c r="A868" s="24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5" t="n">
        <v>95.562078</v>
      </c>
    </row>
    <row r="869">
      <c r="A869" s="24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5" t="n">
        <v>78.498935</v>
      </c>
    </row>
    <row r="870">
      <c r="A870" s="24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5" t="n">
        <v>60.787927</v>
      </c>
    </row>
    <row r="871">
      <c r="A871" s="24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5" t="n">
        <v>49.238218</v>
      </c>
    </row>
    <row r="872">
      <c r="A872" s="24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5" t="n">
        <v>40.47047</v>
      </c>
    </row>
    <row r="873">
      <c r="A873" s="24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5" t="n">
        <v>33.561279</v>
      </c>
    </row>
    <row r="874">
      <c r="A874" s="24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5" t="n">
        <v>28.437746</v>
      </c>
    </row>
    <row r="875">
      <c r="A875" s="24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5" t="n">
        <v>24.425735</v>
      </c>
    </row>
    <row r="876">
      <c r="A876" s="24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5" t="n">
        <v>21.028288</v>
      </c>
    </row>
    <row r="877">
      <c r="A877" s="24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5" t="n">
        <v>18.247135</v>
      </c>
    </row>
    <row r="878">
      <c r="A878" s="24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5" t="n">
        <v>15.951885</v>
      </c>
    </row>
    <row r="879">
      <c r="A879" s="24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5" t="n">
        <v>14.298273</v>
      </c>
    </row>
    <row r="880">
      <c r="A880" s="24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5" t="n">
        <v>12.745055</v>
      </c>
    </row>
    <row r="881">
      <c r="A881" s="24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5" t="n">
        <v>11.212101</v>
      </c>
    </row>
    <row r="882">
      <c r="A882" s="24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5" t="n">
        <v>9.928119000000001</v>
      </c>
    </row>
    <row r="883">
      <c r="A883" s="24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5" t="n">
        <v>8.858639999999999</v>
      </c>
    </row>
    <row r="884">
      <c r="A884" s="24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5" t="n">
        <v>7.935913</v>
      </c>
    </row>
    <row r="885">
      <c r="A885" s="24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5" t="n">
        <v>7.131198</v>
      </c>
    </row>
    <row r="886">
      <c r="A886" s="24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5" t="n">
        <v>6.424884</v>
      </c>
    </row>
    <row r="887">
      <c r="A887" s="24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5" t="n">
        <v>5.801919</v>
      </c>
    </row>
    <row r="888">
      <c r="A888" s="24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5" t="n">
        <v>5.250188</v>
      </c>
    </row>
    <row r="889">
      <c r="A889" s="24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5" t="n">
        <v>4.759772</v>
      </c>
    </row>
    <row r="890">
      <c r="A890" s="24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5" t="n">
        <v>4.32245</v>
      </c>
    </row>
    <row r="891">
      <c r="A891" s="24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5" t="n">
        <v>3.931343</v>
      </c>
    </row>
    <row r="892">
      <c r="A892" s="24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5" t="n">
        <v>3.580648</v>
      </c>
    </row>
    <row r="893">
      <c r="A893" s="24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5" t="n">
        <v>3.265435</v>
      </c>
    </row>
    <row r="894">
      <c r="A894" s="24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5" t="n">
        <v>2.981495</v>
      </c>
    </row>
    <row r="895">
      <c r="A895" s="24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5" t="n">
        <v>2.725208</v>
      </c>
    </row>
    <row r="896">
      <c r="A896" s="24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5" t="n">
        <v>2.493454</v>
      </c>
    </row>
    <row r="897">
      <c r="A897" s="24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5" t="n">
        <v>2.283525</v>
      </c>
    </row>
    <row r="898">
      <c r="A898" s="24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5" t="n">
        <v>2.093065</v>
      </c>
    </row>
    <row r="899">
      <c r="A899" s="24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5" t="n">
        <v>1.920016</v>
      </c>
    </row>
    <row r="900">
      <c r="A900" s="24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5" t="n">
        <v>1.762572</v>
      </c>
    </row>
    <row r="901">
      <c r="A901" s="24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5" t="n">
        <v>1.619145</v>
      </c>
    </row>
    <row r="902">
      <c r="A902" s="24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5" t="n">
        <v>1.488334</v>
      </c>
    </row>
    <row r="903">
      <c r="A903" s="24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5" t="n">
        <v>1.950902</v>
      </c>
    </row>
    <row r="904">
      <c r="A904" s="24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5" t="n">
        <v>49.021842</v>
      </c>
    </row>
    <row r="905">
      <c r="A905" s="24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5" t="n">
        <v>54.488446</v>
      </c>
    </row>
    <row r="906">
      <c r="A906" s="24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5" t="n">
        <v>43.898545</v>
      </c>
    </row>
    <row r="907">
      <c r="A907" s="24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5" t="n">
        <v>32.239606</v>
      </c>
    </row>
    <row r="908">
      <c r="A908" s="24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5" t="n">
        <v>78.624019</v>
      </c>
    </row>
    <row r="909">
      <c r="A909" s="24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5" t="n">
        <v>61.801683</v>
      </c>
    </row>
    <row r="910">
      <c r="A910" s="24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5" t="n">
        <v>44.309662</v>
      </c>
    </row>
    <row r="911">
      <c r="A911" s="24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5" t="n">
        <v>62.62212</v>
      </c>
    </row>
    <row r="912">
      <c r="A912" s="24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5" t="n">
        <v>51.119387</v>
      </c>
    </row>
    <row r="913">
      <c r="A913" s="24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5" t="n">
        <v>40.536698</v>
      </c>
    </row>
    <row r="914">
      <c r="A914" s="24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5" t="n">
        <v>72.992345</v>
      </c>
    </row>
    <row r="915">
      <c r="A915" s="24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5" t="n">
        <v>66.582587</v>
      </c>
    </row>
    <row r="916">
      <c r="A916" s="24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5" t="n">
        <v>58.949214</v>
      </c>
    </row>
    <row r="917">
      <c r="A917" s="24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5" t="n">
        <v>46.27447</v>
      </c>
    </row>
    <row r="918">
      <c r="A918" s="24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5" t="n">
        <v>35.803213</v>
      </c>
    </row>
    <row r="919">
      <c r="A919" s="24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5" t="n">
        <v>36.906851</v>
      </c>
    </row>
    <row r="920">
      <c r="A920" s="24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5" t="n">
        <v>37.796285</v>
      </c>
    </row>
    <row r="921">
      <c r="A921" s="24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5" t="n">
        <v>54.760097</v>
      </c>
    </row>
    <row r="922">
      <c r="A922" s="24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5" t="n">
        <v>92.263025</v>
      </c>
    </row>
    <row r="923">
      <c r="A923" s="24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5" t="n">
        <v>128.188409</v>
      </c>
    </row>
    <row r="924">
      <c r="A924" s="24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5" t="n">
        <v>170.725393</v>
      </c>
    </row>
    <row r="925">
      <c r="A925" s="24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5" t="n">
        <v>179.247102</v>
      </c>
    </row>
    <row r="926">
      <c r="A926" s="24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5" t="n">
        <v>176.032462</v>
      </c>
    </row>
    <row r="927">
      <c r="A927" s="24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5" t="n">
        <v>149.824244</v>
      </c>
    </row>
    <row r="928">
      <c r="A928" s="24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5" t="n">
        <v>113.820204</v>
      </c>
    </row>
    <row r="929">
      <c r="A929" s="24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5" t="n">
        <v>136.854002</v>
      </c>
    </row>
    <row r="930">
      <c r="A930" s="24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5" t="n">
        <v>123.975248</v>
      </c>
    </row>
    <row r="931">
      <c r="A931" s="24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5" t="n">
        <v>100.693789</v>
      </c>
    </row>
    <row r="932">
      <c r="A932" s="24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5" t="n">
        <v>84.20398900000001</v>
      </c>
    </row>
    <row r="933">
      <c r="A933" s="24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5" t="n">
        <v>73.03431</v>
      </c>
    </row>
    <row r="934">
      <c r="A934" s="24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5" t="n">
        <v>58.655563</v>
      </c>
    </row>
    <row r="935">
      <c r="A935" s="24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5" t="n">
        <v>68.002595</v>
      </c>
    </row>
    <row r="936">
      <c r="A936" s="24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5" t="n">
        <v>55.653013</v>
      </c>
    </row>
    <row r="937">
      <c r="A937" s="24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5" t="n">
        <v>51.837685</v>
      </c>
    </row>
    <row r="938">
      <c r="A938" s="24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5" t="n">
        <v>83.71250999999999</v>
      </c>
    </row>
    <row r="939">
      <c r="A939" s="24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5" t="n">
        <v>69.97994300000001</v>
      </c>
    </row>
    <row r="940">
      <c r="A940" s="24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5" t="n">
        <v>72.769764</v>
      </c>
    </row>
    <row r="941">
      <c r="A941" s="24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5" t="n">
        <v>117.651866</v>
      </c>
    </row>
    <row r="942">
      <c r="A942" s="24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5" t="n">
        <v>160.549683</v>
      </c>
    </row>
    <row r="943">
      <c r="A943" s="24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5" t="n">
        <v>171.221615</v>
      </c>
    </row>
    <row r="944">
      <c r="A944" s="24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5" t="n">
        <v>185.435215</v>
      </c>
    </row>
    <row r="945">
      <c r="A945" s="24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5" t="n">
        <v>191.783562</v>
      </c>
    </row>
    <row r="946">
      <c r="A946" s="24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5" t="n">
        <v>174.731958</v>
      </c>
    </row>
    <row r="947">
      <c r="A947" s="24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5" t="n">
        <v>133.156649</v>
      </c>
    </row>
    <row r="948">
      <c r="A948" s="24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5" t="n">
        <v>102.905511</v>
      </c>
    </row>
    <row r="949">
      <c r="A949" s="24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5" t="n">
        <v>81.445595</v>
      </c>
    </row>
    <row r="950">
      <c r="A950" s="24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5" t="n">
        <v>65.773095</v>
      </c>
    </row>
    <row r="951">
      <c r="A951" s="24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5" t="n">
        <v>54.213776</v>
      </c>
    </row>
    <row r="952">
      <c r="A952" s="24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5" t="n">
        <v>45.489494</v>
      </c>
    </row>
    <row r="953">
      <c r="A953" s="24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5" t="n">
        <v>41.439955</v>
      </c>
    </row>
    <row r="954">
      <c r="A954" s="24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5" t="n">
        <v>67.187687</v>
      </c>
    </row>
    <row r="955">
      <c r="A955" s="24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5" t="n">
        <v>59.001147</v>
      </c>
    </row>
    <row r="956">
      <c r="A956" s="24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5" t="n">
        <v>46.021998</v>
      </c>
    </row>
    <row r="957">
      <c r="A957" s="24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5" t="n">
        <v>36.982993</v>
      </c>
    </row>
    <row r="958">
      <c r="A958" s="24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5" t="n">
        <v>40.782755</v>
      </c>
    </row>
    <row r="959">
      <c r="A959" s="24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5" t="n">
        <v>75.77069299999999</v>
      </c>
    </row>
    <row r="960">
      <c r="A960" s="24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5" t="n">
        <v>72.779517</v>
      </c>
    </row>
    <row r="961">
      <c r="A961" s="24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5" t="n">
        <v>61.812929</v>
      </c>
    </row>
    <row r="962">
      <c r="A962" s="24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5" t="n">
        <v>63.138642</v>
      </c>
    </row>
    <row r="963">
      <c r="A963" s="24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5" t="n">
        <v>76.871717</v>
      </c>
    </row>
    <row r="964">
      <c r="A964" s="24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5" t="n">
        <v>61.754307</v>
      </c>
    </row>
    <row r="965">
      <c r="A965" s="24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5" t="n">
        <v>66.46835900000001</v>
      </c>
    </row>
    <row r="966">
      <c r="A966" s="24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5" t="n">
        <v>54.137416</v>
      </c>
    </row>
    <row r="967">
      <c r="A967" s="24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5" t="n">
        <v>70.52648600000001</v>
      </c>
    </row>
    <row r="968">
      <c r="A968" s="24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5" t="n">
        <v>60.509405</v>
      </c>
    </row>
    <row r="969">
      <c r="A969" s="24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5" t="n">
        <v>54.207477</v>
      </c>
    </row>
    <row r="970">
      <c r="A970" s="24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5" t="n">
        <v>43.010152</v>
      </c>
    </row>
    <row r="971">
      <c r="A971" s="24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5" t="n">
        <v>51.008669</v>
      </c>
    </row>
    <row r="972">
      <c r="A972" s="24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5" t="n">
        <v>42.772575</v>
      </c>
    </row>
    <row r="973">
      <c r="A973" s="24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5" t="n">
        <v>35.863037</v>
      </c>
    </row>
    <row r="974">
      <c r="A974" s="24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5" t="n">
        <v>38.806093</v>
      </c>
    </row>
    <row r="975">
      <c r="A975" s="24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5" t="n">
        <v>34.800142</v>
      </c>
    </row>
    <row r="976">
      <c r="A976" s="24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5" t="n">
        <v>27.903167</v>
      </c>
    </row>
    <row r="977">
      <c r="A977" s="24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5" t="n">
        <v>33.361724</v>
      </c>
    </row>
    <row r="978">
      <c r="A978" s="24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5" t="n">
        <v>43.834273</v>
      </c>
    </row>
    <row r="979">
      <c r="A979" s="24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5" t="n">
        <v>52.883938</v>
      </c>
    </row>
    <row r="980">
      <c r="A980" s="24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5" t="n">
        <v>42.056558</v>
      </c>
    </row>
    <row r="981">
      <c r="A981" s="24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5" t="n">
        <v>32.318821</v>
      </c>
    </row>
    <row r="982">
      <c r="A982" s="24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5" t="n">
        <v>31.532445</v>
      </c>
    </row>
    <row r="983">
      <c r="A983" s="24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5" t="n">
        <v>25.651095</v>
      </c>
    </row>
    <row r="984">
      <c r="A984" s="24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5" t="n">
        <v>21.340728</v>
      </c>
    </row>
    <row r="985">
      <c r="A985" s="24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5" t="n">
        <v>19.581925</v>
      </c>
    </row>
    <row r="986">
      <c r="A986" s="24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5" t="n">
        <v>16.487613</v>
      </c>
    </row>
    <row r="987">
      <c r="A987" s="24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5" t="n">
        <v>13.840632</v>
      </c>
    </row>
    <row r="988">
      <c r="A988" s="24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5" t="n">
        <v>13.268683</v>
      </c>
    </row>
    <row r="989">
      <c r="A989" s="24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5" t="n">
        <v>14.811174</v>
      </c>
    </row>
    <row r="990">
      <c r="A990" s="24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5" t="n">
        <v>26.442221</v>
      </c>
    </row>
    <row r="991">
      <c r="A991" s="24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5" t="n">
        <v>31.910275</v>
      </c>
    </row>
    <row r="992">
      <c r="A992" s="24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5" t="n">
        <v>45.675119</v>
      </c>
    </row>
    <row r="993">
      <c r="A993" s="24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5" t="n">
        <v>42.397096</v>
      </c>
    </row>
    <row r="994">
      <c r="A994" s="24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5" t="n">
        <v>42.154642</v>
      </c>
    </row>
    <row r="995">
      <c r="A995" s="24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5" t="n">
        <v>83.100545</v>
      </c>
    </row>
    <row r="996">
      <c r="A996" s="24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5" t="n">
        <v>98.920946</v>
      </c>
    </row>
    <row r="997">
      <c r="A997" s="24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5" t="n">
        <v>98.90462100000001</v>
      </c>
    </row>
    <row r="998">
      <c r="A998" s="24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5" t="n">
        <v>74.643709</v>
      </c>
    </row>
    <row r="999">
      <c r="A999" s="24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5" t="n">
        <v>55.73949</v>
      </c>
    </row>
    <row r="1000">
      <c r="A1000" s="24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5" t="n">
        <v>43.166412</v>
      </c>
    </row>
    <row r="1001">
      <c r="A1001" s="24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5" t="n">
        <v>34.287218</v>
      </c>
    </row>
    <row r="1002">
      <c r="A1002" s="24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5" t="n">
        <v>27.791117</v>
      </c>
    </row>
    <row r="1003">
      <c r="A1003" s="24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5" t="n">
        <v>22.906236</v>
      </c>
    </row>
    <row r="1004">
      <c r="A1004" s="24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5" t="n">
        <v>19.69742</v>
      </c>
    </row>
    <row r="1005">
      <c r="A1005" s="24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5" t="n">
        <v>20.213409</v>
      </c>
    </row>
    <row r="1006">
      <c r="A1006" s="24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5" t="n">
        <v>16.915637</v>
      </c>
    </row>
    <row r="1007">
      <c r="A1007" s="24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5" t="n">
        <v>34.956066</v>
      </c>
    </row>
    <row r="1008">
      <c r="A1008" s="24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5" t="n">
        <v>47.493631</v>
      </c>
    </row>
    <row r="1009">
      <c r="A1009" s="24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5" t="n">
        <v>41.379827</v>
      </c>
    </row>
    <row r="1010">
      <c r="A1010" s="24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5" t="n">
        <v>42.805577</v>
      </c>
    </row>
    <row r="1011">
      <c r="A1011" s="24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5" t="n">
        <v>42.7941</v>
      </c>
    </row>
    <row r="1012">
      <c r="A1012" s="24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5" t="n">
        <v>34.912009</v>
      </c>
    </row>
    <row r="1013">
      <c r="A1013" s="24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5" t="n">
        <v>34.672458</v>
      </c>
    </row>
    <row r="1014">
      <c r="A1014" s="24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5" t="n">
        <v>52.893255</v>
      </c>
    </row>
    <row r="1015">
      <c r="A1015" s="24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5" t="n">
        <v>56.73272</v>
      </c>
    </row>
    <row r="1016">
      <c r="A1016" s="24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5" t="n">
        <v>47.56748</v>
      </c>
    </row>
    <row r="1017">
      <c r="A1017" s="24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5" t="n">
        <v>61.882812</v>
      </c>
    </row>
    <row r="1018">
      <c r="A1018" s="24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5" t="n">
        <v>66.48001600000001</v>
      </c>
    </row>
    <row r="1019">
      <c r="A1019" s="24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5" t="n">
        <v>57.273202</v>
      </c>
    </row>
    <row r="1020">
      <c r="A1020" s="24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5" t="n">
        <v>58.892922</v>
      </c>
    </row>
    <row r="1021">
      <c r="A1021" s="24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5" t="n">
        <v>70.16511</v>
      </c>
    </row>
    <row r="1022">
      <c r="A1022" s="24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5" t="n">
        <v>60.213076</v>
      </c>
    </row>
    <row r="1023">
      <c r="A1023" s="24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5" t="n">
        <v>64.93924199999999</v>
      </c>
    </row>
    <row r="1024">
      <c r="A1024" s="24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5" t="n">
        <v>55.210848</v>
      </c>
    </row>
    <row r="1025">
      <c r="A1025" s="24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5" t="n">
        <v>48.560045</v>
      </c>
    </row>
    <row r="1026">
      <c r="A1026" s="24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5" t="n">
        <v>38.616417</v>
      </c>
    </row>
    <row r="1027">
      <c r="A1027" s="24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5" t="n">
        <v>30.879644</v>
      </c>
    </row>
    <row r="1028">
      <c r="A1028" s="24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5" t="n">
        <v>26.452769</v>
      </c>
    </row>
    <row r="1029">
      <c r="A1029" s="24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5" t="n">
        <v>21.799262</v>
      </c>
    </row>
    <row r="1030">
      <c r="A1030" s="24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5" t="n">
        <v>18.084785</v>
      </c>
    </row>
    <row r="1031">
      <c r="A1031" s="24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5" t="n">
        <v>16.104099</v>
      </c>
    </row>
    <row r="1032">
      <c r="A1032" s="24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5" t="n">
        <v>15.500817</v>
      </c>
    </row>
    <row r="1033">
      <c r="A1033" s="24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5" t="n">
        <v>13.344563</v>
      </c>
    </row>
    <row r="1034">
      <c r="A1034" s="24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5" t="n">
        <v>19.614327</v>
      </c>
    </row>
    <row r="1035">
      <c r="A1035" s="24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5" t="n">
        <v>62.066278</v>
      </c>
    </row>
    <row r="1036">
      <c r="A1036" s="24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5" t="n">
        <v>49.229718</v>
      </c>
    </row>
    <row r="1037">
      <c r="A1037" s="24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5" t="n">
        <v>35.591961</v>
      </c>
    </row>
    <row r="1038">
      <c r="A1038" s="24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5" t="n">
        <v>31.119233</v>
      </c>
    </row>
    <row r="1039">
      <c r="A1039" s="24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5" t="n">
        <v>31.026427</v>
      </c>
    </row>
    <row r="1040">
      <c r="A1040" s="24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5" t="n">
        <v>38.582701</v>
      </c>
    </row>
    <row r="1041">
      <c r="A1041" s="24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5" t="n">
        <v>34.489399</v>
      </c>
    </row>
    <row r="1042">
      <c r="A1042" s="24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5" t="n">
        <v>26.736159</v>
      </c>
    </row>
    <row r="1043">
      <c r="A1043" s="24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5" t="n">
        <v>22.014394</v>
      </c>
    </row>
    <row r="1044">
      <c r="A1044" s="24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5" t="n">
        <v>22.900652</v>
      </c>
    </row>
    <row r="1045">
      <c r="A1045" s="24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5" t="n">
        <v>21.655357</v>
      </c>
    </row>
    <row r="1046">
      <c r="A1046" s="24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5" t="n">
        <v>21.27051</v>
      </c>
    </row>
    <row r="1047">
      <c r="A1047" s="24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5" t="n">
        <v>17.087309</v>
      </c>
    </row>
    <row r="1048">
      <c r="A1048" s="24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5" t="n">
        <v>13.878647</v>
      </c>
    </row>
    <row r="1049">
      <c r="A1049" s="24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5" t="n">
        <v>11.462454</v>
      </c>
    </row>
    <row r="1050">
      <c r="A1050" s="24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5" t="n">
        <v>9.582738000000001</v>
      </c>
    </row>
    <row r="1051">
      <c r="A1051" s="24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5" t="n">
        <v>8.126401</v>
      </c>
    </row>
    <row r="1052">
      <c r="A1052" s="24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5" t="n">
        <v>6.968943</v>
      </c>
    </row>
    <row r="1053">
      <c r="A1053" s="24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5" t="n">
        <v>16.03096</v>
      </c>
    </row>
    <row r="1054">
      <c r="A1054" s="24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5" t="n">
        <v>21.200142</v>
      </c>
    </row>
    <row r="1055">
      <c r="A1055" s="24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5" t="n">
        <v>18.618355</v>
      </c>
    </row>
    <row r="1056">
      <c r="A1056" s="24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5" t="n">
        <v>20.732835</v>
      </c>
    </row>
    <row r="1057">
      <c r="A1057" s="24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5" t="n">
        <v>20.539081</v>
      </c>
    </row>
    <row r="1058">
      <c r="A1058" s="24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5" t="n">
        <v>16.632337</v>
      </c>
    </row>
    <row r="1059">
      <c r="A1059" s="24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5" t="n">
        <v>31.974798</v>
      </c>
    </row>
    <row r="1060">
      <c r="A1060" s="24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5" t="n">
        <v>28.757001</v>
      </c>
    </row>
    <row r="1061">
      <c r="A1061" s="24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5" t="n">
        <v>71.839561</v>
      </c>
    </row>
    <row r="1062">
      <c r="A1062" s="24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5" t="n">
        <v>71.893378</v>
      </c>
    </row>
    <row r="1063">
      <c r="A1063" s="24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5" t="n">
        <v>54.546241</v>
      </c>
    </row>
    <row r="1064">
      <c r="A1064" s="24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5" t="n">
        <v>44.420385</v>
      </c>
    </row>
    <row r="1065">
      <c r="A1065" s="24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5" t="n">
        <v>34.81625</v>
      </c>
    </row>
    <row r="1066">
      <c r="A1066" s="24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5" t="n">
        <v>27.108895</v>
      </c>
    </row>
    <row r="1067">
      <c r="A1067" s="24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5" t="n">
        <v>21.593275</v>
      </c>
    </row>
    <row r="1068">
      <c r="A1068" s="24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5" t="n">
        <v>22.417869</v>
      </c>
    </row>
    <row r="1069">
      <c r="A1069" s="24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5" t="n">
        <v>48.842639</v>
      </c>
    </row>
    <row r="1070">
      <c r="A1070" s="24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5" t="n">
        <v>58.014266</v>
      </c>
    </row>
    <row r="1071">
      <c r="A1071" s="24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5" t="n">
        <v>54.929782</v>
      </c>
    </row>
    <row r="1072">
      <c r="A1072" s="24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5" t="n">
        <v>45.586136</v>
      </c>
    </row>
    <row r="1073">
      <c r="A1073" s="24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5" t="n">
        <v>46.805678</v>
      </c>
    </row>
    <row r="1074">
      <c r="A1074" s="24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5" t="n">
        <v>59.604012</v>
      </c>
    </row>
    <row r="1075">
      <c r="A1075" s="24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5" t="n">
        <v>71.43535900000001</v>
      </c>
    </row>
    <row r="1076">
      <c r="A1076" s="24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5" t="n">
        <v>69.073272</v>
      </c>
    </row>
    <row r="1077">
      <c r="A1077" s="24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5" t="n">
        <v>70.83415100000001</v>
      </c>
    </row>
    <row r="1078">
      <c r="A1078" s="24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5" t="n">
        <v>58.076296</v>
      </c>
    </row>
    <row r="1079">
      <c r="A1079" s="24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5" t="n">
        <v>51.903628</v>
      </c>
    </row>
    <row r="1080">
      <c r="A1080" s="24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5" t="n">
        <v>47.12302</v>
      </c>
    </row>
    <row r="1081">
      <c r="A1081" s="24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5" t="n">
        <v>50.140002</v>
      </c>
    </row>
    <row r="1082">
      <c r="A1082" s="24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5" t="n">
        <v>60.220957</v>
      </c>
    </row>
    <row r="1083">
      <c r="A1083" s="24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5" t="n">
        <v>60.909264</v>
      </c>
    </row>
    <row r="1084">
      <c r="A1084" s="24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5" t="n">
        <v>56.678566</v>
      </c>
    </row>
    <row r="1085">
      <c r="A1085" s="24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5" t="n">
        <v>67.9933</v>
      </c>
    </row>
    <row r="1086">
      <c r="A1086" s="24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5" t="n">
        <v>58.865781</v>
      </c>
    </row>
    <row r="1087">
      <c r="A1087" s="24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5" t="n">
        <v>62.100448</v>
      </c>
    </row>
    <row r="1088">
      <c r="A1088" s="24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5" t="n">
        <v>54.396288</v>
      </c>
    </row>
    <row r="1089">
      <c r="A1089" s="24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5" t="n">
        <v>46.714254</v>
      </c>
    </row>
    <row r="1090">
      <c r="A1090" s="24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5" t="n">
        <v>40.85918</v>
      </c>
    </row>
    <row r="1091">
      <c r="A1091" s="24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5" t="n">
        <v>53.111872</v>
      </c>
    </row>
    <row r="1092">
      <c r="A1092" s="24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5" t="n">
        <v>55.877437</v>
      </c>
    </row>
    <row r="1093">
      <c r="A1093" s="24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5" t="n">
        <v>44.085177</v>
      </c>
    </row>
    <row r="1094">
      <c r="A1094" s="24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5" t="n">
        <v>38.748425</v>
      </c>
    </row>
    <row r="1095">
      <c r="A1095" s="24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5" t="n">
        <v>38.341252</v>
      </c>
    </row>
    <row r="1096">
      <c r="A1096" s="24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5" t="n">
        <v>77.051135</v>
      </c>
    </row>
    <row r="1097">
      <c r="A1097" s="24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5" t="n">
        <v>63.431229</v>
      </c>
    </row>
    <row r="1098">
      <c r="A1098" s="24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5" t="n">
        <v>47.825316</v>
      </c>
    </row>
    <row r="1099">
      <c r="A1099" s="24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5" t="n">
        <v>39.583988</v>
      </c>
    </row>
    <row r="1100">
      <c r="A1100" s="24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5" t="n">
        <v>32.608061</v>
      </c>
    </row>
    <row r="1101">
      <c r="A1101" s="24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5" t="n">
        <v>26.78233</v>
      </c>
    </row>
    <row r="1102">
      <c r="A1102" s="24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5" t="n">
        <v>28.341258</v>
      </c>
    </row>
    <row r="1103">
      <c r="A1103" s="24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5" t="n">
        <v>50.437221</v>
      </c>
    </row>
    <row r="1104">
      <c r="A1104" s="24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5" t="n">
        <v>58.518465</v>
      </c>
    </row>
    <row r="1105">
      <c r="A1105" s="24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5" t="n">
        <v>48.086341</v>
      </c>
    </row>
    <row r="1106">
      <c r="A1106" s="24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5" t="n">
        <v>38.901775</v>
      </c>
    </row>
    <row r="1107">
      <c r="A1107" s="24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5" t="n">
        <v>30.836295</v>
      </c>
    </row>
    <row r="1108">
      <c r="A1108" s="24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5" t="n">
        <v>25.151874</v>
      </c>
    </row>
    <row r="1109">
      <c r="A1109" s="24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5" t="n">
        <v>23.362657</v>
      </c>
    </row>
    <row r="1110">
      <c r="A1110" s="24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5" t="n">
        <v>20.61896</v>
      </c>
    </row>
    <row r="1111">
      <c r="A1111" s="24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5" t="n">
        <v>26.18572</v>
      </c>
    </row>
    <row r="1112">
      <c r="A1112" s="24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5" t="n">
        <v>21.5495</v>
      </c>
    </row>
    <row r="1113">
      <c r="A1113" s="24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5" t="n">
        <v>18.718306</v>
      </c>
    </row>
    <row r="1114">
      <c r="A1114" s="24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5" t="n">
        <v>27.82053</v>
      </c>
    </row>
    <row r="1115">
      <c r="A1115" s="24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5" t="n">
        <v>25.779688</v>
      </c>
    </row>
    <row r="1116">
      <c r="A1116" s="24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5" t="n">
        <v>23.598667</v>
      </c>
    </row>
    <row r="1117">
      <c r="A1117" s="24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5" t="n">
        <v>19.196686</v>
      </c>
    </row>
    <row r="1118">
      <c r="A1118" s="24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5" t="n">
        <v>18.783521</v>
      </c>
    </row>
    <row r="1119">
      <c r="A1119" s="24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5" t="n">
        <v>32.226561</v>
      </c>
    </row>
    <row r="1120">
      <c r="A1120" s="24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5" t="n">
        <v>38.557338</v>
      </c>
    </row>
    <row r="1121">
      <c r="A1121" s="24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5" t="n">
        <v>67.56222099999999</v>
      </c>
    </row>
    <row r="1122">
      <c r="A1122" s="24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5" t="n">
        <v>58.444299</v>
      </c>
    </row>
    <row r="1123">
      <c r="A1123" s="24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5" t="n">
        <v>45.283279</v>
      </c>
    </row>
    <row r="1124">
      <c r="A1124" s="24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5" t="n">
        <v>35.206701</v>
      </c>
    </row>
    <row r="1125">
      <c r="A1125" s="24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5" t="n">
        <v>36.624082</v>
      </c>
    </row>
    <row r="1126">
      <c r="A1126" s="24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5" t="n">
        <v>58.524004</v>
      </c>
    </row>
    <row r="1127">
      <c r="A1127" s="24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5" t="n">
        <v>68.589282</v>
      </c>
    </row>
    <row r="1128">
      <c r="A1128" s="24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5" t="n">
        <v>55.84398</v>
      </c>
    </row>
    <row r="1129">
      <c r="A1129" s="24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5" t="n">
        <v>70.814352</v>
      </c>
    </row>
    <row r="1130">
      <c r="A1130" s="24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5" t="n">
        <v>57.783115</v>
      </c>
    </row>
    <row r="1131">
      <c r="A1131" s="24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5" t="n">
        <v>65.98412399999999</v>
      </c>
    </row>
    <row r="1132">
      <c r="A1132" s="24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5" t="n">
        <v>69.812889</v>
      </c>
    </row>
    <row r="1133">
      <c r="A1133" s="24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5" t="n">
        <v>66.31493399999999</v>
      </c>
    </row>
    <row r="1134">
      <c r="A1134" s="24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5" t="n">
        <v>64.92396599999999</v>
      </c>
    </row>
    <row r="1135">
      <c r="A1135" s="24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5" t="n">
        <v>59.311836</v>
      </c>
    </row>
    <row r="1136">
      <c r="A1136" s="24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5" t="n">
        <v>76.36432600000001</v>
      </c>
    </row>
    <row r="1137">
      <c r="A1137" s="24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5" t="n">
        <v>60.72702</v>
      </c>
    </row>
    <row r="1138">
      <c r="A1138" s="24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5" t="n">
        <v>47.290256</v>
      </c>
    </row>
    <row r="1139">
      <c r="A1139" s="24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5" t="n">
        <v>68.102406</v>
      </c>
    </row>
    <row r="1140">
      <c r="A1140" s="24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5" t="n">
        <v>58.084332</v>
      </c>
    </row>
    <row r="1141">
      <c r="A1141" s="24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5" t="n">
        <v>46.382182</v>
      </c>
    </row>
    <row r="1142">
      <c r="A1142" s="24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5" t="n">
        <v>37.228793</v>
      </c>
    </row>
    <row r="1143">
      <c r="A1143" s="24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5" t="n">
        <v>30.116031</v>
      </c>
    </row>
    <row r="1144">
      <c r="A1144" s="24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5" t="n">
        <v>31.053249</v>
      </c>
    </row>
    <row r="1145">
      <c r="A1145" s="24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5" t="n">
        <v>46.056185</v>
      </c>
    </row>
    <row r="1146">
      <c r="A1146" s="24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5" t="n">
        <v>37.015645</v>
      </c>
    </row>
    <row r="1147">
      <c r="A1147" s="24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5" t="n">
        <v>57.412651</v>
      </c>
    </row>
    <row r="1148">
      <c r="A1148" s="24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5" t="n">
        <v>59.099563</v>
      </c>
    </row>
    <row r="1149">
      <c r="A1149" s="24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5" t="n">
        <v>62.556559</v>
      </c>
    </row>
    <row r="1150">
      <c r="A1150" s="24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5" t="n">
        <v>62.947081</v>
      </c>
    </row>
    <row r="1151">
      <c r="A1151" s="24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5" t="n">
        <v>58.030827</v>
      </c>
    </row>
    <row r="1152">
      <c r="A1152" s="24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5" t="n">
        <v>58.350433</v>
      </c>
    </row>
    <row r="1153">
      <c r="A1153" s="24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5" t="n">
        <v>56.131389</v>
      </c>
    </row>
    <row r="1154">
      <c r="A1154" s="24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5" t="n">
        <v>46.739897</v>
      </c>
    </row>
    <row r="1155">
      <c r="A1155" s="24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5" t="n">
        <v>61.305488</v>
      </c>
    </row>
    <row r="1156">
      <c r="A1156" s="24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5" t="n">
        <v>77.71739599999999</v>
      </c>
    </row>
    <row r="1157">
      <c r="A1157" s="24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5" t="n">
        <v>82.09104600000001</v>
      </c>
    </row>
    <row r="1158">
      <c r="A1158" s="24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5" t="n">
        <v>65.45311100000001</v>
      </c>
    </row>
    <row r="1159">
      <c r="A1159" s="24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5" t="n">
        <v>52.31055</v>
      </c>
    </row>
    <row r="1160">
      <c r="A1160" s="24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5" t="n">
        <v>42.280326</v>
      </c>
    </row>
    <row r="1161">
      <c r="A1161" s="24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5" t="n">
        <v>38.33222</v>
      </c>
    </row>
    <row r="1162">
      <c r="A1162" s="24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5" t="n">
        <v>37.701279</v>
      </c>
    </row>
    <row r="1163">
      <c r="A1163" s="24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5" t="n">
        <v>39.37476</v>
      </c>
    </row>
    <row r="1164">
      <c r="A1164" s="24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5" t="n">
        <v>77.356926</v>
      </c>
    </row>
    <row r="1165">
      <c r="A1165" s="24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5" t="n">
        <v>85.580326</v>
      </c>
    </row>
    <row r="1166">
      <c r="A1166" s="24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5" t="n">
        <v>72.446842</v>
      </c>
    </row>
    <row r="1167">
      <c r="A1167" s="24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5" t="n">
        <v>87.32238700000001</v>
      </c>
    </row>
    <row r="1168">
      <c r="A1168" s="24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5" t="n">
        <v>124.977014</v>
      </c>
    </row>
    <row r="1169">
      <c r="A1169" s="24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5" t="n">
        <v>107.925059</v>
      </c>
    </row>
    <row r="1170">
      <c r="A1170" s="24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5" t="n">
        <v>92.900141</v>
      </c>
    </row>
    <row r="1171">
      <c r="A1171" s="24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5" t="n">
        <v>91.263803</v>
      </c>
    </row>
    <row r="1172">
      <c r="A1172" s="24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5" t="n">
        <v>85.29123199999999</v>
      </c>
    </row>
    <row r="1173">
      <c r="A1173" s="24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5" t="n">
        <v>83.85271899999999</v>
      </c>
    </row>
    <row r="1174">
      <c r="A1174" s="24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5" t="n">
        <v>67.937425</v>
      </c>
    </row>
    <row r="1175">
      <c r="A1175" s="24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5" t="n">
        <v>55.179016</v>
      </c>
    </row>
    <row r="1176">
      <c r="A1176" s="24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5" t="n">
        <v>44.622436</v>
      </c>
    </row>
    <row r="1177">
      <c r="A1177" s="24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5" t="n">
        <v>36.485029</v>
      </c>
    </row>
    <row r="1178">
      <c r="A1178" s="24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5" t="n">
        <v>32.511001</v>
      </c>
    </row>
    <row r="1179">
      <c r="A1179" s="24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5" t="n">
        <v>27.457324</v>
      </c>
    </row>
    <row r="1180">
      <c r="A1180" s="24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5" t="n">
        <v>23.047385</v>
      </c>
    </row>
    <row r="1181">
      <c r="A1181" s="24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5" t="n">
        <v>19.529253</v>
      </c>
    </row>
    <row r="1182">
      <c r="A1182" s="24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5" t="n">
        <v>16.851833</v>
      </c>
    </row>
    <row r="1183">
      <c r="A1183" s="24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5" t="n">
        <v>16.325394</v>
      </c>
    </row>
    <row r="1184">
      <c r="A1184" s="24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5" t="n">
        <v>14.847206</v>
      </c>
    </row>
    <row r="1185">
      <c r="A1185" s="24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5" t="n">
        <v>17.07996</v>
      </c>
    </row>
    <row r="1186">
      <c r="A1186" s="24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5" t="n">
        <v>28.486565</v>
      </c>
    </row>
    <row r="1187">
      <c r="A1187" s="24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5" t="n">
        <v>43.099399</v>
      </c>
    </row>
    <row r="1188">
      <c r="A1188" s="24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5" t="n">
        <v>43.587003</v>
      </c>
    </row>
    <row r="1189">
      <c r="A1189" s="24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5" t="n">
        <v>43.097306</v>
      </c>
    </row>
    <row r="1190">
      <c r="A1190" s="24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5" t="n">
        <v>45.476511</v>
      </c>
    </row>
    <row r="1191">
      <c r="A1191" s="24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5" t="n">
        <v>47.193125</v>
      </c>
    </row>
    <row r="1192">
      <c r="A1192" s="24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5" t="n">
        <v>39.064057</v>
      </c>
    </row>
    <row r="1193">
      <c r="A1193" s="24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5" t="n">
        <v>35.348752</v>
      </c>
    </row>
    <row r="1194">
      <c r="A1194" s="24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5" t="n">
        <v>36.230565</v>
      </c>
    </row>
    <row r="1195">
      <c r="A1195" s="24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5" t="n">
        <v>32.693464</v>
      </c>
    </row>
    <row r="1196">
      <c r="A1196" s="24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5" t="n">
        <v>69.332041</v>
      </c>
    </row>
    <row r="1197">
      <c r="A1197" s="24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5" t="n">
        <v>85.07745300000001</v>
      </c>
    </row>
    <row r="1198">
      <c r="A1198" s="24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5" t="n">
        <v>95.76371</v>
      </c>
    </row>
    <row r="1199">
      <c r="A1199" s="24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5" t="n">
        <v>104.970601</v>
      </c>
    </row>
    <row r="1200">
      <c r="A1200" s="24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5" t="n">
        <v>94.159272</v>
      </c>
    </row>
    <row r="1201">
      <c r="A1201" s="24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5" t="n">
        <v>76.666619</v>
      </c>
    </row>
    <row r="1202">
      <c r="A1202" s="24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5" t="n">
        <v>62.452131</v>
      </c>
    </row>
    <row r="1203">
      <c r="A1203" s="24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5" t="n">
        <v>59.660084</v>
      </c>
    </row>
    <row r="1204">
      <c r="A1204" s="24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5" t="n">
        <v>76.533916</v>
      </c>
    </row>
    <row r="1205">
      <c r="A1205" s="24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5" t="n">
        <v>72.563873</v>
      </c>
    </row>
    <row r="1206">
      <c r="A1206" s="24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5" t="n">
        <v>74.58267600000001</v>
      </c>
    </row>
    <row r="1207">
      <c r="A1207" s="24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5" t="n">
        <v>129.264706</v>
      </c>
    </row>
    <row r="1208">
      <c r="A1208" s="24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5" t="n">
        <v>153.167365</v>
      </c>
    </row>
    <row r="1209">
      <c r="A1209" s="24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5" t="n">
        <v>146.666208</v>
      </c>
    </row>
    <row r="1210">
      <c r="A1210" s="24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5" t="n">
        <v>116.15613</v>
      </c>
    </row>
    <row r="1211">
      <c r="A1211" s="24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5" t="n">
        <v>93.912834</v>
      </c>
    </row>
    <row r="1212">
      <c r="A1212" s="24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5" t="n">
        <v>78.277891</v>
      </c>
    </row>
    <row r="1213">
      <c r="A1213" s="24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5" t="n">
        <v>89.67700600000001</v>
      </c>
    </row>
    <row r="1214">
      <c r="A1214" s="24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5" t="n">
        <v>89.27842</v>
      </c>
    </row>
    <row r="1215">
      <c r="A1215" s="24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5" t="n">
        <v>131.49748</v>
      </c>
    </row>
    <row r="1216">
      <c r="A1216" s="24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5" t="n">
        <v>154.246565</v>
      </c>
    </row>
    <row r="1217">
      <c r="A1217" s="24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5" t="n">
        <v>128.227273</v>
      </c>
    </row>
    <row r="1218">
      <c r="A1218" s="24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5" t="n">
        <v>102.122119</v>
      </c>
    </row>
    <row r="1219">
      <c r="A1219" s="24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5" t="n">
        <v>104.493194</v>
      </c>
    </row>
    <row r="1220">
      <c r="A1220" s="24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5" t="n">
        <v>95.661817</v>
      </c>
    </row>
    <row r="1221">
      <c r="A1221" s="24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5" t="n">
        <v>95.57251599999999</v>
      </c>
    </row>
    <row r="1222">
      <c r="A1222" s="24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5" t="n">
        <v>76.928365</v>
      </c>
    </row>
    <row r="1223">
      <c r="A1223" s="24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5" t="n">
        <v>119.709414</v>
      </c>
    </row>
    <row r="1224">
      <c r="A1224" s="24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5" t="n">
        <v>122.081849</v>
      </c>
    </row>
    <row r="1225">
      <c r="A1225" s="24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5" t="n">
        <v>130.85029</v>
      </c>
    </row>
    <row r="1226">
      <c r="A1226" s="24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5" t="n">
        <v>126.632696</v>
      </c>
    </row>
    <row r="1227">
      <c r="A1227" s="24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5" t="n">
        <v>101.572612</v>
      </c>
    </row>
    <row r="1228">
      <c r="A1228" s="24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5" t="n">
        <v>86.849064</v>
      </c>
    </row>
    <row r="1229">
      <c r="A1229" s="24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5" t="n">
        <v>109.692545</v>
      </c>
    </row>
    <row r="1230">
      <c r="A1230" s="24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5" t="n">
        <v>145.351732</v>
      </c>
    </row>
    <row r="1231">
      <c r="A1231" s="24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5" t="n">
        <v>169.980293</v>
      </c>
    </row>
    <row r="1232">
      <c r="A1232" s="24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5" t="n">
        <v>152.914543</v>
      </c>
    </row>
    <row r="1233">
      <c r="A1233" s="24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5" t="n">
        <v>115.206335</v>
      </c>
    </row>
    <row r="1234">
      <c r="A1234" s="24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5" t="n">
        <v>89.051936</v>
      </c>
    </row>
    <row r="1235">
      <c r="A1235" s="24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5" t="n">
        <v>71.393586</v>
      </c>
    </row>
    <row r="1236">
      <c r="A1236" s="24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5" t="n">
        <v>57.864795</v>
      </c>
    </row>
    <row r="1237">
      <c r="A1237" s="24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5" t="n">
        <v>47.664524</v>
      </c>
    </row>
    <row r="1238">
      <c r="A1238" s="24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5" t="n">
        <v>39.866977</v>
      </c>
    </row>
    <row r="1239">
      <c r="A1239" s="24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5" t="n">
        <v>33.769472</v>
      </c>
    </row>
    <row r="1240">
      <c r="A1240" s="24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5" t="n">
        <v>28.908693</v>
      </c>
    </row>
    <row r="1241">
      <c r="A1241" s="24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5" t="n">
        <v>24.967513</v>
      </c>
    </row>
    <row r="1242">
      <c r="A1242" s="24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5" t="n">
        <v>22.646905</v>
      </c>
    </row>
    <row r="1243">
      <c r="A1243" s="24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5" t="n">
        <v>19.77301</v>
      </c>
    </row>
    <row r="1244">
      <c r="A1244" s="24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5" t="n">
        <v>17.184115</v>
      </c>
    </row>
    <row r="1245">
      <c r="A1245" s="24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5" t="n">
        <v>26.147737</v>
      </c>
    </row>
    <row r="1246">
      <c r="A1246" s="24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5" t="n">
        <v>31.931464</v>
      </c>
    </row>
    <row r="1247">
      <c r="A1247" s="24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5" t="n">
        <v>32.435871</v>
      </c>
    </row>
    <row r="1248">
      <c r="A1248" s="24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5" t="n">
        <v>31.162745</v>
      </c>
    </row>
    <row r="1249">
      <c r="A1249" s="24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5" t="n">
        <v>37.024024</v>
      </c>
    </row>
    <row r="1250">
      <c r="A1250" s="24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5" t="n">
        <v>52.83884</v>
      </c>
    </row>
    <row r="1251">
      <c r="A1251" s="24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5" t="n">
        <v>42.328392</v>
      </c>
    </row>
    <row r="1252">
      <c r="A1252" s="24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5" t="n">
        <v>41.977932</v>
      </c>
    </row>
    <row r="1253">
      <c r="A1253" s="24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5" t="n">
        <v>41.785401</v>
      </c>
    </row>
    <row r="1254">
      <c r="A1254" s="24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5" t="n">
        <v>90.863928</v>
      </c>
    </row>
    <row r="1255">
      <c r="A1255" s="24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5" t="n">
        <v>121.02705</v>
      </c>
    </row>
    <row r="1256">
      <c r="A1256" s="24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5" t="n">
        <v>120.191341</v>
      </c>
    </row>
    <row r="1257">
      <c r="A1257" s="24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5" t="n">
        <v>97.906969</v>
      </c>
    </row>
    <row r="1258">
      <c r="A1258" s="24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5" t="n">
        <v>106.712711</v>
      </c>
    </row>
    <row r="1259">
      <c r="A1259" s="24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5" t="n">
        <v>96.316452</v>
      </c>
    </row>
    <row r="1260">
      <c r="A1260" s="24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5" t="n">
        <v>82.862481</v>
      </c>
    </row>
    <row r="1261">
      <c r="A1261" s="24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5" t="n">
        <v>81.81737800000001</v>
      </c>
    </row>
    <row r="1262">
      <c r="A1262" s="24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5" t="n">
        <v>121.314114</v>
      </c>
    </row>
    <row r="1263">
      <c r="A1263" s="24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5" t="n">
        <v>159.3518</v>
      </c>
    </row>
    <row r="1264">
      <c r="A1264" s="24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5" t="n">
        <v>169.097644</v>
      </c>
    </row>
    <row r="1265">
      <c r="A1265" s="24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5" t="n">
        <v>128.903047</v>
      </c>
    </row>
    <row r="1266">
      <c r="A1266" s="24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5" t="n">
        <v>110.363991</v>
      </c>
    </row>
    <row r="1267">
      <c r="A1267" s="24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5" t="n">
        <v>87.18081100000001</v>
      </c>
    </row>
    <row r="1268">
      <c r="A1268" s="24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5" t="n">
        <v>70.712316</v>
      </c>
    </row>
    <row r="1269">
      <c r="A1269" s="24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5" t="n">
        <v>61.791521</v>
      </c>
    </row>
    <row r="1270">
      <c r="A1270" s="24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5" t="n">
        <v>106.469676</v>
      </c>
    </row>
    <row r="1271">
      <c r="A1271" s="24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5" t="n">
        <v>92.44104799999999</v>
      </c>
    </row>
    <row r="1272">
      <c r="A1272" s="24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5" t="n">
        <v>70.02217899999999</v>
      </c>
    </row>
    <row r="1273">
      <c r="A1273" s="24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5" t="n">
        <v>55.318427</v>
      </c>
    </row>
    <row r="1274">
      <c r="A1274" s="24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5" t="n">
        <v>44.971141</v>
      </c>
    </row>
    <row r="1275">
      <c r="A1275" s="24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5" t="n">
        <v>37.509709</v>
      </c>
    </row>
    <row r="1276">
      <c r="A1276" s="24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5" t="n">
        <v>32.638959</v>
      </c>
    </row>
    <row r="1277">
      <c r="A1277" s="24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5" t="n">
        <v>28.113333</v>
      </c>
    </row>
    <row r="1278">
      <c r="A1278" s="24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5" t="n">
        <v>24.399323</v>
      </c>
    </row>
    <row r="1279">
      <c r="A1279" s="24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5" t="n">
        <v>28.991055</v>
      </c>
    </row>
    <row r="1280">
      <c r="A1280" s="24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5" t="n">
        <v>33.143271</v>
      </c>
    </row>
    <row r="1281">
      <c r="A1281" s="24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5" t="n">
        <v>29.554529</v>
      </c>
    </row>
    <row r="1282">
      <c r="A1282" s="24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5" t="n">
        <v>24.639199</v>
      </c>
    </row>
    <row r="1283">
      <c r="A1283" s="24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5" t="n">
        <v>20.216855</v>
      </c>
    </row>
    <row r="1284">
      <c r="A1284" s="24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5" t="n">
        <v>65.815319</v>
      </c>
    </row>
    <row r="1285">
      <c r="A1285" s="24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5" t="n">
        <v>58.98744</v>
      </c>
    </row>
    <row r="1286">
      <c r="A1286" s="24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5" t="n">
        <v>44.645603</v>
      </c>
    </row>
    <row r="1287">
      <c r="A1287" s="24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5" t="n">
        <v>34.471791</v>
      </c>
    </row>
    <row r="1288">
      <c r="A1288" s="24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5" t="n">
        <v>45.057767</v>
      </c>
    </row>
    <row r="1289">
      <c r="A1289" s="24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5" t="n">
        <v>61.108743</v>
      </c>
    </row>
    <row r="1290">
      <c r="A1290" s="24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5" t="n">
        <v>103.699468</v>
      </c>
    </row>
    <row r="1291">
      <c r="A1291" s="24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5" t="n">
        <v>93.46787500000001</v>
      </c>
    </row>
    <row r="1292">
      <c r="A1292" s="24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5" t="n">
        <v>89.189398</v>
      </c>
    </row>
    <row r="1293">
      <c r="A1293" s="24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5" t="n">
        <v>110.937422</v>
      </c>
    </row>
    <row r="1294">
      <c r="A1294" s="24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5" t="n">
        <v>93.23712</v>
      </c>
    </row>
    <row r="1295">
      <c r="A1295" s="24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5" t="n">
        <v>125.941899</v>
      </c>
    </row>
    <row r="1296">
      <c r="A1296" s="24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5" t="n">
        <v>102.445634</v>
      </c>
    </row>
    <row r="1297">
      <c r="A1297" s="24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5" t="n">
        <v>76.394389</v>
      </c>
    </row>
    <row r="1298">
      <c r="A1298" s="24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5" t="n">
        <v>67.70784399999999</v>
      </c>
    </row>
    <row r="1299">
      <c r="A1299" s="24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5" t="n">
        <v>62.277581</v>
      </c>
    </row>
    <row r="1300">
      <c r="A1300" s="24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5" t="n">
        <v>49.823325</v>
      </c>
    </row>
    <row r="1301">
      <c r="A1301" s="24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5" t="n">
        <v>39.90582</v>
      </c>
    </row>
    <row r="1302">
      <c r="A1302" s="24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5" t="n">
        <v>32.755172</v>
      </c>
    </row>
    <row r="1303">
      <c r="A1303" s="24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5" t="n">
        <v>27.556737</v>
      </c>
    </row>
    <row r="1304">
      <c r="A1304" s="24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5" t="n">
        <v>23.529728</v>
      </c>
    </row>
    <row r="1305">
      <c r="A1305" s="24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5" t="n">
        <v>20.43003</v>
      </c>
    </row>
    <row r="1306">
      <c r="A1306" s="24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5" t="n">
        <v>17.790755</v>
      </c>
    </row>
    <row r="1307">
      <c r="A1307" s="24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5" t="n">
        <v>15.423961</v>
      </c>
    </row>
    <row r="1308">
      <c r="A1308" s="24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5" t="n">
        <v>13.385881</v>
      </c>
    </row>
    <row r="1309">
      <c r="A1309" s="24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5" t="n">
        <v>16.153169</v>
      </c>
    </row>
    <row r="1310">
      <c r="A1310" s="24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5" t="n">
        <v>14.162417</v>
      </c>
    </row>
    <row r="1311">
      <c r="A1311" s="24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5" t="n">
        <v>14.849319</v>
      </c>
    </row>
    <row r="1312">
      <c r="A1312" s="24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5" t="n">
        <v>22.771153</v>
      </c>
    </row>
    <row r="1313">
      <c r="A1313" s="24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5" t="n">
        <v>19.443844</v>
      </c>
    </row>
    <row r="1314">
      <c r="A1314" s="24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5" t="n">
        <v>16.126647</v>
      </c>
    </row>
    <row r="1315">
      <c r="A1315" s="24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5" t="n">
        <v>16.990769</v>
      </c>
    </row>
    <row r="1316">
      <c r="A1316" s="24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5" t="n">
        <v>24.466127</v>
      </c>
    </row>
    <row r="1317">
      <c r="A1317" s="24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5" t="n">
        <v>20.072337</v>
      </c>
    </row>
    <row r="1318">
      <c r="A1318" s="24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5" t="n">
        <v>16.030035</v>
      </c>
    </row>
    <row r="1319">
      <c r="A1319" s="24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5" t="n">
        <v>12.847069</v>
      </c>
    </row>
    <row r="1320">
      <c r="A1320" s="24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5" t="n">
        <v>10.463584</v>
      </c>
    </row>
    <row r="1321">
      <c r="A1321" s="24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5" t="n">
        <v>8.706536</v>
      </c>
    </row>
    <row r="1322">
      <c r="A1322" s="24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5" t="n">
        <v>7.409977</v>
      </c>
    </row>
    <row r="1323">
      <c r="A1323" s="24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5" t="n">
        <v>6.347274</v>
      </c>
    </row>
    <row r="1324">
      <c r="A1324" s="24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5" t="n">
        <v>5.487565</v>
      </c>
    </row>
    <row r="1325">
      <c r="A1325" s="24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5" t="n">
        <v>4.794719</v>
      </c>
    </row>
    <row r="1326">
      <c r="A1326" s="24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5" t="n">
        <v>4.221047</v>
      </c>
    </row>
    <row r="1327">
      <c r="A1327" s="24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5" t="n">
        <v>3.749149</v>
      </c>
    </row>
    <row r="1328">
      <c r="A1328" s="24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5" t="n">
        <v>3.986173</v>
      </c>
    </row>
    <row r="1329">
      <c r="A1329" s="24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5" t="n">
        <v>3.455655</v>
      </c>
    </row>
    <row r="1330">
      <c r="A1330" s="24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5" t="n">
        <v>2.893093</v>
      </c>
    </row>
    <row r="1331">
      <c r="A1331" s="24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5" t="n">
        <v>2.553299</v>
      </c>
    </row>
    <row r="1332">
      <c r="A1332" s="24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5" t="n">
        <v>2.280503</v>
      </c>
    </row>
    <row r="1333">
      <c r="A1333" s="24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5" t="n">
        <v>2.049118</v>
      </c>
    </row>
    <row r="1334">
      <c r="A1334" s="24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5" t="n">
        <v>1.848317</v>
      </c>
    </row>
    <row r="1335">
      <c r="A1335" s="24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5" t="n">
        <v>1.672207</v>
      </c>
    </row>
    <row r="1336">
      <c r="A1336" s="24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5" t="n">
        <v>1.516594</v>
      </c>
    </row>
    <row r="1337">
      <c r="A1337" s="24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5" t="n">
        <v>1.378308</v>
      </c>
    </row>
    <row r="1338">
      <c r="A1338" s="24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5" t="n">
        <v>1.254862</v>
      </c>
    </row>
    <row r="1339">
      <c r="A1339" s="24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5" t="n">
        <v>1.144252</v>
      </c>
    </row>
    <row r="1340">
      <c r="A1340" s="24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5" t="n">
        <v>1.770892</v>
      </c>
    </row>
    <row r="1341">
      <c r="A1341" s="24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5" t="n">
        <v>14.354528</v>
      </c>
    </row>
    <row r="1342">
      <c r="A1342" s="24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5" t="n">
        <v>11.637823</v>
      </c>
    </row>
    <row r="1343">
      <c r="A1343" s="24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5" t="n">
        <v>13.512888</v>
      </c>
    </row>
    <row r="1344">
      <c r="A1344" s="24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5" t="n">
        <v>10.902865</v>
      </c>
    </row>
    <row r="1345">
      <c r="A1345" s="24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5" t="n">
        <v>8.082974999999999</v>
      </c>
    </row>
    <row r="1346">
      <c r="A1346" s="24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5" t="n">
        <v>6.382969</v>
      </c>
    </row>
    <row r="1347">
      <c r="A1347" s="24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5" t="n">
        <v>33.466749</v>
      </c>
    </row>
    <row r="1348">
      <c r="A1348" s="24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5" t="n">
        <v>29.457921</v>
      </c>
    </row>
    <row r="1349">
      <c r="A1349" s="24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5" t="n">
        <v>21.101499</v>
      </c>
    </row>
    <row r="1350">
      <c r="A1350" s="24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5" t="n">
        <v>16.635446</v>
      </c>
    </row>
    <row r="1351">
      <c r="A1351" s="24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5" t="n">
        <v>95.16512899999999</v>
      </c>
    </row>
    <row r="1352">
      <c r="A1352" s="24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5" t="n">
        <v>160.679462</v>
      </c>
    </row>
    <row r="1353">
      <c r="A1353" s="24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5" t="n">
        <v>174.099307</v>
      </c>
    </row>
    <row r="1354">
      <c r="A1354" s="24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5" t="n">
        <v>160.767011</v>
      </c>
    </row>
    <row r="1355">
      <c r="A1355" s="24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5" t="n">
        <v>167.400721</v>
      </c>
    </row>
    <row r="1356">
      <c r="A1356" s="24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5" t="n">
        <v>160.243567</v>
      </c>
    </row>
    <row r="1357">
      <c r="A1357" s="24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5" t="n">
        <v>123.086894</v>
      </c>
    </row>
    <row r="1358">
      <c r="A1358" s="24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5" t="n">
        <v>95.155609</v>
      </c>
    </row>
    <row r="1359">
      <c r="A1359" s="24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5" t="n">
        <v>74.05753900000001</v>
      </c>
    </row>
    <row r="1360">
      <c r="A1360" s="24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5" t="n">
        <v>71.056507</v>
      </c>
    </row>
    <row r="1361">
      <c r="A1361" s="24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5" t="n">
        <v>71.937836</v>
      </c>
    </row>
    <row r="1362">
      <c r="A1362" s="24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5" t="n">
        <v>100.768208</v>
      </c>
    </row>
    <row r="1363">
      <c r="A1363" s="24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5" t="n">
        <v>82.20756900000001</v>
      </c>
    </row>
    <row r="1364">
      <c r="A1364" s="24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5" t="n">
        <v>62.441478</v>
      </c>
    </row>
    <row r="1365">
      <c r="A1365" s="24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5" t="n">
        <v>49.873439</v>
      </c>
    </row>
    <row r="1366">
      <c r="A1366" s="24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5" t="n">
        <v>43.868029</v>
      </c>
    </row>
    <row r="1367">
      <c r="A1367" s="24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5" t="n">
        <v>35.965048</v>
      </c>
    </row>
    <row r="1368">
      <c r="A1368" s="24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5" t="n">
        <v>29.757816</v>
      </c>
    </row>
    <row r="1369">
      <c r="A1369" s="24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5" t="n">
        <v>39.583625</v>
      </c>
    </row>
    <row r="1370">
      <c r="A1370" s="24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5" t="n">
        <v>53.988203</v>
      </c>
    </row>
    <row r="1371">
      <c r="A1371" s="24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5" t="n">
        <v>57.806922</v>
      </c>
    </row>
    <row r="1372">
      <c r="A1372" s="24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5" t="n">
        <v>52.485774</v>
      </c>
    </row>
    <row r="1373">
      <c r="A1373" s="24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5" t="n">
        <v>44.135796</v>
      </c>
    </row>
    <row r="1374">
      <c r="A1374" s="24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5" t="n">
        <v>97.850708</v>
      </c>
    </row>
    <row r="1375">
      <c r="A1375" s="24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5" t="n">
        <v>116.294187</v>
      </c>
    </row>
    <row r="1376">
      <c r="A1376" s="24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5" t="n">
        <v>85.986535</v>
      </c>
    </row>
    <row r="1377">
      <c r="A1377" s="24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5" t="n">
        <v>69.261619</v>
      </c>
    </row>
    <row r="1378">
      <c r="A1378" s="24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5" t="n">
        <v>54.887454</v>
      </c>
    </row>
    <row r="1379">
      <c r="A1379" s="24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5" t="n">
        <v>44.447447</v>
      </c>
    </row>
    <row r="1380">
      <c r="A1380" s="24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5" t="n">
        <v>37.317386</v>
      </c>
    </row>
    <row r="1381">
      <c r="A1381" s="24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5" t="n">
        <v>30.896579</v>
      </c>
    </row>
    <row r="1382">
      <c r="A1382" s="24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5" t="n">
        <v>28.448477</v>
      </c>
    </row>
    <row r="1383">
      <c r="A1383" s="24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5" t="n">
        <v>25.781787</v>
      </c>
    </row>
    <row r="1384">
      <c r="A1384" s="24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5" t="n">
        <v>51.261586</v>
      </c>
    </row>
    <row r="1385">
      <c r="A1385" s="24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5" t="n">
        <v>42.410642</v>
      </c>
    </row>
    <row r="1386">
      <c r="A1386" s="24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5" t="n">
        <v>34.335756</v>
      </c>
    </row>
    <row r="1387">
      <c r="A1387" s="24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5" t="n">
        <v>28.395677</v>
      </c>
    </row>
    <row r="1388">
      <c r="A1388" s="24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5" t="n">
        <v>25.557685</v>
      </c>
    </row>
    <row r="1389">
      <c r="A1389" s="24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5" t="n">
        <v>20.871444</v>
      </c>
    </row>
    <row r="1390">
      <c r="A1390" s="24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5" t="n">
        <v>17.111216</v>
      </c>
    </row>
    <row r="1391">
      <c r="A1391" s="24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5" t="n">
        <v>14.336106</v>
      </c>
    </row>
    <row r="1392">
      <c r="A1392" s="24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5" t="n">
        <v>12.191714</v>
      </c>
    </row>
    <row r="1393">
      <c r="A1393" s="24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5" t="n">
        <v>10.49101</v>
      </c>
    </row>
    <row r="1394">
      <c r="A1394" s="24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5" t="n">
        <v>9.113358</v>
      </c>
    </row>
    <row r="1395">
      <c r="A1395" s="24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5" t="n">
        <v>8.140038000000001</v>
      </c>
    </row>
    <row r="1396">
      <c r="A1396" s="24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5" t="n">
        <v>7.150004</v>
      </c>
    </row>
    <row r="1397">
      <c r="A1397" s="24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5" t="n">
        <v>9.215021</v>
      </c>
    </row>
    <row r="1398">
      <c r="A1398" s="24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5" t="n">
        <v>27.522529</v>
      </c>
    </row>
    <row r="1399">
      <c r="A1399" s="24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5" t="n">
        <v>49.076786</v>
      </c>
    </row>
    <row r="1400">
      <c r="A1400" s="24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5" t="n">
        <v>39.508788</v>
      </c>
    </row>
    <row r="1401">
      <c r="A1401" s="24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5" t="n">
        <v>33.089702</v>
      </c>
    </row>
    <row r="1402">
      <c r="A1402" s="24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5" t="n">
        <v>31.247221</v>
      </c>
    </row>
    <row r="1403">
      <c r="A1403" s="24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5" t="n">
        <v>34.781153</v>
      </c>
    </row>
    <row r="1404">
      <c r="A1404" s="24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5" t="n">
        <v>83.502978</v>
      </c>
    </row>
    <row r="1405">
      <c r="A1405" s="24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5" t="n">
        <v>71.094173</v>
      </c>
    </row>
    <row r="1406">
      <c r="A1406" s="24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5" t="n">
        <v>51.679919</v>
      </c>
    </row>
    <row r="1407">
      <c r="A1407" s="24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5" t="n">
        <v>39.627482</v>
      </c>
    </row>
    <row r="1408">
      <c r="A1408" s="24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5" t="n">
        <v>48.50526</v>
      </c>
    </row>
    <row r="1409">
      <c r="A1409" s="24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5" t="n">
        <v>40.147191</v>
      </c>
    </row>
    <row r="1410">
      <c r="A1410" s="24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5" t="n">
        <v>30.882348</v>
      </c>
    </row>
    <row r="1411">
      <c r="A1411" s="24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5" t="n">
        <v>42.045332</v>
      </c>
    </row>
    <row r="1412">
      <c r="A1412" s="24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5" t="n">
        <v>52.525812</v>
      </c>
    </row>
    <row r="1413">
      <c r="A1413" s="24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5" t="n">
        <v>73.064944</v>
      </c>
    </row>
    <row r="1414">
      <c r="A1414" s="24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5" t="n">
        <v>59.708673</v>
      </c>
    </row>
    <row r="1415">
      <c r="A1415" s="24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5" t="n">
        <v>44.476834</v>
      </c>
    </row>
    <row r="1416">
      <c r="A1416" s="24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5" t="n">
        <v>34.683704</v>
      </c>
    </row>
    <row r="1417">
      <c r="A1417" s="24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5" t="n">
        <v>37.345438</v>
      </c>
    </row>
    <row r="1418">
      <c r="A1418" s="24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5" t="n">
        <v>32.598727</v>
      </c>
    </row>
    <row r="1419">
      <c r="A1419" s="24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5" t="n">
        <v>27.432383</v>
      </c>
    </row>
    <row r="1420">
      <c r="A1420" s="24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5" t="n">
        <v>50.828367</v>
      </c>
    </row>
    <row r="1421">
      <c r="A1421" s="24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5" t="n">
        <v>52.88627</v>
      </c>
    </row>
    <row r="1422">
      <c r="A1422" s="24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5" t="n">
        <v>45.76702</v>
      </c>
    </row>
    <row r="1423">
      <c r="A1423" s="24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5" t="n">
        <v>71.82932700000001</v>
      </c>
    </row>
    <row r="1424">
      <c r="A1424" s="24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5" t="n">
        <v>80.138019</v>
      </c>
    </row>
    <row r="1425">
      <c r="A1425" s="24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5" t="n">
        <v>62.942488</v>
      </c>
    </row>
    <row r="1426">
      <c r="A1426" s="24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5" t="n">
        <v>52.389523</v>
      </c>
    </row>
    <row r="1427">
      <c r="A1427" s="24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5" t="n">
        <v>64.34354399999999</v>
      </c>
    </row>
    <row r="1428">
      <c r="A1428" s="24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5" t="n">
        <v>80.758025</v>
      </c>
    </row>
    <row r="1429">
      <c r="A1429" s="24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5" t="n">
        <v>67.39389799999999</v>
      </c>
    </row>
    <row r="1430">
      <c r="A1430" s="24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5" t="n">
        <v>52.217197</v>
      </c>
    </row>
    <row r="1431">
      <c r="A1431" s="24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5" t="n">
        <v>45.660066</v>
      </c>
    </row>
    <row r="1432">
      <c r="A1432" s="24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5" t="n">
        <v>53.795665</v>
      </c>
    </row>
    <row r="1433">
      <c r="A1433" s="24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5" t="n">
        <v>50.339833</v>
      </c>
    </row>
    <row r="1434">
      <c r="A1434" s="24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5" t="n">
        <v>52.733648</v>
      </c>
    </row>
    <row r="1435">
      <c r="A1435" s="24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5" t="n">
        <v>78.288264</v>
      </c>
    </row>
    <row r="1436">
      <c r="A1436" s="24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5" t="n">
        <v>62.716902</v>
      </c>
    </row>
    <row r="1437">
      <c r="A1437" s="24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5" t="n">
        <v>46.948944</v>
      </c>
    </row>
    <row r="1438">
      <c r="A1438" s="24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5" t="n">
        <v>36.803415</v>
      </c>
    </row>
    <row r="1439">
      <c r="A1439" s="24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5" t="n">
        <v>30.385286</v>
      </c>
    </row>
    <row r="1440">
      <c r="A1440" s="24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5" t="n">
        <v>26.039208</v>
      </c>
    </row>
    <row r="1441">
      <c r="A1441" s="24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5" t="n">
        <v>25.200589</v>
      </c>
    </row>
    <row r="1442">
      <c r="A1442" s="24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5" t="n">
        <v>21.101464</v>
      </c>
    </row>
    <row r="1443">
      <c r="A1443" s="24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5" t="n">
        <v>23.247085</v>
      </c>
    </row>
    <row r="1444">
      <c r="A1444" s="24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5" t="n">
        <v>40.434087</v>
      </c>
    </row>
    <row r="1445">
      <c r="A1445" s="24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5" t="n">
        <v>34.40322</v>
      </c>
    </row>
    <row r="1446">
      <c r="A1446" s="24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5" t="n">
        <v>26.36485</v>
      </c>
    </row>
    <row r="1447">
      <c r="A1447" s="24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5" t="n">
        <v>24.567073</v>
      </c>
    </row>
    <row r="1448">
      <c r="A1448" s="24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5" t="n">
        <v>20.778464</v>
      </c>
    </row>
    <row r="1449">
      <c r="A1449" s="24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5" t="n">
        <v>22.285621</v>
      </c>
    </row>
    <row r="1450">
      <c r="A1450" s="24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5" t="n">
        <v>36.468669</v>
      </c>
    </row>
    <row r="1451">
      <c r="A1451" s="24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5" t="n">
        <v>39.018788</v>
      </c>
    </row>
    <row r="1452">
      <c r="A1452" s="24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5" t="n">
        <v>43.662091</v>
      </c>
    </row>
    <row r="1453">
      <c r="A1453" s="24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5" t="n">
        <v>33.915239</v>
      </c>
    </row>
    <row r="1454">
      <c r="A1454" s="24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5" t="n">
        <v>27.377278</v>
      </c>
    </row>
    <row r="1455">
      <c r="A1455" s="24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5" t="n">
        <v>21.807585</v>
      </c>
    </row>
    <row r="1456">
      <c r="A1456" s="24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5" t="n">
        <v>19.172484</v>
      </c>
    </row>
    <row r="1457">
      <c r="A1457" s="24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5" t="n">
        <v>22.798653</v>
      </c>
    </row>
    <row r="1458">
      <c r="A1458" s="24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5" t="n">
        <v>51.198716</v>
      </c>
    </row>
    <row r="1459">
      <c r="A1459" s="24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5" t="n">
        <v>46.122728</v>
      </c>
    </row>
    <row r="1460">
      <c r="A1460" s="24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5" t="n">
        <v>94.644041</v>
      </c>
    </row>
    <row r="1461">
      <c r="A1461" s="24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5" t="n">
        <v>124.797754</v>
      </c>
    </row>
    <row r="1462">
      <c r="A1462" s="24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5" t="n">
        <v>95.776706</v>
      </c>
    </row>
    <row r="1463">
      <c r="A1463" s="24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5" t="n">
        <v>76.535932</v>
      </c>
    </row>
    <row r="1464">
      <c r="A1464" s="24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5" t="n">
        <v>68.10325899999999</v>
      </c>
    </row>
    <row r="1465">
      <c r="A1465" s="24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5" t="n">
        <v>68.41913599999999</v>
      </c>
    </row>
    <row r="1466">
      <c r="A1466" s="24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5" t="n">
        <v>58.993749</v>
      </c>
    </row>
    <row r="1467">
      <c r="A1467" s="24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5" t="n">
        <v>58.823958</v>
      </c>
    </row>
    <row r="1468">
      <c r="A1468" s="24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5" t="n">
        <v>46.825769</v>
      </c>
    </row>
    <row r="1469">
      <c r="A1469" s="24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5" t="n">
        <v>42.677066</v>
      </c>
    </row>
    <row r="1470">
      <c r="A1470" s="24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5" t="n">
        <v>40.787738</v>
      </c>
    </row>
    <row r="1471">
      <c r="A1471" s="24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5" t="n">
        <v>48.146218</v>
      </c>
    </row>
    <row r="1472">
      <c r="A1472" s="24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5" t="n">
        <v>62.833051</v>
      </c>
    </row>
    <row r="1473">
      <c r="A1473" s="24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5" t="n">
        <v>58.133019</v>
      </c>
    </row>
    <row r="1474">
      <c r="A1474" s="24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5" t="n">
        <v>46.959641</v>
      </c>
    </row>
    <row r="1475">
      <c r="A1475" s="24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5" t="n">
        <v>72.725859</v>
      </c>
    </row>
    <row r="1476">
      <c r="A1476" s="24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5" t="n">
        <v>73.135988</v>
      </c>
    </row>
    <row r="1477">
      <c r="A1477" s="24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5" t="n">
        <v>73.56417</v>
      </c>
    </row>
    <row r="1478">
      <c r="A1478" s="24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5" t="n">
        <v>65.821417</v>
      </c>
    </row>
    <row r="1479">
      <c r="A1479" s="24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5" t="n">
        <v>54.422932</v>
      </c>
    </row>
    <row r="1480">
      <c r="A1480" s="24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5" t="n">
        <v>50.267476</v>
      </c>
    </row>
    <row r="1481">
      <c r="A1481" s="24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5" t="n">
        <v>42.800743</v>
      </c>
    </row>
    <row r="1482">
      <c r="A1482" s="24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5" t="n">
        <v>36.269994</v>
      </c>
    </row>
    <row r="1483">
      <c r="A1483" s="24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5" t="n">
        <v>53.274467</v>
      </c>
    </row>
    <row r="1484">
      <c r="A1484" s="24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5" t="n">
        <v>70.751929</v>
      </c>
    </row>
    <row r="1485">
      <c r="A1485" s="24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5" t="n">
        <v>55.771806</v>
      </c>
    </row>
    <row r="1486">
      <c r="A1486" s="24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5" t="n">
        <v>49.977161</v>
      </c>
    </row>
    <row r="1487">
      <c r="A1487" s="24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5" t="n">
        <v>46.813236</v>
      </c>
    </row>
    <row r="1488">
      <c r="A1488" s="24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5" t="n">
        <v>36.904776</v>
      </c>
    </row>
    <row r="1489">
      <c r="A1489" s="24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5" t="n">
        <v>29.206209</v>
      </c>
    </row>
    <row r="1490">
      <c r="A1490" s="24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5" t="n">
        <v>43.822087</v>
      </c>
    </row>
    <row r="1491">
      <c r="A1491" s="24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5" t="n">
        <v>47.18651</v>
      </c>
    </row>
    <row r="1492">
      <c r="A1492" s="24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5" t="n">
        <v>37.979604</v>
      </c>
    </row>
    <row r="1493">
      <c r="A1493" s="24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5" t="n">
        <v>29.616439</v>
      </c>
    </row>
    <row r="1494">
      <c r="A1494" s="24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5" t="n">
        <v>28.487609</v>
      </c>
    </row>
    <row r="1495">
      <c r="A1495" s="24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5" t="n">
        <v>29.156393</v>
      </c>
    </row>
    <row r="1496">
      <c r="A1496" s="24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5" t="n">
        <v>28.310578</v>
      </c>
    </row>
    <row r="1497">
      <c r="A1497" s="24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5" t="n">
        <v>56.163711</v>
      </c>
    </row>
    <row r="1498">
      <c r="A1498" s="24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5" t="n">
        <v>52.162001</v>
      </c>
    </row>
    <row r="1499">
      <c r="A1499" s="24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5" t="n">
        <v>40.063636</v>
      </c>
    </row>
    <row r="1500">
      <c r="A1500" s="24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5" t="n">
        <v>30.935295</v>
      </c>
    </row>
    <row r="1501">
      <c r="A1501" s="24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5" t="n">
        <v>33.877794</v>
      </c>
    </row>
    <row r="1502">
      <c r="A1502" s="24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5" t="n">
        <v>31.027906</v>
      </c>
    </row>
    <row r="1503">
      <c r="A1503" s="24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5" t="n">
        <v>26.076448</v>
      </c>
    </row>
    <row r="1504">
      <c r="A1504" s="24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5" t="n">
        <v>24.464358</v>
      </c>
    </row>
    <row r="1505">
      <c r="A1505" s="24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5" t="n">
        <v>33.26047</v>
      </c>
    </row>
    <row r="1506">
      <c r="A1506" s="24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5" t="n">
        <v>31.952155</v>
      </c>
    </row>
    <row r="1507">
      <c r="A1507" s="24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5" t="n">
        <v>54.146655</v>
      </c>
    </row>
    <row r="1508">
      <c r="A1508" s="24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5" t="n">
        <v>72.502985</v>
      </c>
    </row>
    <row r="1509">
      <c r="A1509" s="24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5" t="n">
        <v>76.624971</v>
      </c>
    </row>
    <row r="1510">
      <c r="A1510" s="24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5" t="n">
        <v>58.679515</v>
      </c>
    </row>
    <row r="1511">
      <c r="A1511" s="24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5" t="n">
        <v>50.291062</v>
      </c>
    </row>
    <row r="1512">
      <c r="A1512" s="24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5" t="n">
        <v>54.549175</v>
      </c>
    </row>
    <row r="1513">
      <c r="A1513" s="24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5" t="n">
        <v>58.015758</v>
      </c>
    </row>
    <row r="1514">
      <c r="A1514" s="24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5" t="n">
        <v>101.196776</v>
      </c>
    </row>
    <row r="1515">
      <c r="A1515" s="24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5" t="n">
        <v>93.16878199999999</v>
      </c>
    </row>
    <row r="1516">
      <c r="A1516" s="24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5" t="n">
        <v>69.192395</v>
      </c>
    </row>
    <row r="1517">
      <c r="A1517" s="24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5" t="n">
        <v>52.92904</v>
      </c>
    </row>
    <row r="1518">
      <c r="A1518" s="24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5" t="n">
        <v>41.879793</v>
      </c>
    </row>
    <row r="1519">
      <c r="A1519" s="24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5" t="n">
        <v>51.360205</v>
      </c>
    </row>
    <row r="1520">
      <c r="A1520" s="24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5" t="n">
        <v>62.155846</v>
      </c>
    </row>
    <row r="1521">
      <c r="A1521" s="24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5" t="n">
        <v>66.036783</v>
      </c>
    </row>
    <row r="1522">
      <c r="A1522" s="24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5" t="n">
        <v>86.074876</v>
      </c>
    </row>
    <row r="1523">
      <c r="A1523" s="24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5" t="n">
        <v>74.473088</v>
      </c>
    </row>
    <row r="1524">
      <c r="A1524" s="24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5" t="n">
        <v>61.775383</v>
      </c>
    </row>
    <row r="1525">
      <c r="A1525" s="24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5" t="n">
        <v>50.975151</v>
      </c>
    </row>
    <row r="1526">
      <c r="A1526" s="24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5" t="n">
        <v>41.238285</v>
      </c>
    </row>
    <row r="1527">
      <c r="A1527" s="24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5" t="n">
        <v>38.333756</v>
      </c>
    </row>
    <row r="1528">
      <c r="A1528" s="24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5" t="n">
        <v>31.175008</v>
      </c>
    </row>
    <row r="1529">
      <c r="A1529" s="24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5" t="n">
        <v>25.68803</v>
      </c>
    </row>
    <row r="1530">
      <c r="A1530" s="24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5" t="n">
        <v>38.685524</v>
      </c>
    </row>
    <row r="1531">
      <c r="A1531" s="24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5" t="n">
        <v>32.391241</v>
      </c>
    </row>
    <row r="1532">
      <c r="A1532" s="24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5" t="n">
        <v>26.523819</v>
      </c>
    </row>
    <row r="1533">
      <c r="A1533" s="24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5" t="n">
        <v>26.131952</v>
      </c>
    </row>
    <row r="1534">
      <c r="A1534" s="24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5" t="n">
        <v>21.597777</v>
      </c>
    </row>
    <row r="1535">
      <c r="A1535" s="24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5" t="n">
        <v>17.493209</v>
      </c>
    </row>
    <row r="1536">
      <c r="A1536" s="24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5" t="n">
        <v>14.713664</v>
      </c>
    </row>
    <row r="1537">
      <c r="A1537" s="24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5" t="n">
        <v>12.731773</v>
      </c>
    </row>
    <row r="1538">
      <c r="A1538" s="24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5" t="n">
        <v>10.810136</v>
      </c>
    </row>
    <row r="1539">
      <c r="A1539" s="24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5" t="n">
        <v>27.05347</v>
      </c>
    </row>
    <row r="1540">
      <c r="A1540" s="24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5" t="n">
        <v>23.211525</v>
      </c>
    </row>
    <row r="1541">
      <c r="A1541" s="24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5" t="n">
        <v>17.58336</v>
      </c>
    </row>
    <row r="1542">
      <c r="A1542" s="24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5" t="n">
        <v>14.000379</v>
      </c>
    </row>
    <row r="1543">
      <c r="A1543" s="24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5" t="n">
        <v>11.386097</v>
      </c>
    </row>
    <row r="1544">
      <c r="A1544" s="24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5" t="n">
        <v>9.452209999999999</v>
      </c>
    </row>
    <row r="1545">
      <c r="A1545" s="24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5" t="n">
        <v>8.434445999999999</v>
      </c>
    </row>
    <row r="1546">
      <c r="A1546" s="24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5" t="n">
        <v>22.534255</v>
      </c>
    </row>
    <row r="1547">
      <c r="A1547" s="24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5" t="n">
        <v>26.431503</v>
      </c>
    </row>
    <row r="1548">
      <c r="A1548" s="24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5" t="n">
        <v>61.764357</v>
      </c>
    </row>
    <row r="1549">
      <c r="A1549" s="24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5" t="n">
        <v>100.822291</v>
      </c>
    </row>
    <row r="1550">
      <c r="A1550" s="24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5" t="n">
        <v>134.240037</v>
      </c>
    </row>
    <row r="1551">
      <c r="A1551" s="24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5" t="n">
        <v>131.350115</v>
      </c>
    </row>
    <row r="1552">
      <c r="A1552" s="24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5" t="n">
        <v>127.063561</v>
      </c>
    </row>
    <row r="1553">
      <c r="A1553" s="24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5" t="n">
        <v>140.203701</v>
      </c>
    </row>
    <row r="1554">
      <c r="A1554" s="24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5" t="n">
        <v>150.576463</v>
      </c>
    </row>
    <row r="1555">
      <c r="A1555" s="24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5" t="n">
        <v>147.776081</v>
      </c>
    </row>
    <row r="1556">
      <c r="A1556" s="24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5" t="n">
        <v>136.339186</v>
      </c>
    </row>
    <row r="1557">
      <c r="A1557" s="24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5" t="n">
        <v>112.970313</v>
      </c>
    </row>
    <row r="1558">
      <c r="A1558" s="24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5" t="n">
        <v>142.454336</v>
      </c>
    </row>
    <row r="1559">
      <c r="A1559" s="24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5" t="n">
        <v>149.904257</v>
      </c>
    </row>
    <row r="1560">
      <c r="A1560" s="24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5" t="n">
        <v>132.888907</v>
      </c>
    </row>
    <row r="1561">
      <c r="A1561" s="24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5" t="n">
        <v>157.98633</v>
      </c>
    </row>
    <row r="1562">
      <c r="A1562" s="24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5" t="n">
        <v>179.871921</v>
      </c>
    </row>
    <row r="1563">
      <c r="A1563" s="24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5" t="n">
        <v>191.435271</v>
      </c>
    </row>
    <row r="1564">
      <c r="A1564" s="24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5" t="n">
        <v>183.096598</v>
      </c>
    </row>
    <row r="1565">
      <c r="A1565" s="24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5" t="n">
        <v>144.619381</v>
      </c>
    </row>
    <row r="1566">
      <c r="A1566" s="24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5" t="n">
        <v>125.396931</v>
      </c>
    </row>
    <row r="1567">
      <c r="A1567" s="24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5" t="n">
        <v>114.508548</v>
      </c>
    </row>
    <row r="1568">
      <c r="A1568" s="24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5" t="n">
        <v>101.519576</v>
      </c>
    </row>
    <row r="1569">
      <c r="A1569" s="24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5" t="n">
        <v>101.553229</v>
      </c>
    </row>
    <row r="1570">
      <c r="A1570" s="24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5" t="n">
        <v>113.61084</v>
      </c>
    </row>
    <row r="1571">
      <c r="A1571" s="24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5" t="n">
        <v>94.15084899999999</v>
      </c>
    </row>
    <row r="1572">
      <c r="A1572" s="24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5" t="n">
        <v>76.256269</v>
      </c>
    </row>
    <row r="1573">
      <c r="A1573" s="24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5" t="n">
        <v>63.049094</v>
      </c>
    </row>
    <row r="1574">
      <c r="A1574" s="24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5" t="n">
        <v>51.34823</v>
      </c>
    </row>
    <row r="1575">
      <c r="A1575" s="24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5" t="n">
        <v>42.451756</v>
      </c>
    </row>
    <row r="1576">
      <c r="A1576" s="24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5" t="n">
        <v>35.687605</v>
      </c>
    </row>
    <row r="1577">
      <c r="A1577" s="24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5" t="n">
        <v>30.386698</v>
      </c>
    </row>
    <row r="1578">
      <c r="A1578" s="24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5" t="n">
        <v>26.14293</v>
      </c>
    </row>
    <row r="1579">
      <c r="A1579" s="24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5" t="n">
        <v>22.685611</v>
      </c>
    </row>
    <row r="1580">
      <c r="A1580" s="24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5" t="n">
        <v>19.963267</v>
      </c>
    </row>
    <row r="1581">
      <c r="A1581" s="24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5" t="n">
        <v>19.826248</v>
      </c>
    </row>
    <row r="1582">
      <c r="A1582" s="24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5" t="n">
        <v>30.6691</v>
      </c>
    </row>
    <row r="1583">
      <c r="A1583" s="24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5" t="n">
        <v>33.067488</v>
      </c>
    </row>
    <row r="1584">
      <c r="A1584" s="24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5" t="n">
        <v>52.778276</v>
      </c>
    </row>
    <row r="1585">
      <c r="A1585" s="24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5" t="n">
        <v>57.459156</v>
      </c>
    </row>
    <row r="1586">
      <c r="A1586" s="24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5" t="n">
        <v>49.71357</v>
      </c>
    </row>
    <row r="1587">
      <c r="A1587" s="24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5" t="n">
        <v>38.14188</v>
      </c>
    </row>
    <row r="1588">
      <c r="A1588" s="24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5" t="n">
        <v>74.125668</v>
      </c>
    </row>
    <row r="1589">
      <c r="A1589" s="24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5" t="n">
        <v>79.235192</v>
      </c>
    </row>
    <row r="1590">
      <c r="A1590" s="24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5" t="n">
        <v>76.171105</v>
      </c>
    </row>
    <row r="1591">
      <c r="A1591" s="24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5" t="n">
        <v>80.91706499999999</v>
      </c>
    </row>
    <row r="1592">
      <c r="A1592" s="24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5" t="n">
        <v>83.640142</v>
      </c>
    </row>
    <row r="1593">
      <c r="A1593" s="24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5" t="n">
        <v>110.676749</v>
      </c>
    </row>
    <row r="1594">
      <c r="A1594" s="24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5" t="n">
        <v>122.720567</v>
      </c>
    </row>
    <row r="1595">
      <c r="A1595" s="24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5" t="n">
        <v>96.968504</v>
      </c>
    </row>
    <row r="1596">
      <c r="A1596" s="24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5" t="n">
        <v>102.078475</v>
      </c>
    </row>
    <row r="1597">
      <c r="A1597" s="24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5" t="n">
        <v>108.486391</v>
      </c>
    </row>
    <row r="1598">
      <c r="A1598" s="24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5" t="n">
        <v>139.395018</v>
      </c>
    </row>
    <row r="1599">
      <c r="A1599" s="24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5" t="n">
        <v>142.539849</v>
      </c>
    </row>
    <row r="1600">
      <c r="A1600" s="24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5" t="n">
        <v>108.11567</v>
      </c>
    </row>
    <row r="1601">
      <c r="A1601" s="24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5" t="n">
        <v>81.817194</v>
      </c>
    </row>
    <row r="1602">
      <c r="A1602" s="24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5" t="n">
        <v>64.214966</v>
      </c>
    </row>
    <row r="1603">
      <c r="A1603" s="24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5" t="n">
        <v>51.612908</v>
      </c>
    </row>
    <row r="1604">
      <c r="A1604" s="24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5" t="n">
        <v>42.276777</v>
      </c>
    </row>
    <row r="1605">
      <c r="A1605" s="24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5" t="n">
        <v>35.172985</v>
      </c>
    </row>
    <row r="1606">
      <c r="A1606" s="24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5" t="n">
        <v>29.648879</v>
      </c>
    </row>
    <row r="1607">
      <c r="A1607" s="24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5" t="n">
        <v>25.269767</v>
      </c>
    </row>
    <row r="1608">
      <c r="A1608" s="24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5" t="n">
        <v>22.145861</v>
      </c>
    </row>
    <row r="1609">
      <c r="A1609" s="24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5" t="n">
        <v>19.279744</v>
      </c>
    </row>
    <row r="1610">
      <c r="A1610" s="24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5" t="n">
        <v>16.851099</v>
      </c>
    </row>
    <row r="1611">
      <c r="A1611" s="24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5" t="n">
        <v>14.729653</v>
      </c>
    </row>
    <row r="1612">
      <c r="A1612" s="24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5" t="n">
        <v>13.017805</v>
      </c>
    </row>
    <row r="1613">
      <c r="A1613" s="24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5" t="n">
        <v>13.195231</v>
      </c>
    </row>
    <row r="1614">
      <c r="A1614" s="24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5" t="n">
        <v>29.511876</v>
      </c>
    </row>
    <row r="1615">
      <c r="A1615" s="24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5" t="n">
        <v>24.36199</v>
      </c>
    </row>
    <row r="1616">
      <c r="A1616" s="24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5" t="n">
        <v>18.65516</v>
      </c>
    </row>
    <row r="1617">
      <c r="A1617" s="24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5" t="n">
        <v>15.182304</v>
      </c>
    </row>
    <row r="1618">
      <c r="A1618" s="24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5" t="n">
        <v>12.826189</v>
      </c>
    </row>
    <row r="1619">
      <c r="A1619" s="24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5" t="n">
        <v>10.776658</v>
      </c>
    </row>
    <row r="1620">
      <c r="A1620" s="24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5" t="n">
        <v>9.329787</v>
      </c>
    </row>
    <row r="1621">
      <c r="A1621" s="24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5" t="n">
        <v>8.040829</v>
      </c>
    </row>
    <row r="1622">
      <c r="A1622" s="24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5" t="n">
        <v>7.018049</v>
      </c>
    </row>
    <row r="1623">
      <c r="A1623" s="24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5" t="n">
        <v>8.910327000000001</v>
      </c>
    </row>
    <row r="1624">
      <c r="A1624" s="24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5" t="n">
        <v>27.68269</v>
      </c>
    </row>
    <row r="1625">
      <c r="A1625" s="24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5" t="n">
        <v>50.446591</v>
      </c>
    </row>
    <row r="1626">
      <c r="A1626" s="24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5" t="n">
        <v>60.678952</v>
      </c>
    </row>
    <row r="1627">
      <c r="A1627" s="24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5" t="n">
        <v>51.043196</v>
      </c>
    </row>
    <row r="1628">
      <c r="A1628" s="24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5" t="n">
        <v>38.021785</v>
      </c>
    </row>
    <row r="1629">
      <c r="A1629" s="24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5" t="n">
        <v>34.586775</v>
      </c>
    </row>
    <row r="1630">
      <c r="A1630" s="24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5" t="n">
        <v>27.195446</v>
      </c>
    </row>
    <row r="1631">
      <c r="A1631" s="24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5" t="n">
        <v>44.120848</v>
      </c>
    </row>
    <row r="1632">
      <c r="A1632" s="24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5" t="n">
        <v>41.713023</v>
      </c>
    </row>
    <row r="1633">
      <c r="A1633" s="24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5" t="n">
        <v>41.855115</v>
      </c>
    </row>
    <row r="1634">
      <c r="A1634" s="24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5" t="n">
        <v>44.982849</v>
      </c>
    </row>
    <row r="1635">
      <c r="A1635" s="24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5" t="n">
        <v>46.106811</v>
      </c>
    </row>
    <row r="1636">
      <c r="A1636" s="24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5" t="n">
        <v>48.665818</v>
      </c>
    </row>
    <row r="1637">
      <c r="A1637" s="24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5" t="n">
        <v>50.100934</v>
      </c>
    </row>
    <row r="1638">
      <c r="A1638" s="24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5" t="n">
        <v>60.529927</v>
      </c>
    </row>
    <row r="1639">
      <c r="A1639" s="24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5" t="n">
        <v>48.203901</v>
      </c>
    </row>
    <row r="1640">
      <c r="A1640" s="24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5" t="n">
        <v>48.332964</v>
      </c>
    </row>
    <row r="1641">
      <c r="A1641" s="24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5" t="n">
        <v>112.755725</v>
      </c>
    </row>
    <row r="1642">
      <c r="A1642" s="24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5" t="n">
        <v>138.562158</v>
      </c>
    </row>
    <row r="1643">
      <c r="A1643" s="24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5" t="n">
        <v>149.398538</v>
      </c>
    </row>
    <row r="1644">
      <c r="A1644" s="24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5" t="n">
        <v>173.418955</v>
      </c>
    </row>
    <row r="1645">
      <c r="A1645" s="24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5" t="n">
        <v>181.358919</v>
      </c>
    </row>
    <row r="1646">
      <c r="A1646" s="24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5" t="n">
        <v>164.43502</v>
      </c>
    </row>
    <row r="1647">
      <c r="A1647" s="24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5" t="n">
        <v>143.712082</v>
      </c>
    </row>
    <row r="1648">
      <c r="A1648" s="24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5" t="n">
        <v>141.086669</v>
      </c>
    </row>
    <row r="1649">
      <c r="A1649" s="24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5" t="n">
        <v>169.626217</v>
      </c>
    </row>
    <row r="1650">
      <c r="A1650" s="24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5" t="n">
        <v>169.831855</v>
      </c>
    </row>
    <row r="1651">
      <c r="A1651" s="24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5" t="n">
        <v>185.872468</v>
      </c>
    </row>
    <row r="1652">
      <c r="A1652" s="24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5" t="n">
        <v>170.294777</v>
      </c>
    </row>
    <row r="1653">
      <c r="A1653" s="24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5" t="n">
        <v>139.115783</v>
      </c>
    </row>
    <row r="1654">
      <c r="A1654" s="24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5" t="n">
        <v>127.375102</v>
      </c>
    </row>
    <row r="1655">
      <c r="A1655" s="24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5" t="n">
        <v>118.473923</v>
      </c>
    </row>
    <row r="1656">
      <c r="A1656" s="24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5" t="n">
        <v>120.572508</v>
      </c>
    </row>
    <row r="1657">
      <c r="A1657" s="24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5" t="n">
        <v>155.348371</v>
      </c>
    </row>
    <row r="1658">
      <c r="A1658" s="24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5" t="n">
        <v>174.215173</v>
      </c>
    </row>
    <row r="1659">
      <c r="A1659" s="24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5" t="n">
        <v>150.332524</v>
      </c>
    </row>
    <row r="1660">
      <c r="A1660" s="24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5" t="n">
        <v>127.759198</v>
      </c>
    </row>
    <row r="1661">
      <c r="A1661" s="24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5" t="n">
        <v>120.295308</v>
      </c>
    </row>
    <row r="1662">
      <c r="A1662" s="24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5" t="n">
        <v>95.11536099999999</v>
      </c>
    </row>
    <row r="1663">
      <c r="A1663" s="24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5" t="n">
        <v>75.107338</v>
      </c>
    </row>
    <row r="1664">
      <c r="A1664" s="24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5" t="n">
        <v>81.12105</v>
      </c>
    </row>
    <row r="1665">
      <c r="A1665" s="24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5" t="n">
        <v>125.83697</v>
      </c>
    </row>
    <row r="1666">
      <c r="A1666" s="24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5" t="n">
        <v>169.905049</v>
      </c>
    </row>
    <row r="1667">
      <c r="A1667" s="24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5" t="n">
        <v>178.594614</v>
      </c>
    </row>
    <row r="1668">
      <c r="A1668" s="24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5" t="n">
        <v>175.02907</v>
      </c>
    </row>
    <row r="1669">
      <c r="A1669" s="24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5" t="n">
        <v>134.67021</v>
      </c>
    </row>
    <row r="1670">
      <c r="A1670" s="24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5" t="n">
        <v>108.41586</v>
      </c>
    </row>
    <row r="1671">
      <c r="A1671" s="24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5" t="n">
        <v>106.675882</v>
      </c>
    </row>
    <row r="1672">
      <c r="A1672" s="24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5" t="n">
        <v>120.402238</v>
      </c>
    </row>
    <row r="1673">
      <c r="A1673" s="24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5" t="n">
        <v>99.45982600000001</v>
      </c>
    </row>
    <row r="1674">
      <c r="A1674" s="24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5" t="n">
        <v>78.20983</v>
      </c>
    </row>
    <row r="1675">
      <c r="A1675" s="24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5" t="n">
        <v>62.987391</v>
      </c>
    </row>
    <row r="1676">
      <c r="A1676" s="24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5" t="n">
        <v>52.638121</v>
      </c>
    </row>
    <row r="1677">
      <c r="A1677" s="24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5" t="n">
        <v>43.761279</v>
      </c>
    </row>
    <row r="1678">
      <c r="A1678" s="24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5" t="n">
        <v>36.808941</v>
      </c>
    </row>
    <row r="1679">
      <c r="A1679" s="24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5" t="n">
        <v>31.373793</v>
      </c>
    </row>
    <row r="1680">
      <c r="A1680" s="24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5" t="n">
        <v>27.099017</v>
      </c>
    </row>
    <row r="1681">
      <c r="A1681" s="24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5" t="n">
        <v>26.337427</v>
      </c>
    </row>
    <row r="1682">
      <c r="A1682" s="24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5" t="n">
        <v>25.678319</v>
      </c>
    </row>
    <row r="1683">
      <c r="A1683" s="24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5" t="n">
        <v>21.811145</v>
      </c>
    </row>
    <row r="1684">
      <c r="A1684" s="24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5" t="n">
        <v>18.600834</v>
      </c>
    </row>
    <row r="1685">
      <c r="A1685" s="24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5" t="n">
        <v>16.140631</v>
      </c>
    </row>
    <row r="1686">
      <c r="A1686" s="24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5" t="n">
        <v>14.15061</v>
      </c>
    </row>
    <row r="1687">
      <c r="A1687" s="24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5" t="n">
        <v>12.499674</v>
      </c>
    </row>
    <row r="1688">
      <c r="A1688" s="24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5" t="n">
        <v>11.10645</v>
      </c>
    </row>
    <row r="1689">
      <c r="A1689" s="24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5" t="n">
        <v>9.915922</v>
      </c>
    </row>
    <row r="1690">
      <c r="A1690" s="24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5" t="n">
        <v>8.888285</v>
      </c>
    </row>
    <row r="1691">
      <c r="A1691" s="24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5" t="n">
        <v>8.132998000000001</v>
      </c>
    </row>
    <row r="1692">
      <c r="A1692" s="24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5" t="n">
        <v>34.844181</v>
      </c>
    </row>
    <row r="1693">
      <c r="A1693" s="24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5" t="n">
        <v>28.713134</v>
      </c>
    </row>
    <row r="1694">
      <c r="A1694" s="24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5" t="n">
        <v>24.85052</v>
      </c>
    </row>
    <row r="1695">
      <c r="A1695" s="24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5" t="n">
        <v>30.572092</v>
      </c>
    </row>
    <row r="1696">
      <c r="A1696" s="24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5" t="n">
        <v>36.003954</v>
      </c>
    </row>
    <row r="1697">
      <c r="A1697" s="24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5" t="n">
        <v>54.599692</v>
      </c>
    </row>
    <row r="1698">
      <c r="A1698" s="24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5" t="n">
        <v>57.579125</v>
      </c>
    </row>
    <row r="1699">
      <c r="A1699" s="24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5" t="n">
        <v>43.396777</v>
      </c>
    </row>
    <row r="1700">
      <c r="A1700" s="24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5" t="n">
        <v>32.851607</v>
      </c>
    </row>
    <row r="1701">
      <c r="A1701" s="24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5" t="n">
        <v>25.668709</v>
      </c>
    </row>
    <row r="1702">
      <c r="A1702" s="24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5" t="n">
        <v>20.546898</v>
      </c>
    </row>
    <row r="1703">
      <c r="A1703" s="24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5" t="n">
        <v>17.915308</v>
      </c>
    </row>
    <row r="1704">
      <c r="A1704" s="24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5" t="n">
        <v>15.848427</v>
      </c>
    </row>
    <row r="1705">
      <c r="A1705" s="24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5" t="n">
        <v>14.1915</v>
      </c>
    </row>
    <row r="1706">
      <c r="A1706" s="24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5" t="n">
        <v>14.670167</v>
      </c>
    </row>
    <row r="1707">
      <c r="A1707" s="24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5" t="n">
        <v>26.446085</v>
      </c>
    </row>
    <row r="1708">
      <c r="A1708" s="24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5" t="n">
        <v>50.756929</v>
      </c>
    </row>
    <row r="1709">
      <c r="A1709" s="24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5" t="n">
        <v>39.577151</v>
      </c>
    </row>
    <row r="1710">
      <c r="A1710" s="24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5" t="n">
        <v>28.914915</v>
      </c>
    </row>
    <row r="1711">
      <c r="A1711" s="24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5" t="n">
        <v>22.257069</v>
      </c>
    </row>
    <row r="1712">
      <c r="A1712" s="24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5" t="n">
        <v>17.946171</v>
      </c>
    </row>
    <row r="1713">
      <c r="A1713" s="24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5" t="n">
        <v>15.000599</v>
      </c>
    </row>
    <row r="1714">
      <c r="A1714" s="24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5" t="n">
        <v>14.05387</v>
      </c>
    </row>
    <row r="1715">
      <c r="A1715" s="24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5" t="n">
        <v>11.570346</v>
      </c>
    </row>
    <row r="1716">
      <c r="A1716" s="24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5" t="n">
        <v>9.557822</v>
      </c>
    </row>
    <row r="1717">
      <c r="A1717" s="24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5" t="n">
        <v>8.567921999999999</v>
      </c>
    </row>
    <row r="1718">
      <c r="A1718" s="24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5" t="n">
        <v>7.464598</v>
      </c>
    </row>
    <row r="1719">
      <c r="A1719" s="24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5" t="n">
        <v>34.055608</v>
      </c>
    </row>
    <row r="1720">
      <c r="A1720" s="24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5" t="n">
        <v>33.435648</v>
      </c>
    </row>
    <row r="1721">
      <c r="A1721" s="24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5" t="n">
        <v>27.372164</v>
      </c>
    </row>
    <row r="1722">
      <c r="A1722" s="24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5" t="n">
        <v>21.360378</v>
      </c>
    </row>
    <row r="1723">
      <c r="A1723" s="24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5" t="n">
        <v>16.626065</v>
      </c>
    </row>
    <row r="1724">
      <c r="A1724" s="24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5" t="n">
        <v>13.865992</v>
      </c>
    </row>
    <row r="1725">
      <c r="A1725" s="24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5" t="n">
        <v>11.230988</v>
      </c>
    </row>
    <row r="1726">
      <c r="A1726" s="24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5" t="n">
        <v>9.348069000000001</v>
      </c>
    </row>
    <row r="1727">
      <c r="A1727" s="24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5" t="n">
        <v>20.938392</v>
      </c>
    </row>
    <row r="1728">
      <c r="A1728" s="24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5" t="n">
        <v>25.946745</v>
      </c>
    </row>
    <row r="1729">
      <c r="A1729" s="24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5" t="n">
        <v>22.039383</v>
      </c>
    </row>
    <row r="1730">
      <c r="A1730" s="24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5" t="n">
        <v>27.340926</v>
      </c>
    </row>
    <row r="1731">
      <c r="A1731" s="24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5" t="n">
        <v>80.64891</v>
      </c>
    </row>
    <row r="1732">
      <c r="A1732" s="24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5" t="n">
        <v>120.117372</v>
      </c>
    </row>
    <row r="1733">
      <c r="A1733" s="24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5" t="n">
        <v>137.149068</v>
      </c>
    </row>
    <row r="1734">
      <c r="A1734" s="24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5" t="n">
        <v>109.88019</v>
      </c>
    </row>
    <row r="1735">
      <c r="A1735" s="24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5" t="n">
        <v>89.9627</v>
      </c>
    </row>
    <row r="1736">
      <c r="A1736" s="24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5" t="n">
        <v>68.877397</v>
      </c>
    </row>
    <row r="1737">
      <c r="A1737" s="24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5" t="n">
        <v>53.146076</v>
      </c>
    </row>
    <row r="1738">
      <c r="A1738" s="24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5" t="n">
        <v>43.696293</v>
      </c>
    </row>
    <row r="1739">
      <c r="A1739" s="24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5" t="n">
        <v>35.670748</v>
      </c>
    </row>
    <row r="1740">
      <c r="A1740" s="24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5" t="n">
        <v>29.944343</v>
      </c>
    </row>
    <row r="1741">
      <c r="A1741" s="24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5" t="n">
        <v>39.613482</v>
      </c>
    </row>
    <row r="1742">
      <c r="A1742" s="24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5" t="n">
        <v>61.03392</v>
      </c>
    </row>
    <row r="1743">
      <c r="A1743" s="24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5" t="n">
        <v>50.543977</v>
      </c>
    </row>
    <row r="1744">
      <c r="A1744" s="24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5" t="n">
        <v>77.617699</v>
      </c>
    </row>
    <row r="1745">
      <c r="A1745" s="24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5" t="n">
        <v>67.525273</v>
      </c>
    </row>
    <row r="1746">
      <c r="A1746" s="24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5" t="n">
        <v>88.778773</v>
      </c>
    </row>
    <row r="1747">
      <c r="A1747" s="24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5" t="n">
        <v>127.117939</v>
      </c>
    </row>
    <row r="1748">
      <c r="A1748" s="24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5" t="n">
        <v>111.581822</v>
      </c>
    </row>
    <row r="1749">
      <c r="A1749" s="24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5" t="n">
        <v>120.101006</v>
      </c>
    </row>
    <row r="1750">
      <c r="A1750" s="24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5" t="n">
        <v>110.755596</v>
      </c>
    </row>
    <row r="1751">
      <c r="A1751" s="24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5" t="n">
        <v>139.797364</v>
      </c>
    </row>
    <row r="1752">
      <c r="A1752" s="24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5" t="n">
        <v>147.622822</v>
      </c>
    </row>
    <row r="1753">
      <c r="A1753" s="24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5" t="n">
        <v>156.076612</v>
      </c>
    </row>
    <row r="1754">
      <c r="A1754" s="24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5" t="n">
        <v>162.377137</v>
      </c>
    </row>
    <row r="1755">
      <c r="A1755" s="24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5" t="n">
        <v>159.984162</v>
      </c>
    </row>
    <row r="1756">
      <c r="A1756" s="24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5" t="n">
        <v>173.782545</v>
      </c>
    </row>
    <row r="1757">
      <c r="A1757" s="24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5" t="n">
        <v>167.325623</v>
      </c>
    </row>
    <row r="1758">
      <c r="A1758" s="24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5" t="n">
        <v>131.244037</v>
      </c>
    </row>
    <row r="1759">
      <c r="A1759" s="24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5" t="n">
        <v>104.876888</v>
      </c>
    </row>
    <row r="1760">
      <c r="A1760" s="24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5" t="n">
        <v>124.530827</v>
      </c>
    </row>
    <row r="1761">
      <c r="A1761" s="24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5" t="n">
        <v>121.421749</v>
      </c>
    </row>
    <row r="1762">
      <c r="A1762" s="24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5" t="n">
        <v>104.874962</v>
      </c>
    </row>
    <row r="1763">
      <c r="A1763" s="24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5" t="n">
        <v>106.252693</v>
      </c>
    </row>
    <row r="1764">
      <c r="A1764" s="24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5" t="n">
        <v>115.9843</v>
      </c>
    </row>
    <row r="1765">
      <c r="A1765" s="24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5" t="n">
        <v>97.651506</v>
      </c>
    </row>
    <row r="1766">
      <c r="A1766" s="24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5" t="n">
        <v>83.12269499999999</v>
      </c>
    </row>
    <row r="1767">
      <c r="A1767" s="24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5" t="n">
        <v>69.603809</v>
      </c>
    </row>
    <row r="1768">
      <c r="A1768" s="24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5" t="n">
        <v>58.304389</v>
      </c>
    </row>
    <row r="1769">
      <c r="A1769" s="24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5" t="n">
        <v>57.83474</v>
      </c>
    </row>
    <row r="1770">
      <c r="A1770" s="24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5" t="n">
        <v>53.416924</v>
      </c>
    </row>
    <row r="1771">
      <c r="A1771" s="24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5" t="n">
        <v>46.110737</v>
      </c>
    </row>
    <row r="1772">
      <c r="A1772" s="24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5" t="n">
        <v>38.184137</v>
      </c>
    </row>
    <row r="1773">
      <c r="A1773" s="24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5" t="n">
        <v>31.84406</v>
      </c>
    </row>
    <row r="1774">
      <c r="A1774" s="24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5" t="n">
        <v>28.931063</v>
      </c>
    </row>
    <row r="1775">
      <c r="A1775" s="24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5" t="n">
        <v>24.614043</v>
      </c>
    </row>
    <row r="1776">
      <c r="A1776" s="24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5" t="n">
        <v>22.319601</v>
      </c>
    </row>
    <row r="1777">
      <c r="A1777" s="24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5" t="n">
        <v>23.729135</v>
      </c>
    </row>
    <row r="1778">
      <c r="A1778" s="24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5" t="n">
        <v>38.05564</v>
      </c>
    </row>
    <row r="1779">
      <c r="A1779" s="24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5" t="n">
        <v>43.020385</v>
      </c>
    </row>
    <row r="1780">
      <c r="A1780" s="24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5" t="n">
        <v>38.66955</v>
      </c>
    </row>
    <row r="1781">
      <c r="A1781" s="24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5" t="n">
        <v>54.784614</v>
      </c>
    </row>
    <row r="1782">
      <c r="A1782" s="24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5" t="n">
        <v>74.813209</v>
      </c>
    </row>
    <row r="1783">
      <c r="A1783" s="24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5" t="n">
        <v>61.847711</v>
      </c>
    </row>
    <row r="1784">
      <c r="A1784" s="24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5" t="n">
        <v>47.303119</v>
      </c>
    </row>
    <row r="1785">
      <c r="A1785" s="24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5" t="n">
        <v>38.666384</v>
      </c>
    </row>
    <row r="1786">
      <c r="A1786" s="24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5" t="n">
        <v>38.449507</v>
      </c>
    </row>
    <row r="1787">
      <c r="A1787" s="24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5" t="n">
        <v>39.067819</v>
      </c>
    </row>
    <row r="1788">
      <c r="A1788" s="24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5" t="n">
        <v>46.976802</v>
      </c>
    </row>
    <row r="1789">
      <c r="A1789" s="24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5" t="n">
        <v>43.553761</v>
      </c>
    </row>
    <row r="1790">
      <c r="A1790" s="24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5" t="n">
        <v>38.227976</v>
      </c>
    </row>
    <row r="1791">
      <c r="A1791" s="24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5" t="n">
        <v>54.557099</v>
      </c>
    </row>
    <row r="1792">
      <c r="A1792" s="24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5" t="n">
        <v>45.091889</v>
      </c>
    </row>
    <row r="1793">
      <c r="A1793" s="24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5" t="n">
        <v>59.038001</v>
      </c>
    </row>
    <row r="1794">
      <c r="A1794" s="24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5" t="n">
        <v>96.857501</v>
      </c>
    </row>
    <row r="1795">
      <c r="A1795" s="24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5" t="n">
        <v>82.197693</v>
      </c>
    </row>
    <row r="1796">
      <c r="A1796" s="24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5" t="n">
        <v>90.32323100000001</v>
      </c>
    </row>
    <row r="1797">
      <c r="A1797" s="24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5" t="n">
        <v>104.207394</v>
      </c>
    </row>
    <row r="1798">
      <c r="A1798" s="24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5" t="n">
        <v>113.170425</v>
      </c>
    </row>
    <row r="1799">
      <c r="A1799" s="24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5" t="n">
        <v>123.846454</v>
      </c>
    </row>
    <row r="1800">
      <c r="A1800" s="24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5" t="n">
        <v>121.191962</v>
      </c>
    </row>
    <row r="1801">
      <c r="A1801" s="24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5" t="n">
        <v>92.135823</v>
      </c>
    </row>
    <row r="1802">
      <c r="A1802" s="24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5" t="n">
        <v>78.49181</v>
      </c>
    </row>
    <row r="1803">
      <c r="A1803" s="24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5" t="n">
        <v>63.024487</v>
      </c>
    </row>
    <row r="1804">
      <c r="A1804" s="24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5" t="n">
        <v>104.0844</v>
      </c>
    </row>
    <row r="1805">
      <c r="A1805" s="24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5" t="n">
        <v>109.737</v>
      </c>
    </row>
    <row r="1806">
      <c r="A1806" s="24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5" t="n">
        <v>110.525146</v>
      </c>
    </row>
    <row r="1807">
      <c r="A1807" s="24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5" t="n">
        <v>140.329905</v>
      </c>
    </row>
    <row r="1808">
      <c r="A1808" s="24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5" t="n">
        <v>124.716207</v>
      </c>
    </row>
    <row r="1809">
      <c r="A1809" s="24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5" t="n">
        <v>117.691008</v>
      </c>
    </row>
    <row r="1810">
      <c r="A1810" s="24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5" t="n">
        <v>93.12179500000001</v>
      </c>
    </row>
    <row r="1811">
      <c r="A1811" s="24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5" t="n">
        <v>99.664441</v>
      </c>
    </row>
    <row r="1812">
      <c r="A1812" s="24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5" t="n">
        <v>106.771906</v>
      </c>
    </row>
    <row r="1813">
      <c r="A1813" s="24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5" t="n">
        <v>102.39767</v>
      </c>
    </row>
    <row r="1814">
      <c r="A1814" s="24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5" t="n">
        <v>133.535658</v>
      </c>
    </row>
    <row r="1815">
      <c r="A1815" s="24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5" t="n">
        <v>112.138832</v>
      </c>
    </row>
    <row r="1816">
      <c r="A1816" s="24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5" t="n">
        <v>88.419984</v>
      </c>
    </row>
    <row r="1817">
      <c r="A1817" s="24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5" t="n">
        <v>74.05439699999999</v>
      </c>
    </row>
    <row r="1818">
      <c r="A1818" s="24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5" t="n">
        <v>66.92422500000001</v>
      </c>
    </row>
    <row r="1819">
      <c r="A1819" s="24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5" t="n">
        <v>72.413752</v>
      </c>
    </row>
    <row r="1820">
      <c r="A1820" s="24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5" t="n">
        <v>116.595486</v>
      </c>
    </row>
    <row r="1821">
      <c r="A1821" s="24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5" t="n">
        <v>113.565207</v>
      </c>
    </row>
    <row r="1822">
      <c r="A1822" s="24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5" t="n">
        <v>90.324876</v>
      </c>
    </row>
    <row r="1823">
      <c r="A1823" s="24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5" t="n">
        <v>78.627256</v>
      </c>
    </row>
    <row r="1824">
      <c r="A1824" s="24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5" t="n">
        <v>65.426399</v>
      </c>
    </row>
    <row r="1825">
      <c r="A1825" s="24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5" t="n">
        <v>53.377237</v>
      </c>
    </row>
    <row r="1826">
      <c r="A1826" s="24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5" t="n">
        <v>88.474689</v>
      </c>
    </row>
    <row r="1827">
      <c r="A1827" s="24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5" t="n">
        <v>126.740704</v>
      </c>
    </row>
    <row r="1828">
      <c r="A1828" s="24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5" t="n">
        <v>114.381942</v>
      </c>
    </row>
    <row r="1829">
      <c r="A1829" s="24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5" t="n">
        <v>93.785421</v>
      </c>
    </row>
    <row r="1830">
      <c r="A1830" s="24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5" t="n">
        <v>92.342359</v>
      </c>
    </row>
    <row r="1831">
      <c r="A1831" s="24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5" t="n">
        <v>77.015703</v>
      </c>
    </row>
    <row r="1832">
      <c r="A1832" s="24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5" t="n">
        <v>74.39611600000001</v>
      </c>
    </row>
    <row r="1833">
      <c r="A1833" s="24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5" t="n">
        <v>114.869228</v>
      </c>
    </row>
    <row r="1834">
      <c r="A1834" s="24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5" t="n">
        <v>94.152912</v>
      </c>
    </row>
    <row r="1835">
      <c r="A1835" s="24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5" t="n">
        <v>73.706379</v>
      </c>
    </row>
    <row r="1836">
      <c r="A1836" s="24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5" t="n">
        <v>79.553912</v>
      </c>
    </row>
    <row r="1837">
      <c r="A1837" s="24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5" t="n">
        <v>80.652411</v>
      </c>
    </row>
    <row r="1838">
      <c r="A1838" s="24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5" t="n">
        <v>83.853004</v>
      </c>
    </row>
    <row r="1839">
      <c r="A1839" s="24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5" t="n">
        <v>74.967129</v>
      </c>
    </row>
    <row r="1840">
      <c r="A1840" s="24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5" t="n">
        <v>65.440337</v>
      </c>
    </row>
    <row r="1841">
      <c r="A1841" s="24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5" t="n">
        <v>63.148144</v>
      </c>
    </row>
    <row r="1842">
      <c r="A1842" s="24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5" t="n">
        <v>53.013017</v>
      </c>
    </row>
    <row r="1843">
      <c r="A1843" s="24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5" t="n">
        <v>48.635826</v>
      </c>
    </row>
    <row r="1844">
      <c r="A1844" s="24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5" t="n">
        <v>48.608842</v>
      </c>
    </row>
    <row r="1845">
      <c r="A1845" s="24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5" t="n">
        <v>40.609544</v>
      </c>
    </row>
    <row r="1846">
      <c r="A1846" s="24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5" t="n">
        <v>39.199465</v>
      </c>
    </row>
    <row r="1847">
      <c r="A1847" s="24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5" t="n">
        <v>34.398396</v>
      </c>
    </row>
    <row r="1848">
      <c r="A1848" s="24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5" t="n">
        <v>41.327831</v>
      </c>
    </row>
    <row r="1849">
      <c r="A1849" s="24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5" t="n">
        <v>35.083475</v>
      </c>
    </row>
    <row r="1850">
      <c r="A1850" s="24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5" t="n">
        <v>32.293224</v>
      </c>
    </row>
    <row r="1851">
      <c r="A1851" s="24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5" t="n">
        <v>41.170889</v>
      </c>
    </row>
    <row r="1852">
      <c r="A1852" s="24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5" t="n">
        <v>36.243884</v>
      </c>
    </row>
    <row r="1853">
      <c r="A1853" s="24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5" t="n">
        <v>41.508478</v>
      </c>
    </row>
    <row r="1854">
      <c r="A1854" s="24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5" t="n">
        <v>45.77668</v>
      </c>
    </row>
    <row r="1855">
      <c r="A1855" s="24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5" t="n">
        <v>54.352693</v>
      </c>
    </row>
    <row r="1856">
      <c r="A1856" s="24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5" t="n">
        <v>42.755564</v>
      </c>
    </row>
    <row r="1857">
      <c r="A1857" s="24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5" t="n">
        <v>37.374152</v>
      </c>
    </row>
    <row r="1858">
      <c r="A1858" s="24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5" t="n">
        <v>42.786146</v>
      </c>
    </row>
    <row r="1859">
      <c r="A1859" s="24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5" t="n">
        <v>36.460024</v>
      </c>
    </row>
    <row r="1860">
      <c r="A1860" s="24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5" t="n">
        <v>28.395675</v>
      </c>
    </row>
    <row r="1861">
      <c r="A1861" s="24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5" t="n">
        <v>25.500942</v>
      </c>
    </row>
    <row r="1862">
      <c r="A1862" s="24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5" t="n">
        <v>34.731541</v>
      </c>
    </row>
    <row r="1863">
      <c r="A1863" s="24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5" t="n">
        <v>38.256125</v>
      </c>
    </row>
    <row r="1864">
      <c r="A1864" s="24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5" t="n">
        <v>30.052288</v>
      </c>
    </row>
    <row r="1865">
      <c r="A1865" s="24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5" t="n">
        <v>28.403294</v>
      </c>
    </row>
    <row r="1866">
      <c r="A1866" s="24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5" t="n">
        <v>36.852989</v>
      </c>
    </row>
    <row r="1867">
      <c r="A1867" s="24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5" t="n">
        <v>33.687684</v>
      </c>
    </row>
    <row r="1868">
      <c r="A1868" s="24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5" t="n">
        <v>26.087667</v>
      </c>
    </row>
    <row r="1869">
      <c r="A1869" s="24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5" t="n">
        <v>24.543567</v>
      </c>
    </row>
    <row r="1870">
      <c r="A1870" s="24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5" t="n">
        <v>33.135846</v>
      </c>
    </row>
    <row r="1871">
      <c r="A1871" s="24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5" t="n">
        <v>32.85208</v>
      </c>
    </row>
    <row r="1872">
      <c r="A1872" s="24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5" t="n">
        <v>40.669479</v>
      </c>
    </row>
    <row r="1873">
      <c r="A1873" s="24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5" t="n">
        <v>43.078119</v>
      </c>
    </row>
    <row r="1874">
      <c r="A1874" s="24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5" t="n">
        <v>37.135478</v>
      </c>
    </row>
    <row r="1875">
      <c r="A1875" s="24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5" t="n">
        <v>36.52785</v>
      </c>
    </row>
    <row r="1876">
      <c r="A1876" s="24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5" t="n">
        <v>36.595051</v>
      </c>
    </row>
    <row r="1877">
      <c r="A1877" s="24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5" t="n">
        <v>43.809745</v>
      </c>
    </row>
    <row r="1878">
      <c r="A1878" s="24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5" t="n">
        <v>47.065377</v>
      </c>
    </row>
    <row r="1879">
      <c r="A1879" s="24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5" t="n">
        <v>52.277444</v>
      </c>
    </row>
    <row r="1880">
      <c r="A1880" s="24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5" t="n">
        <v>49.754342</v>
      </c>
    </row>
    <row r="1881">
      <c r="A1881" s="24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5" t="n">
        <v>48.867245</v>
      </c>
    </row>
    <row r="1882">
      <c r="A1882" s="24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5" t="n">
        <v>97.20014500000001</v>
      </c>
    </row>
    <row r="1883">
      <c r="A1883" s="24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5" t="n">
        <v>112.840189</v>
      </c>
    </row>
    <row r="1884">
      <c r="A1884" s="24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5" t="n">
        <v>96.67454499999999</v>
      </c>
    </row>
    <row r="1885">
      <c r="A1885" s="24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5" t="n">
        <v>85.297062</v>
      </c>
    </row>
    <row r="1886">
      <c r="A1886" s="24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5" t="n">
        <v>77.76797000000001</v>
      </c>
    </row>
    <row r="1887">
      <c r="A1887" s="24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5" t="n">
        <v>68.562378</v>
      </c>
    </row>
    <row r="1888">
      <c r="A1888" s="24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5" t="n">
        <v>55.309407</v>
      </c>
    </row>
    <row r="1889">
      <c r="A1889" s="24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5" t="n">
        <v>64.23174899999999</v>
      </c>
    </row>
    <row r="1890">
      <c r="A1890" s="24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5" t="n">
        <v>89.339122</v>
      </c>
    </row>
    <row r="1891">
      <c r="A1891" s="24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5" t="n">
        <v>102.407111</v>
      </c>
    </row>
    <row r="1892">
      <c r="A1892" s="24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5" t="n">
        <v>91.503005</v>
      </c>
    </row>
    <row r="1893">
      <c r="A1893" s="24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5" t="n">
        <v>73.578176</v>
      </c>
    </row>
    <row r="1894">
      <c r="A1894" s="24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5" t="n">
        <v>57.651928</v>
      </c>
    </row>
    <row r="1895">
      <c r="A1895" s="24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5" t="n">
        <v>45.525574</v>
      </c>
    </row>
    <row r="1896">
      <c r="A1896" s="24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5" t="n">
        <v>36.748858</v>
      </c>
    </row>
    <row r="1897">
      <c r="A1897" s="24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5" t="n">
        <v>30.284168</v>
      </c>
    </row>
    <row r="1898">
      <c r="A1898" s="24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5" t="n">
        <v>25.291117</v>
      </c>
    </row>
    <row r="1899">
      <c r="A1899" s="24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5" t="n">
        <v>23.839778</v>
      </c>
    </row>
    <row r="1900">
      <c r="A1900" s="24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5" t="n">
        <v>71.10800500000001</v>
      </c>
    </row>
    <row r="1901">
      <c r="A1901" s="24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5" t="n">
        <v>61.817526</v>
      </c>
    </row>
    <row r="1902">
      <c r="A1902" s="24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5" t="n">
        <v>75.13852900000001</v>
      </c>
    </row>
    <row r="1903">
      <c r="A1903" s="24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5" t="n">
        <v>60.673311</v>
      </c>
    </row>
    <row r="1904">
      <c r="A1904" s="24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5" t="n">
        <v>62.100122</v>
      </c>
    </row>
    <row r="1905">
      <c r="A1905" s="24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5" t="n">
        <v>49.294053</v>
      </c>
    </row>
    <row r="1906">
      <c r="A1906" s="24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5" t="n">
        <v>49.067715</v>
      </c>
    </row>
    <row r="1907">
      <c r="A1907" s="24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5" t="n">
        <v>41.844164</v>
      </c>
    </row>
    <row r="1908">
      <c r="A1908" s="24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5" t="n">
        <v>36.58852</v>
      </c>
    </row>
    <row r="1909">
      <c r="A1909" s="24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5" t="n">
        <v>33.042663</v>
      </c>
    </row>
    <row r="1910">
      <c r="A1910" s="24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5" t="n">
        <v>39.751369</v>
      </c>
    </row>
    <row r="1911">
      <c r="A1911" s="24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5" t="n">
        <v>44.441901</v>
      </c>
    </row>
    <row r="1912">
      <c r="A1912" s="24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5" t="n">
        <v>38.409742</v>
      </c>
    </row>
    <row r="1913">
      <c r="A1913" s="24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5" t="n">
        <v>31.006753</v>
      </c>
    </row>
    <row r="1914">
      <c r="A1914" s="24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5" t="n">
        <v>24.714489</v>
      </c>
    </row>
    <row r="1915">
      <c r="A1915" s="24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5" t="n">
        <v>45.651986</v>
      </c>
    </row>
    <row r="1916">
      <c r="A1916" s="24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5" t="n">
        <v>56.721036</v>
      </c>
    </row>
    <row r="1917">
      <c r="A1917" s="24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5" t="n">
        <v>50.768092</v>
      </c>
    </row>
    <row r="1918">
      <c r="A1918" s="24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5" t="n">
        <v>78.341098</v>
      </c>
    </row>
    <row r="1919">
      <c r="A1919" s="24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5" t="n">
        <v>89.323983</v>
      </c>
    </row>
    <row r="1920">
      <c r="A1920" s="24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5" t="n">
        <v>83.110063</v>
      </c>
    </row>
    <row r="1921">
      <c r="A1921" s="24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5" t="n">
        <v>67.313908</v>
      </c>
    </row>
    <row r="1922">
      <c r="A1922" s="24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5" t="n">
        <v>53.911191</v>
      </c>
    </row>
    <row r="1923">
      <c r="A1923" s="24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5" t="n">
        <v>46.736957</v>
      </c>
    </row>
    <row r="1924">
      <c r="A1924" s="24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5" t="n">
        <v>37.863247</v>
      </c>
    </row>
    <row r="1925">
      <c r="A1925" s="24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5" t="n">
        <v>32.571119</v>
      </c>
    </row>
    <row r="1926">
      <c r="A1926" s="24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5" t="n">
        <v>27.202612</v>
      </c>
    </row>
    <row r="1927">
      <c r="A1927" s="24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5" t="n">
        <v>39.515025</v>
      </c>
    </row>
    <row r="1928">
      <c r="A1928" s="24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5" t="n">
        <v>45.496201</v>
      </c>
    </row>
    <row r="1929">
      <c r="A1929" s="24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5" t="n">
        <v>39.217553</v>
      </c>
    </row>
    <row r="1930">
      <c r="A1930" s="24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5" t="n">
        <v>56.639433</v>
      </c>
    </row>
    <row r="1931">
      <c r="A1931" s="24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5" t="n">
        <v>60.243131</v>
      </c>
    </row>
    <row r="1932">
      <c r="A1932" s="24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5" t="n">
        <v>47.714828</v>
      </c>
    </row>
    <row r="1933">
      <c r="A1933" s="24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5" t="n">
        <v>43.924441</v>
      </c>
    </row>
    <row r="1934">
      <c r="A1934" s="24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5" t="n">
        <v>39.067083</v>
      </c>
    </row>
    <row r="1935">
      <c r="A1935" s="24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5" t="n">
        <v>50.516634</v>
      </c>
    </row>
    <row r="1936">
      <c r="A1936" s="24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5" t="n">
        <v>74.842555</v>
      </c>
    </row>
    <row r="1937">
      <c r="A1937" s="24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5" t="n">
        <v>89.216387</v>
      </c>
    </row>
    <row r="1938">
      <c r="A1938" s="24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5" t="n">
        <v>68.27421099999999</v>
      </c>
    </row>
    <row r="1939">
      <c r="A1939" s="24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5" t="n">
        <v>65.59383699999999</v>
      </c>
    </row>
    <row r="1940">
      <c r="A1940" s="24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5" t="n">
        <v>55.857935</v>
      </c>
    </row>
    <row r="1941">
      <c r="A1941" s="24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5" t="n">
        <v>55.521055</v>
      </c>
    </row>
    <row r="1942">
      <c r="A1942" s="24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5" t="n">
        <v>52.633419</v>
      </c>
    </row>
    <row r="1943">
      <c r="A1943" s="24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5" t="n">
        <v>72.388659</v>
      </c>
    </row>
    <row r="1944">
      <c r="A1944" s="24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5" t="n">
        <v>77.255481</v>
      </c>
    </row>
    <row r="1945">
      <c r="A1945" s="24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5" t="n">
        <v>62.665594</v>
      </c>
    </row>
    <row r="1946">
      <c r="A1946" s="24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5" t="n">
        <v>54.99007</v>
      </c>
    </row>
    <row r="1947">
      <c r="A1947" s="24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5" t="n">
        <v>61.011377</v>
      </c>
    </row>
    <row r="1948">
      <c r="A1948" s="24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5" t="n">
        <v>63.238906</v>
      </c>
    </row>
    <row r="1949">
      <c r="A1949" s="24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5" t="n">
        <v>58.949029</v>
      </c>
    </row>
    <row r="1950">
      <c r="A1950" s="24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5" t="n">
        <v>50.643201</v>
      </c>
    </row>
    <row r="1951">
      <c r="A1951" s="24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5" t="n">
        <v>52.767674</v>
      </c>
    </row>
    <row r="1952">
      <c r="A1952" s="24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5" t="n">
        <v>56.26202</v>
      </c>
    </row>
    <row r="1953">
      <c r="A1953" s="24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5" t="n">
        <v>48.457741</v>
      </c>
    </row>
    <row r="1954">
      <c r="A1954" s="24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5" t="n">
        <v>69.56843600000001</v>
      </c>
    </row>
    <row r="1955">
      <c r="A1955" s="24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5" t="n">
        <v>78.759462</v>
      </c>
    </row>
    <row r="1956">
      <c r="A1956" s="24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5" t="n">
        <v>73.710598</v>
      </c>
    </row>
    <row r="1957">
      <c r="A1957" s="24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5" t="n">
        <v>56.46176</v>
      </c>
    </row>
    <row r="1958">
      <c r="A1958" s="24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5" t="n">
        <v>43.592551</v>
      </c>
    </row>
    <row r="1959">
      <c r="A1959" s="24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5" t="n">
        <v>35.972641</v>
      </c>
    </row>
    <row r="1960">
      <c r="A1960" s="24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5" t="n">
        <v>29.205543</v>
      </c>
    </row>
    <row r="1961">
      <c r="A1961" s="24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5" t="n">
        <v>24.439439</v>
      </c>
    </row>
    <row r="1962">
      <c r="A1962" s="24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5" t="n">
        <v>20.43358</v>
      </c>
    </row>
    <row r="1963">
      <c r="A1963" s="24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5" t="n">
        <v>17.250323</v>
      </c>
    </row>
    <row r="1964">
      <c r="A1964" s="24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5" t="n">
        <v>14.754455</v>
      </c>
    </row>
    <row r="1965">
      <c r="A1965" s="24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5" t="n">
        <v>12.72665</v>
      </c>
    </row>
    <row r="1966">
      <c r="A1966" s="24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5" t="n">
        <v>11.064958</v>
      </c>
    </row>
    <row r="1967">
      <c r="A1967" s="24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5" t="n">
        <v>9.686419000000001</v>
      </c>
    </row>
    <row r="1968">
      <c r="A1968" s="24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5" t="n">
        <v>8.665049</v>
      </c>
    </row>
    <row r="1969">
      <c r="A1969" s="24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5" t="n">
        <v>32.760023</v>
      </c>
    </row>
    <row r="1970">
      <c r="A1970" s="24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5" t="n">
        <v>83.52341300000001</v>
      </c>
    </row>
    <row r="1971">
      <c r="A1971" s="24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5" t="n">
        <v>79.07180700000001</v>
      </c>
    </row>
    <row r="1972">
      <c r="A1972" s="24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5" t="n">
        <v>70.34040299999999</v>
      </c>
    </row>
    <row r="1973">
      <c r="A1973" s="24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5" t="n">
        <v>99.485077</v>
      </c>
    </row>
    <row r="1974">
      <c r="A1974" s="24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5" t="n">
        <v>92.058635</v>
      </c>
    </row>
    <row r="1975">
      <c r="A1975" s="24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5" t="n">
        <v>124.466484</v>
      </c>
    </row>
    <row r="1976">
      <c r="A1976" s="24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5" t="n">
        <v>108.154979</v>
      </c>
    </row>
    <row r="1977">
      <c r="A1977" s="24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5" t="n">
        <v>86.574251</v>
      </c>
    </row>
    <row r="1978">
      <c r="A1978" s="24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5" t="n">
        <v>71.469127</v>
      </c>
    </row>
    <row r="1979">
      <c r="A1979" s="24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5" t="n">
        <v>100.373689</v>
      </c>
    </row>
    <row r="1980">
      <c r="A1980" s="24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5" t="n">
        <v>90.62652</v>
      </c>
    </row>
    <row r="1981">
      <c r="A1981" s="24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5" t="n">
        <v>80.74907399999999</v>
      </c>
    </row>
    <row r="1982">
      <c r="A1982" s="24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5" t="n">
        <v>96.46695</v>
      </c>
    </row>
    <row r="1983">
      <c r="A1983" s="24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5" t="n">
        <v>133.651321</v>
      </c>
    </row>
    <row r="1984">
      <c r="A1984" s="24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5" t="n">
        <v>168.605701</v>
      </c>
    </row>
    <row r="1985">
      <c r="A1985" s="24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5" t="n">
        <v>179.944944</v>
      </c>
    </row>
    <row r="1986">
      <c r="A1986" s="24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5" t="n">
        <v>182.12767</v>
      </c>
    </row>
    <row r="1987">
      <c r="A1987" s="24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5" t="n">
        <v>197.162163</v>
      </c>
    </row>
    <row r="1988">
      <c r="A1988" s="24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5" t="n">
        <v>203.494062</v>
      </c>
    </row>
    <row r="1989">
      <c r="A1989" s="24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5" t="n">
        <v>205.616679</v>
      </c>
    </row>
    <row r="1990">
      <c r="A1990" s="24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5" t="n">
        <v>229.303894</v>
      </c>
    </row>
    <row r="1991">
      <c r="A1991" s="24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5" t="n">
        <v>231.644762</v>
      </c>
    </row>
    <row r="1992">
      <c r="A1992" s="24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5" t="n">
        <v>225.802882</v>
      </c>
    </row>
    <row r="1993">
      <c r="A1993" s="24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5" t="n">
        <v>219.242318</v>
      </c>
    </row>
    <row r="1994">
      <c r="A1994" s="24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5" t="n">
        <v>367.98006</v>
      </c>
    </row>
    <row r="1995">
      <c r="A1995" s="24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5" t="n">
        <v>516.794687</v>
      </c>
    </row>
    <row r="1996">
      <c r="A1996" s="24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5" t="n">
        <v>420.870095</v>
      </c>
    </row>
    <row r="1997">
      <c r="A1997" s="24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5" t="n">
        <v>302.633647</v>
      </c>
    </row>
    <row r="1998">
      <c r="A1998" s="24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5" t="n">
        <v>255.072294</v>
      </c>
    </row>
    <row r="1999">
      <c r="A1999" s="24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5" t="n">
        <v>246.145516</v>
      </c>
    </row>
    <row r="2000">
      <c r="A2000" s="24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5" t="n">
        <v>238.734823</v>
      </c>
    </row>
    <row r="2001">
      <c r="A2001" s="24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5" t="n">
        <v>232.161437</v>
      </c>
    </row>
    <row r="2002">
      <c r="A2002" s="24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5" t="n">
        <v>192.33474</v>
      </c>
    </row>
    <row r="2003">
      <c r="A2003" s="24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5" t="n">
        <v>171.833375</v>
      </c>
    </row>
    <row r="2004">
      <c r="A2004" s="24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5" t="n">
        <v>184.872292</v>
      </c>
    </row>
    <row r="2005">
      <c r="A2005" s="24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5" t="n">
        <v>204.186137</v>
      </c>
    </row>
    <row r="2006">
      <c r="A2006" s="24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5" t="n">
        <v>225.783591</v>
      </c>
    </row>
    <row r="2007">
      <c r="A2007" s="24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5" t="n">
        <v>244.102255</v>
      </c>
    </row>
    <row r="2008">
      <c r="A2008" s="24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5" t="n">
        <v>258.851618</v>
      </c>
    </row>
    <row r="2009">
      <c r="A2009" s="24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5" t="n">
        <v>254.469823</v>
      </c>
    </row>
    <row r="2010">
      <c r="A2010" s="24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5" t="n">
        <v>342.350892</v>
      </c>
    </row>
    <row r="2011">
      <c r="A2011" s="24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5" t="n">
        <v>366.353763</v>
      </c>
    </row>
    <row r="2012">
      <c r="A2012" s="24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5" t="n">
        <v>276.60032</v>
      </c>
    </row>
    <row r="2013">
      <c r="A2013" s="24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5" t="n">
        <v>241.164923</v>
      </c>
    </row>
    <row r="2014">
      <c r="A2014" s="24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5" t="n">
        <v>210.366089</v>
      </c>
    </row>
    <row r="2015">
      <c r="A2015" s="24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5" t="n">
        <v>163.78199</v>
      </c>
    </row>
    <row r="2016">
      <c r="A2016" s="24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5" t="n">
        <v>129.445699</v>
      </c>
    </row>
    <row r="2017">
      <c r="A2017" s="24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5" t="n">
        <v>104.898928</v>
      </c>
    </row>
    <row r="2018">
      <c r="A2018" s="24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5" t="n">
        <v>86.23981499999999</v>
      </c>
    </row>
    <row r="2019">
      <c r="A2019" s="24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5" t="n">
        <v>92.600319</v>
      </c>
    </row>
    <row r="2020">
      <c r="A2020" s="24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5" t="n">
        <v>77.380111</v>
      </c>
    </row>
    <row r="2021">
      <c r="A2021" s="24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5" t="n">
        <v>63.704311</v>
      </c>
    </row>
    <row r="2022">
      <c r="A2022" s="24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5" t="n">
        <v>53.551895</v>
      </c>
    </row>
    <row r="2023">
      <c r="A2023" s="24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5" t="n">
        <v>45.663137</v>
      </c>
    </row>
    <row r="2024">
      <c r="A2024" s="24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5" t="n">
        <v>39.942209</v>
      </c>
    </row>
    <row r="2025">
      <c r="A2025" s="24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5" t="n">
        <v>34.677606</v>
      </c>
    </row>
    <row r="2026">
      <c r="A2026" s="24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5" t="n">
        <v>32.244851</v>
      </c>
    </row>
    <row r="2027">
      <c r="A2027" s="24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5" t="n">
        <v>84.248513</v>
      </c>
    </row>
    <row r="2028">
      <c r="A2028" s="24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5" t="n">
        <v>77.257566</v>
      </c>
    </row>
    <row r="2029">
      <c r="A2029" s="24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5" t="n">
        <v>58.581262</v>
      </c>
    </row>
    <row r="2030">
      <c r="A2030" s="24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5" t="n">
        <v>46.065626</v>
      </c>
    </row>
    <row r="2031">
      <c r="A2031" s="24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5" t="n">
        <v>37.381008</v>
      </c>
    </row>
    <row r="2032">
      <c r="A2032" s="24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5" t="n">
        <v>31.026409</v>
      </c>
    </row>
    <row r="2033">
      <c r="A2033" s="24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5" t="n">
        <v>44.823422</v>
      </c>
    </row>
    <row r="2034">
      <c r="A2034" s="24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5" t="n">
        <v>115.787612</v>
      </c>
    </row>
    <row r="2035">
      <c r="A2035" s="24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5" t="n">
        <v>141.023714</v>
      </c>
    </row>
    <row r="2036">
      <c r="A2036" s="24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5" t="n">
        <v>144.7547</v>
      </c>
    </row>
    <row r="2037">
      <c r="A2037" s="24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5" t="n">
        <v>120.755953</v>
      </c>
    </row>
    <row r="2038">
      <c r="A2038" s="24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5" t="n">
        <v>95.743442</v>
      </c>
    </row>
    <row r="2039">
      <c r="A2039" s="24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5" t="n">
        <v>74.229344</v>
      </c>
    </row>
    <row r="2040">
      <c r="A2040" s="24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5" t="n">
        <v>58.57399</v>
      </c>
    </row>
    <row r="2041">
      <c r="A2041" s="24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5" t="n">
        <v>47.292774</v>
      </c>
    </row>
    <row r="2042">
      <c r="A2042" s="24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5" t="n">
        <v>38.898274</v>
      </c>
    </row>
    <row r="2043">
      <c r="A2043" s="24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5" t="n">
        <v>32.857585</v>
      </c>
    </row>
    <row r="2044">
      <c r="A2044" s="24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5" t="n">
        <v>28.003949</v>
      </c>
    </row>
    <row r="2045">
      <c r="A2045" s="24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5" t="n">
        <v>23.905247</v>
      </c>
    </row>
    <row r="2046">
      <c r="A2046" s="24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5" t="n">
        <v>20.585462</v>
      </c>
    </row>
    <row r="2047">
      <c r="A2047" s="24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5" t="n">
        <v>17.865781</v>
      </c>
    </row>
    <row r="2048">
      <c r="A2048" s="24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5" t="n">
        <v>15.801105</v>
      </c>
    </row>
    <row r="2049">
      <c r="A2049" s="24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5" t="n">
        <v>13.897151</v>
      </c>
    </row>
    <row r="2050">
      <c r="A2050" s="24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5" t="n">
        <v>12.246951</v>
      </c>
    </row>
    <row r="2051">
      <c r="A2051" s="24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5" t="n">
        <v>10.96648</v>
      </c>
    </row>
    <row r="2052">
      <c r="A2052" s="24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5" t="n">
        <v>9.806053</v>
      </c>
    </row>
    <row r="2053">
      <c r="A2053" s="24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5" t="n">
        <v>8.745255999999999</v>
      </c>
    </row>
    <row r="2054">
      <c r="A2054" s="24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5" t="n">
        <v>7.829749</v>
      </c>
    </row>
    <row r="2055">
      <c r="A2055" s="24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5" t="n">
        <v>7.040637</v>
      </c>
    </row>
    <row r="2056">
      <c r="A2056" s="24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5" t="n">
        <v>6.35055</v>
      </c>
    </row>
    <row r="2057">
      <c r="A2057" s="24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5" t="n">
        <v>6.224677</v>
      </c>
    </row>
    <row r="2058">
      <c r="A2058" s="24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5" t="n">
        <v>5.987431</v>
      </c>
    </row>
    <row r="2059">
      <c r="A2059" s="24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5" t="n">
        <v>7.582988</v>
      </c>
    </row>
    <row r="2060">
      <c r="A2060" s="24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5" t="n">
        <v>6.925626</v>
      </c>
    </row>
    <row r="2061">
      <c r="A2061" s="24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5" t="n">
        <v>5.77461</v>
      </c>
    </row>
    <row r="2062">
      <c r="A2062" s="24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5" t="n">
        <v>4.917523</v>
      </c>
    </row>
    <row r="2063">
      <c r="A2063" s="24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5" t="n">
        <v>4.27565</v>
      </c>
    </row>
    <row r="2064">
      <c r="A2064" s="24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5" t="n">
        <v>3.82811</v>
      </c>
    </row>
    <row r="2065">
      <c r="A2065" s="24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5" t="n">
        <v>3.394547</v>
      </c>
    </row>
    <row r="2066">
      <c r="A2066" s="24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5" t="n">
        <v>3.028483</v>
      </c>
    </row>
    <row r="2067">
      <c r="A2067" s="24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5" t="n">
        <v>2.743717</v>
      </c>
    </row>
    <row r="2068">
      <c r="A2068" s="24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5" t="n">
        <v>2.478844</v>
      </c>
    </row>
    <row r="2069">
      <c r="A2069" s="24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5" t="n">
        <v>2.238401</v>
      </c>
    </row>
    <row r="2070">
      <c r="A2070" s="24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5" t="n">
        <v>2.070718</v>
      </c>
    </row>
    <row r="2071">
      <c r="A2071" s="24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5" t="n">
        <v>1.879894</v>
      </c>
    </row>
    <row r="2072">
      <c r="A2072" s="24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5" t="n">
        <v>1.734216</v>
      </c>
    </row>
    <row r="2073">
      <c r="A2073" s="24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5" t="n">
        <v>1.590511</v>
      </c>
    </row>
    <row r="2074">
      <c r="A2074" s="24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5" t="n">
        <v>1.457513</v>
      </c>
    </row>
    <row r="2075">
      <c r="A2075" s="24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5" t="n">
        <v>1.326335</v>
      </c>
    </row>
    <row r="2076">
      <c r="A2076" s="24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5" t="n">
        <v>1.37352</v>
      </c>
    </row>
    <row r="2077">
      <c r="A2077" s="24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5" t="n">
        <v>1.809072</v>
      </c>
    </row>
    <row r="2078">
      <c r="A2078" s="24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5" t="n">
        <v>8.376472</v>
      </c>
    </row>
    <row r="2079">
      <c r="A2079" s="24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5" t="n">
        <v>6.680063</v>
      </c>
    </row>
    <row r="2080">
      <c r="A2080" s="24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5" t="n">
        <v>4.779099</v>
      </c>
    </row>
    <row r="2081">
      <c r="A2081" s="24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5" t="n">
        <v>20.377322</v>
      </c>
    </row>
    <row r="2082">
      <c r="A2082" s="24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5" t="n">
        <v>16.411504</v>
      </c>
    </row>
    <row r="2083">
      <c r="A2083" s="24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5" t="n">
        <v>15.023541</v>
      </c>
    </row>
    <row r="2084">
      <c r="A2084" s="24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5" t="n">
        <v>13.8345</v>
      </c>
    </row>
    <row r="2085">
      <c r="A2085" s="24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5" t="n">
        <v>12.813345</v>
      </c>
    </row>
    <row r="2086">
      <c r="A2086" s="24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5" t="n">
        <v>12.125106</v>
      </c>
    </row>
    <row r="2087">
      <c r="A2087" s="24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5" t="n">
        <v>9.537286999999999</v>
      </c>
    </row>
    <row r="2088">
      <c r="A2088" s="24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5" t="n">
        <v>7.410604</v>
      </c>
    </row>
    <row r="2089">
      <c r="A2089" s="24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5" t="n">
        <v>5.972175</v>
      </c>
    </row>
    <row r="2090">
      <c r="A2090" s="24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5" t="n">
        <v>13.297702</v>
      </c>
    </row>
    <row r="2091">
      <c r="A2091" s="24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5" t="n">
        <v>58.06083</v>
      </c>
    </row>
    <row r="2092">
      <c r="A2092" s="24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5" t="n">
        <v>81.13972200000001</v>
      </c>
    </row>
    <row r="2093">
      <c r="A2093" s="24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5" t="n">
        <v>128.647607</v>
      </c>
    </row>
    <row r="2094">
      <c r="A2094" s="24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5" t="n">
        <v>152.239671</v>
      </c>
    </row>
    <row r="2095">
      <c r="A2095" s="24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5" t="n">
        <v>157.801677</v>
      </c>
    </row>
    <row r="2096">
      <c r="A2096" s="24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5" t="n">
        <v>157.999936</v>
      </c>
    </row>
    <row r="2097">
      <c r="A2097" s="24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5" t="n">
        <v>133.337975</v>
      </c>
    </row>
    <row r="2098">
      <c r="A2098" s="24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5" t="n">
        <v>107.774475</v>
      </c>
    </row>
    <row r="2099">
      <c r="A2099" s="24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5" t="n">
        <v>83.88187499999999</v>
      </c>
    </row>
    <row r="2100">
      <c r="A2100" s="24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5" t="n">
        <v>65.330225</v>
      </c>
    </row>
    <row r="2101">
      <c r="A2101" s="24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5" t="n">
        <v>52.02773</v>
      </c>
    </row>
    <row r="2102">
      <c r="A2102" s="24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5" t="n">
        <v>42.221645</v>
      </c>
    </row>
    <row r="2103">
      <c r="A2103" s="24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5" t="n">
        <v>34.811894</v>
      </c>
    </row>
    <row r="2104">
      <c r="A2104" s="24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5" t="n">
        <v>29.091125</v>
      </c>
    </row>
    <row r="2105">
      <c r="A2105" s="24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5" t="n">
        <v>24.58856</v>
      </c>
    </row>
    <row r="2106">
      <c r="A2106" s="24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5" t="n">
        <v>20.984729</v>
      </c>
    </row>
    <row r="2107">
      <c r="A2107" s="24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5" t="n">
        <v>18.057522</v>
      </c>
    </row>
    <row r="2108">
      <c r="A2108" s="24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5" t="n">
        <v>15.649267</v>
      </c>
    </row>
    <row r="2109">
      <c r="A2109" s="24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5" t="n">
        <v>13.645839</v>
      </c>
    </row>
    <row r="2110">
      <c r="A2110" s="24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5" t="n">
        <v>11.963038</v>
      </c>
    </row>
    <row r="2111">
      <c r="A2111" s="24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5" t="n">
        <v>10.537597</v>
      </c>
    </row>
    <row r="2112">
      <c r="A2112" s="24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5" t="n">
        <v>9.321191000000001</v>
      </c>
    </row>
    <row r="2113">
      <c r="A2113" s="24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5" t="n">
        <v>8.561035</v>
      </c>
    </row>
    <row r="2114">
      <c r="A2114" s="24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5" t="n">
        <v>7.655219</v>
      </c>
    </row>
    <row r="2115">
      <c r="A2115" s="24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5" t="n">
        <v>7.020241</v>
      </c>
    </row>
    <row r="2116">
      <c r="A2116" s="24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5" t="n">
        <v>6.512756</v>
      </c>
    </row>
    <row r="2117">
      <c r="A2117" s="24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5" t="n">
        <v>5.785381</v>
      </c>
    </row>
    <row r="2118">
      <c r="A2118" s="24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5" t="n">
        <v>5.063706</v>
      </c>
    </row>
    <row r="2119">
      <c r="A2119" s="24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5" t="n">
        <v>4.490049</v>
      </c>
    </row>
    <row r="2120">
      <c r="A2120" s="24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5" t="n">
        <v>4.039431</v>
      </c>
    </row>
    <row r="2121">
      <c r="A2121" s="24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5" t="n">
        <v>3.641949</v>
      </c>
    </row>
    <row r="2122">
      <c r="A2122" s="24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5" t="n">
        <v>3.292603</v>
      </c>
    </row>
    <row r="2123">
      <c r="A2123" s="24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5" t="n">
        <v>2.983424</v>
      </c>
    </row>
    <row r="2124">
      <c r="A2124" s="24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5" t="n">
        <v>9.911878</v>
      </c>
    </row>
    <row r="2125">
      <c r="A2125" s="24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5" t="n">
        <v>8.405753000000001</v>
      </c>
    </row>
    <row r="2126">
      <c r="A2126" s="24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5" t="n">
        <v>6.508683</v>
      </c>
    </row>
    <row r="2127">
      <c r="A2127" s="24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5" t="n">
        <v>7.440372</v>
      </c>
    </row>
    <row r="2128">
      <c r="A2128" s="24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5" t="n">
        <v>11.034809</v>
      </c>
    </row>
    <row r="2129">
      <c r="A2129" s="24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5" t="n">
        <v>12.141111</v>
      </c>
    </row>
    <row r="2130">
      <c r="A2130" s="24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5" t="n">
        <v>9.567882000000001</v>
      </c>
    </row>
    <row r="2131">
      <c r="A2131" s="24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5" t="n">
        <v>7.304019</v>
      </c>
    </row>
    <row r="2132">
      <c r="A2132" s="24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5" t="n">
        <v>5.777465</v>
      </c>
    </row>
    <row r="2133">
      <c r="A2133" s="24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5" t="n">
        <v>25.074033</v>
      </c>
    </row>
    <row r="2134">
      <c r="A2134" s="24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5" t="n">
        <v>27.519015</v>
      </c>
    </row>
    <row r="2135">
      <c r="A2135" s="24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5" t="n">
        <v>35.748696</v>
      </c>
    </row>
    <row r="2136">
      <c r="A2136" s="24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5" t="n">
        <v>27.339552</v>
      </c>
    </row>
    <row r="2137">
      <c r="A2137" s="24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5" t="n">
        <v>20.069096</v>
      </c>
    </row>
    <row r="2138">
      <c r="A2138" s="24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5" t="n">
        <v>15.476252</v>
      </c>
    </row>
    <row r="2139">
      <c r="A2139" s="24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5" t="n">
        <v>13.448577</v>
      </c>
    </row>
    <row r="2140">
      <c r="A2140" s="24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5" t="n">
        <v>10.818524</v>
      </c>
    </row>
    <row r="2141">
      <c r="A2141" s="24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5" t="n">
        <v>11.123828</v>
      </c>
    </row>
    <row r="2142">
      <c r="A2142" s="24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5" t="n">
        <v>9.110059</v>
      </c>
    </row>
    <row r="2143">
      <c r="A2143" s="24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5" t="n">
        <v>10.922358</v>
      </c>
    </row>
    <row r="2144">
      <c r="A2144" s="24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5" t="n">
        <v>8.930680000000001</v>
      </c>
    </row>
    <row r="2145">
      <c r="A2145" s="24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5" t="n">
        <v>7.055529</v>
      </c>
    </row>
    <row r="2146">
      <c r="A2146" s="24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5" t="n">
        <v>5.765632</v>
      </c>
    </row>
    <row r="2147">
      <c r="A2147" s="24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5" t="n">
        <v>4.971199</v>
      </c>
    </row>
    <row r="2148">
      <c r="A2148" s="24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5" t="n">
        <v>10.301872</v>
      </c>
    </row>
    <row r="2149">
      <c r="A2149" s="24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5" t="n">
        <v>15.50865</v>
      </c>
    </row>
    <row r="2150">
      <c r="A2150" s="24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5" t="n">
        <v>16.383672</v>
      </c>
    </row>
    <row r="2151">
      <c r="A2151" s="24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5" t="n">
        <v>59.457235</v>
      </c>
    </row>
    <row r="2152">
      <c r="A2152" s="24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5" t="n">
        <v>104.307441</v>
      </c>
    </row>
    <row r="2153">
      <c r="A2153" s="24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5" t="n">
        <v>98.205972</v>
      </c>
    </row>
    <row r="2154">
      <c r="A2154" s="24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5" t="n">
        <v>72.841279</v>
      </c>
    </row>
    <row r="2155">
      <c r="A2155" s="24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5" t="n">
        <v>63.378645</v>
      </c>
    </row>
    <row r="2156">
      <c r="A2156" s="24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5" t="n">
        <v>105.464511</v>
      </c>
    </row>
    <row r="2157">
      <c r="A2157" s="24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5" t="n">
        <v>117.282264</v>
      </c>
    </row>
    <row r="2158">
      <c r="A2158" s="24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5" t="n">
        <v>143.131993</v>
      </c>
    </row>
    <row r="2159">
      <c r="A2159" s="24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5" t="n">
        <v>128.27434</v>
      </c>
    </row>
    <row r="2160">
      <c r="A2160" s="24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5" t="n">
        <v>96.06929700000001</v>
      </c>
    </row>
    <row r="2161">
      <c r="A2161" s="24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5" t="n">
        <v>83.122511</v>
      </c>
    </row>
    <row r="2162">
      <c r="A2162" s="24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5" t="n">
        <v>73.461528</v>
      </c>
    </row>
    <row r="2163">
      <c r="A2163" s="24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5" t="n">
        <v>68.864801</v>
      </c>
    </row>
    <row r="2164">
      <c r="A2164" s="24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5" t="n">
        <v>58.436141</v>
      </c>
    </row>
    <row r="2165">
      <c r="A2165" s="24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5" t="n">
        <v>46.603369</v>
      </c>
    </row>
    <row r="2166">
      <c r="A2166" s="24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5" t="n">
        <v>42.341987</v>
      </c>
    </row>
    <row r="2167">
      <c r="A2167" s="24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5" t="n">
        <v>37.663099</v>
      </c>
    </row>
    <row r="2168">
      <c r="A2168" s="24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5" t="n">
        <v>37.114728</v>
      </c>
    </row>
    <row r="2169">
      <c r="A2169" s="24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5" t="n">
        <v>30.36257</v>
      </c>
    </row>
    <row r="2170">
      <c r="A2170" s="24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5" t="n">
        <v>25.41224</v>
      </c>
    </row>
    <row r="2171">
      <c r="A2171" s="24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5" t="n">
        <v>21.13997</v>
      </c>
    </row>
    <row r="2172">
      <c r="A2172" s="24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5" t="n">
        <v>17.789353</v>
      </c>
    </row>
    <row r="2173">
      <c r="A2173" s="24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5" t="n">
        <v>15.179693</v>
      </c>
    </row>
    <row r="2174">
      <c r="A2174" s="24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5" t="n">
        <v>13.14412</v>
      </c>
    </row>
    <row r="2175">
      <c r="A2175" s="24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5" t="n">
        <v>11.443141</v>
      </c>
    </row>
    <row r="2176">
      <c r="A2176" s="24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5" t="n">
        <v>10.350682</v>
      </c>
    </row>
    <row r="2177">
      <c r="A2177" s="24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5" t="n">
        <v>9.063302999999999</v>
      </c>
    </row>
    <row r="2178">
      <c r="A2178" s="24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5" t="n">
        <v>8.514646000000001</v>
      </c>
    </row>
    <row r="2179">
      <c r="A2179" s="24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5" t="n">
        <v>8.51155</v>
      </c>
    </row>
    <row r="2180">
      <c r="A2180" s="24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5" t="n">
        <v>8.288299</v>
      </c>
    </row>
    <row r="2181">
      <c r="A2181" s="24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5" t="n">
        <v>37.66617</v>
      </c>
    </row>
    <row r="2182">
      <c r="A2182" s="24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5" t="n">
        <v>34.437363</v>
      </c>
    </row>
    <row r="2183">
      <c r="A2183" s="24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5" t="n">
        <v>28.778354</v>
      </c>
    </row>
    <row r="2184">
      <c r="A2184" s="24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5" t="n">
        <v>26.198534</v>
      </c>
    </row>
    <row r="2185">
      <c r="A2185" s="24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5" t="n">
        <v>26.376082</v>
      </c>
    </row>
    <row r="2186">
      <c r="A2186" s="24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5" t="n">
        <v>25.870701</v>
      </c>
    </row>
    <row r="2187">
      <c r="A2187" s="24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5" t="n">
        <v>30.958035</v>
      </c>
    </row>
    <row r="2188">
      <c r="A2188" s="24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5" t="n">
        <v>35.57451</v>
      </c>
    </row>
    <row r="2189">
      <c r="A2189" s="24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5" t="n">
        <v>29.735005</v>
      </c>
    </row>
    <row r="2190">
      <c r="A2190" s="24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5" t="n">
        <v>32.207977</v>
      </c>
    </row>
    <row r="2191">
      <c r="A2191" s="24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5" t="n">
        <v>43.853137</v>
      </c>
    </row>
    <row r="2192">
      <c r="A2192" s="24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5" t="n">
        <v>35.095619</v>
      </c>
    </row>
    <row r="2193">
      <c r="A2193" s="24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5" t="n">
        <v>54.084206</v>
      </c>
    </row>
    <row r="2194">
      <c r="A2194" s="24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5" t="n">
        <v>58.172209</v>
      </c>
    </row>
    <row r="2195">
      <c r="A2195" s="24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5" t="n">
        <v>48.738268</v>
      </c>
    </row>
    <row r="2196">
      <c r="A2196" s="24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5" t="n">
        <v>58.65346</v>
      </c>
    </row>
    <row r="2197">
      <c r="A2197" s="24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5" t="n">
        <v>81.63859600000001</v>
      </c>
    </row>
    <row r="2198">
      <c r="A2198" s="24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5" t="n">
        <v>75.689832</v>
      </c>
    </row>
    <row r="2199">
      <c r="A2199" s="24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5" t="n">
        <v>69.90823</v>
      </c>
    </row>
    <row r="2200">
      <c r="A2200" s="24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5" t="n">
        <v>53.73957</v>
      </c>
    </row>
    <row r="2201">
      <c r="A2201" s="24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5" t="n">
        <v>41.954699</v>
      </c>
    </row>
    <row r="2202">
      <c r="A2202" s="24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5" t="n">
        <v>52.605978</v>
      </c>
    </row>
    <row r="2203">
      <c r="A2203" s="24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5" t="n">
        <v>42.470208</v>
      </c>
    </row>
    <row r="2204">
      <c r="A2204" s="24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5" t="n">
        <v>32.928669</v>
      </c>
    </row>
    <row r="2205">
      <c r="A2205" s="24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5" t="n">
        <v>26.975164</v>
      </c>
    </row>
    <row r="2206">
      <c r="A2206" s="24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5" t="n">
        <v>25.477314</v>
      </c>
    </row>
    <row r="2207">
      <c r="A2207" s="24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5" t="n">
        <v>24.10986</v>
      </c>
    </row>
    <row r="2208">
      <c r="A2208" s="24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5" t="n">
        <v>19.764913</v>
      </c>
    </row>
    <row r="2209">
      <c r="A2209" s="24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5" t="n">
        <v>21.220372</v>
      </c>
    </row>
    <row r="2210">
      <c r="A2210" s="24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5" t="n">
        <v>19.650274</v>
      </c>
    </row>
    <row r="2211">
      <c r="A2211" s="24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5" t="n">
        <v>20.114845</v>
      </c>
    </row>
    <row r="2212">
      <c r="A2212" s="24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5" t="n">
        <v>16.688901</v>
      </c>
    </row>
    <row r="2213">
      <c r="A2213" s="24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5" t="n">
        <v>13.454652</v>
      </c>
    </row>
    <row r="2214">
      <c r="A2214" s="24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5" t="n">
        <v>11.128363</v>
      </c>
    </row>
    <row r="2215">
      <c r="A2215" s="24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5" t="n">
        <v>13.647239</v>
      </c>
    </row>
    <row r="2216">
      <c r="A2216" s="24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5" t="n">
        <v>11.477974</v>
      </c>
    </row>
    <row r="2217">
      <c r="A2217" s="24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5" t="n">
        <v>12.130585</v>
      </c>
    </row>
    <row r="2218">
      <c r="A2218" s="24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5" t="n">
        <v>14.310538</v>
      </c>
    </row>
    <row r="2219">
      <c r="A2219" s="24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5" t="n">
        <v>12.676957</v>
      </c>
    </row>
    <row r="2220">
      <c r="A2220" s="24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5" t="n">
        <v>10.543227</v>
      </c>
    </row>
    <row r="2221">
      <c r="A2221" s="24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5" t="n">
        <v>9.049110000000001</v>
      </c>
    </row>
    <row r="2222">
      <c r="A2222" s="24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5" t="n">
        <v>7.554787</v>
      </c>
    </row>
    <row r="2223">
      <c r="A2223" s="24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5" t="n">
        <v>14.537062</v>
      </c>
    </row>
    <row r="2224">
      <c r="A2224" s="24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5" t="n">
        <v>12.394021</v>
      </c>
    </row>
    <row r="2225">
      <c r="A2225" s="24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5" t="n">
        <v>14.257239</v>
      </c>
    </row>
    <row r="2226">
      <c r="A2226" s="24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5" t="n">
        <v>14.859399</v>
      </c>
    </row>
    <row r="2227">
      <c r="A2227" s="24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5" t="n">
        <v>34.815197</v>
      </c>
    </row>
    <row r="2228">
      <c r="A2228" s="24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5" t="n">
        <v>27.677255</v>
      </c>
    </row>
    <row r="2229">
      <c r="A2229" s="24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5" t="n">
        <v>75.628638</v>
      </c>
    </row>
    <row r="2230">
      <c r="A2230" s="24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5" t="n">
        <v>61.878005</v>
      </c>
    </row>
    <row r="2231">
      <c r="A2231" s="24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5" t="n">
        <v>44.322427</v>
      </c>
    </row>
    <row r="2232">
      <c r="A2232" s="24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5" t="n">
        <v>39.792088</v>
      </c>
    </row>
    <row r="2233">
      <c r="A2233" s="24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5" t="n">
        <v>31.608356</v>
      </c>
    </row>
    <row r="2234">
      <c r="A2234" s="24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5" t="n">
        <v>25.664472</v>
      </c>
    </row>
    <row r="2235">
      <c r="A2235" s="24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5" t="n">
        <v>27.089465</v>
      </c>
    </row>
    <row r="2236">
      <c r="A2236" s="24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5" t="n">
        <v>328.648835</v>
      </c>
    </row>
    <row r="2237">
      <c r="A2237" s="24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5" t="n">
        <v>444.14096</v>
      </c>
    </row>
    <row r="2238">
      <c r="A2238" s="24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5" t="n">
        <v>247.854643</v>
      </c>
    </row>
    <row r="2239">
      <c r="A2239" s="24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5" t="n">
        <v>190.57804</v>
      </c>
    </row>
    <row r="2240">
      <c r="A2240" s="24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5" t="n">
        <v>141.444643</v>
      </c>
    </row>
    <row r="2241">
      <c r="A2241" s="24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5" t="n">
        <v>105.420587</v>
      </c>
    </row>
    <row r="2242">
      <c r="A2242" s="24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5" t="n">
        <v>104.27448</v>
      </c>
    </row>
    <row r="2243">
      <c r="A2243" s="24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5" t="n">
        <v>140.384933</v>
      </c>
    </row>
    <row r="2244">
      <c r="A2244" s="24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5" t="n">
        <v>131.777647</v>
      </c>
    </row>
    <row r="2245">
      <c r="A2245" s="24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5" t="n">
        <v>159.485626</v>
      </c>
    </row>
    <row r="2246">
      <c r="A2246" s="24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5" t="n">
        <v>153.561291</v>
      </c>
    </row>
    <row r="2247">
      <c r="A2247" s="24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5" t="n">
        <v>138.173873</v>
      </c>
    </row>
    <row r="2248">
      <c r="A2248" s="24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5" t="n">
        <v>164.583378</v>
      </c>
    </row>
    <row r="2249">
      <c r="A2249" s="24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5" t="n">
        <v>180.473122</v>
      </c>
    </row>
    <row r="2250">
      <c r="A2250" s="24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5" t="n">
        <v>138.851431</v>
      </c>
    </row>
    <row r="2251">
      <c r="A2251" s="24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5" t="n">
        <v>109.385571</v>
      </c>
    </row>
    <row r="2252">
      <c r="A2252" s="24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5" t="n">
        <v>98.93547</v>
      </c>
    </row>
    <row r="2253">
      <c r="A2253" s="24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5" t="n">
        <v>79.234167</v>
      </c>
    </row>
    <row r="2254">
      <c r="A2254" s="24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5" t="n">
        <v>64.28198999999999</v>
      </c>
    </row>
    <row r="2255">
      <c r="A2255" s="24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5" t="n">
        <v>58.887702</v>
      </c>
    </row>
    <row r="2256">
      <c r="A2256" s="24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5" t="n">
        <v>48.684566</v>
      </c>
    </row>
    <row r="2257">
      <c r="A2257" s="24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5" t="n">
        <v>40.192847</v>
      </c>
    </row>
    <row r="2258">
      <c r="A2258" s="24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5" t="n">
        <v>34.03465</v>
      </c>
    </row>
    <row r="2259">
      <c r="A2259" s="24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5" t="n">
        <v>30.1911</v>
      </c>
    </row>
    <row r="2260">
      <c r="A2260" s="24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5" t="n">
        <v>25.923503</v>
      </c>
    </row>
    <row r="2261">
      <c r="A2261" s="24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5" t="n">
        <v>22.47557</v>
      </c>
    </row>
    <row r="2262">
      <c r="A2262" s="24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5" t="n">
        <v>20.709127</v>
      </c>
    </row>
    <row r="2263">
      <c r="A2263" s="24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5" t="n">
        <v>18.99719</v>
      </c>
    </row>
    <row r="2264">
      <c r="A2264" s="24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5" t="n">
        <v>16.699836</v>
      </c>
    </row>
    <row r="2265">
      <c r="A2265" s="24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5" t="n">
        <v>94.70792299999999</v>
      </c>
    </row>
    <row r="2266">
      <c r="A2266" s="24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5" t="n">
        <v>124.455215</v>
      </c>
    </row>
    <row r="2267">
      <c r="A2267" s="24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5" t="n">
        <v>130.159481</v>
      </c>
    </row>
    <row r="2268">
      <c r="A2268" s="24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5" t="n">
        <v>116.667127</v>
      </c>
    </row>
    <row r="2269">
      <c r="A2269" s="24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5" t="n">
        <v>153.540486</v>
      </c>
    </row>
    <row r="2270">
      <c r="A2270" s="24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5" t="n">
        <v>168.533267</v>
      </c>
    </row>
    <row r="2271">
      <c r="A2271" s="24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5" t="n">
        <v>151.558025</v>
      </c>
    </row>
    <row r="2272">
      <c r="A2272" s="24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5" t="n">
        <v>133.837941</v>
      </c>
    </row>
    <row r="2273">
      <c r="A2273" s="24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5" t="n">
        <v>119.070316</v>
      </c>
    </row>
    <row r="2274">
      <c r="A2274" s="24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5" t="n">
        <v>132.15684</v>
      </c>
    </row>
    <row r="2275">
      <c r="A2275" s="24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5" t="n">
        <v>104.835948</v>
      </c>
    </row>
    <row r="2276">
      <c r="A2276" s="24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5" t="n">
        <v>80.837715</v>
      </c>
    </row>
    <row r="2277">
      <c r="A2277" s="24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5" t="n">
        <v>80.468446</v>
      </c>
    </row>
    <row r="2278">
      <c r="A2278" s="24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5" t="n">
        <v>123.134027</v>
      </c>
    </row>
    <row r="2279">
      <c r="A2279" s="24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5" t="n">
        <v>122.029371</v>
      </c>
    </row>
    <row r="2280">
      <c r="A2280" s="24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5" t="n">
        <v>152.553621</v>
      </c>
    </row>
    <row r="2281">
      <c r="A2281" s="24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5" t="n">
        <v>151.706351</v>
      </c>
    </row>
    <row r="2282">
      <c r="A2282" s="24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5" t="n">
        <v>119.682329</v>
      </c>
    </row>
    <row r="2283">
      <c r="A2283" s="24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5" t="n">
        <v>100.763494</v>
      </c>
    </row>
    <row r="2284">
      <c r="A2284" s="24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5" t="n">
        <v>106.889082</v>
      </c>
    </row>
    <row r="2285">
      <c r="A2285" s="24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5" t="n">
        <v>89.080433</v>
      </c>
    </row>
    <row r="2286">
      <c r="A2286" s="24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5" t="n">
        <v>70.673063</v>
      </c>
    </row>
    <row r="2287">
      <c r="A2287" s="24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5" t="n">
        <v>59.155653</v>
      </c>
    </row>
    <row r="2288">
      <c r="A2288" s="24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5" t="n">
        <v>60.60869</v>
      </c>
    </row>
    <row r="2289">
      <c r="A2289" s="24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5" t="n">
        <v>61.253968</v>
      </c>
    </row>
    <row r="2290">
      <c r="A2290" s="24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5" t="n">
        <v>52.536826</v>
      </c>
    </row>
    <row r="2291">
      <c r="A2291" s="24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5" t="n">
        <v>53.872785</v>
      </c>
    </row>
    <row r="2292">
      <c r="A2292" s="24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5" t="n">
        <v>44.923448</v>
      </c>
    </row>
    <row r="2293">
      <c r="A2293" s="24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5" t="n">
        <v>41.3611</v>
      </c>
    </row>
    <row r="2294">
      <c r="A2294" s="24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5" t="n">
        <v>35.190823</v>
      </c>
    </row>
    <row r="2295">
      <c r="A2295" s="24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5" t="n">
        <v>28.930556</v>
      </c>
    </row>
    <row r="2296">
      <c r="A2296" s="24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5" t="n">
        <v>24.206397</v>
      </c>
    </row>
    <row r="2297">
      <c r="A2297" s="24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5" t="n">
        <v>28.420186</v>
      </c>
    </row>
    <row r="2298">
      <c r="A2298" s="24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5" t="n">
        <v>24.610944</v>
      </c>
    </row>
    <row r="2299">
      <c r="A2299" s="24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5" t="n">
        <v>21.012808</v>
      </c>
    </row>
    <row r="2300">
      <c r="A2300" s="24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5" t="n">
        <v>20.208108</v>
      </c>
    </row>
    <row r="2301">
      <c r="A2301" s="24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5" t="n">
        <v>43.160521</v>
      </c>
    </row>
    <row r="2302">
      <c r="A2302" s="24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5" t="n">
        <v>53.118524</v>
      </c>
    </row>
    <row r="2303">
      <c r="A2303" s="24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5" t="n">
        <v>41.857279</v>
      </c>
    </row>
    <row r="2304">
      <c r="A2304" s="24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5" t="n">
        <v>53.791228</v>
      </c>
    </row>
    <row r="2305">
      <c r="A2305" s="24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5" t="n">
        <v>53.329399</v>
      </c>
    </row>
    <row r="2306">
      <c r="A2306" s="24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5" t="n">
        <v>59.9755</v>
      </c>
    </row>
    <row r="2307">
      <c r="A2307" s="24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5" t="n">
        <v>50.410955</v>
      </c>
    </row>
    <row r="2308">
      <c r="A2308" s="24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5" t="n">
        <v>50.142326</v>
      </c>
    </row>
    <row r="2309">
      <c r="A2309" s="24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5" t="n">
        <v>57.015729</v>
      </c>
    </row>
    <row r="2310">
      <c r="A2310" s="24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5" t="n">
        <v>59.344432</v>
      </c>
    </row>
    <row r="2311">
      <c r="A2311" s="24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5" t="n">
        <v>61.510745</v>
      </c>
    </row>
    <row r="2312">
      <c r="A2312" s="24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5" t="n">
        <v>52.373331</v>
      </c>
    </row>
    <row r="2313">
      <c r="A2313" s="24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5" t="n">
        <v>72.10307</v>
      </c>
    </row>
    <row r="2314">
      <c r="A2314" s="24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5" t="n">
        <v>64.30954199999999</v>
      </c>
    </row>
    <row r="2315">
      <c r="A2315" s="24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5" t="n">
        <v>52.105227</v>
      </c>
    </row>
    <row r="2316">
      <c r="A2316" s="24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5" t="n">
        <v>58.321445</v>
      </c>
    </row>
    <row r="2317">
      <c r="A2317" s="24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5" t="n">
        <v>53.018269</v>
      </c>
    </row>
    <row r="2318">
      <c r="A2318" s="24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5" t="n">
        <v>65.959131</v>
      </c>
    </row>
    <row r="2319">
      <c r="A2319" s="24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5" t="n">
        <v>109.567917</v>
      </c>
    </row>
    <row r="2320">
      <c r="A2320" s="24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5" t="n">
        <v>126.134769</v>
      </c>
    </row>
    <row r="2321">
      <c r="A2321" s="24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5" t="n">
        <v>121.303132</v>
      </c>
    </row>
    <row r="2322">
      <c r="A2322" s="24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5" t="n">
        <v>124.402281</v>
      </c>
    </row>
    <row r="2323">
      <c r="A2323" s="24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5" t="n">
        <v>121.238096</v>
      </c>
    </row>
    <row r="2324">
      <c r="A2324" s="24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5" t="n">
        <v>109.651505</v>
      </c>
    </row>
    <row r="2325">
      <c r="A2325" s="24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5" t="n">
        <v>107.556882</v>
      </c>
    </row>
    <row r="2326">
      <c r="A2326" s="24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5" t="n">
        <v>83.765146</v>
      </c>
    </row>
    <row r="2327">
      <c r="A2327" s="24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5" t="n">
        <v>64.62815399999999</v>
      </c>
    </row>
    <row r="2328">
      <c r="A2328" s="24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5" t="n">
        <v>51.525758</v>
      </c>
    </row>
    <row r="2329">
      <c r="A2329" s="24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5" t="n">
        <v>41.949137</v>
      </c>
    </row>
    <row r="2330">
      <c r="A2330" s="24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5" t="n">
        <v>34.73821</v>
      </c>
    </row>
    <row r="2331">
      <c r="A2331" s="24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5" t="n">
        <v>30.379746</v>
      </c>
    </row>
    <row r="2332">
      <c r="A2332" s="24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5" t="n">
        <v>32.439254</v>
      </c>
    </row>
    <row r="2333">
      <c r="A2333" s="24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5" t="n">
        <v>29.520104</v>
      </c>
    </row>
    <row r="2334">
      <c r="A2334" s="24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5" t="n">
        <v>26.906987</v>
      </c>
    </row>
    <row r="2335">
      <c r="A2335" s="24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5" t="n">
        <v>22.408892</v>
      </c>
    </row>
    <row r="2336">
      <c r="A2336" s="24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5" t="n">
        <v>44.454257</v>
      </c>
    </row>
    <row r="2337">
      <c r="A2337" s="24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5" t="n">
        <v>52.078964</v>
      </c>
    </row>
    <row r="2338">
      <c r="A2338" s="24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5" t="n">
        <v>44.870853</v>
      </c>
    </row>
    <row r="2339">
      <c r="A2339" s="24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5" t="n">
        <v>35.611114</v>
      </c>
    </row>
    <row r="2340">
      <c r="A2340" s="24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5" t="n">
        <v>29.186595</v>
      </c>
    </row>
    <row r="2341">
      <c r="A2341" s="24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5" t="n">
        <v>36.833921</v>
      </c>
    </row>
    <row r="2342">
      <c r="A2342" s="24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5" t="n">
        <v>30.874982</v>
      </c>
    </row>
    <row r="2343">
      <c r="A2343" s="24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5" t="n">
        <v>30.773928</v>
      </c>
    </row>
    <row r="2344">
      <c r="A2344" s="24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5" t="n">
        <v>33.673504</v>
      </c>
    </row>
    <row r="2345">
      <c r="A2345" s="24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5" t="n">
        <v>36.559745</v>
      </c>
    </row>
    <row r="2346">
      <c r="A2346" s="24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5" t="n">
        <v>37.573559</v>
      </c>
    </row>
    <row r="2347">
      <c r="A2347" s="24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5" t="n">
        <v>36.141036</v>
      </c>
    </row>
    <row r="2348">
      <c r="A2348" s="24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5" t="n">
        <v>38.818544</v>
      </c>
    </row>
    <row r="2349">
      <c r="A2349" s="24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5" t="n">
        <v>86.129614</v>
      </c>
    </row>
    <row r="2350">
      <c r="A2350" s="24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5" t="n">
        <v>73.64978600000001</v>
      </c>
    </row>
    <row r="2351">
      <c r="A2351" s="24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5" t="n">
        <v>55.449178</v>
      </c>
    </row>
    <row r="2352">
      <c r="A2352" s="24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5" t="n">
        <v>42.843802</v>
      </c>
    </row>
    <row r="2353">
      <c r="A2353" s="24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5" t="n">
        <v>33.552397</v>
      </c>
    </row>
    <row r="2354">
      <c r="A2354" s="24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5" t="n">
        <v>29.79087</v>
      </c>
    </row>
    <row r="2355">
      <c r="A2355" s="24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5" t="n">
        <v>24.491207</v>
      </c>
    </row>
    <row r="2356">
      <c r="A2356" s="24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5" t="n">
        <v>105.79281</v>
      </c>
    </row>
    <row r="2357">
      <c r="A2357" s="24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5" t="n">
        <v>133.615025</v>
      </c>
    </row>
    <row r="2358">
      <c r="A2358" s="24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5" t="n">
        <v>135.013281</v>
      </c>
    </row>
    <row r="2359">
      <c r="A2359" s="24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5" t="n">
        <v>128.99665</v>
      </c>
    </row>
    <row r="2360">
      <c r="A2360" s="24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5" t="n">
        <v>100.111945</v>
      </c>
    </row>
    <row r="2361">
      <c r="A2361" s="24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5" t="n">
        <v>78.186688</v>
      </c>
    </row>
    <row r="2362">
      <c r="A2362" s="24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5" t="n">
        <v>71.981855</v>
      </c>
    </row>
    <row r="2363">
      <c r="A2363" s="24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5" t="n">
        <v>71.149354</v>
      </c>
    </row>
    <row r="2364">
      <c r="A2364" s="24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5" t="n">
        <v>56.981543</v>
      </c>
    </row>
    <row r="2365">
      <c r="A2365" s="24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5" t="n">
        <v>50.296368</v>
      </c>
    </row>
    <row r="2366">
      <c r="A2366" s="24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5" t="n">
        <v>48.529752</v>
      </c>
    </row>
    <row r="2367">
      <c r="A2367" s="24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5" t="n">
        <v>40.530889</v>
      </c>
    </row>
    <row r="2368">
      <c r="A2368" s="24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5" t="n">
        <v>32.939686</v>
      </c>
    </row>
    <row r="2369">
      <c r="A2369" s="24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5" t="n">
        <v>29.502657</v>
      </c>
    </row>
    <row r="2370">
      <c r="A2370" s="24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5" t="n">
        <v>26.111179</v>
      </c>
    </row>
    <row r="2371">
      <c r="A2371" s="24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5" t="n">
        <v>26.40231</v>
      </c>
    </row>
    <row r="2372">
      <c r="A2372" s="24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5" t="n">
        <v>23.77295</v>
      </c>
    </row>
    <row r="2373">
      <c r="A2373" s="24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5" t="n">
        <v>25.632867</v>
      </c>
    </row>
    <row r="2374">
      <c r="A2374" s="24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5" t="n">
        <v>77.792939</v>
      </c>
    </row>
    <row r="2375">
      <c r="A2375" s="24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5" t="n">
        <v>108.408875</v>
      </c>
    </row>
    <row r="2376">
      <c r="A2376" s="24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5" t="n">
        <v>81.516412</v>
      </c>
    </row>
    <row r="2377">
      <c r="A2377" s="24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5" t="n">
        <v>60.908238</v>
      </c>
    </row>
    <row r="2378">
      <c r="A2378" s="24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5" t="n">
        <v>47.473439</v>
      </c>
    </row>
    <row r="2379">
      <c r="A2379" s="24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5" t="n">
        <v>39.855135</v>
      </c>
    </row>
    <row r="2380">
      <c r="A2380" s="24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5" t="n">
        <v>56.881582</v>
      </c>
    </row>
    <row r="2381">
      <c r="A2381" s="24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5" t="n">
        <v>46.716611</v>
      </c>
    </row>
    <row r="2382">
      <c r="A2382" s="24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5" t="n">
        <v>36.161149</v>
      </c>
    </row>
    <row r="2383">
      <c r="A2383" s="24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5" t="n">
        <v>28.784992</v>
      </c>
    </row>
    <row r="2384">
      <c r="A2384" s="24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5" t="n">
        <v>23.452546</v>
      </c>
    </row>
    <row r="2385">
      <c r="A2385" s="24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5" t="n">
        <v>19.473254</v>
      </c>
    </row>
    <row r="2386">
      <c r="A2386" s="24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5" t="n">
        <v>16.408412</v>
      </c>
    </row>
    <row r="2387">
      <c r="A2387" s="24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5" t="n">
        <v>13.994371</v>
      </c>
    </row>
    <row r="2388">
      <c r="A2388" s="24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5" t="n">
        <v>12.058989</v>
      </c>
    </row>
    <row r="2389">
      <c r="A2389" s="24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5" t="n">
        <v>10.824763</v>
      </c>
    </row>
    <row r="2390">
      <c r="A2390" s="24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5" t="n">
        <v>10.047639</v>
      </c>
    </row>
    <row r="2391">
      <c r="A2391" s="24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5" t="n">
        <v>8.648406</v>
      </c>
    </row>
    <row r="2392">
      <c r="A2392" s="24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5" t="n">
        <v>7.87168</v>
      </c>
    </row>
    <row r="2393">
      <c r="A2393" s="24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5" t="n">
        <v>7.707778</v>
      </c>
    </row>
    <row r="2394">
      <c r="A2394" s="24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5" t="n">
        <v>8.023443</v>
      </c>
    </row>
    <row r="2395">
      <c r="A2395" s="24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5" t="n">
        <v>8.73401</v>
      </c>
    </row>
    <row r="2396">
      <c r="A2396" s="24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5" t="n">
        <v>7.324489</v>
      </c>
    </row>
    <row r="2397">
      <c r="A2397" s="24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5" t="n">
        <v>6.075601</v>
      </c>
    </row>
    <row r="2398">
      <c r="A2398" s="24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5" t="n">
        <v>5.17869</v>
      </c>
    </row>
    <row r="2399">
      <c r="A2399" s="24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5" t="n">
        <v>4.471783</v>
      </c>
    </row>
    <row r="2400">
      <c r="A2400" s="24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5" t="n">
        <v>3.928829</v>
      </c>
    </row>
    <row r="2401">
      <c r="A2401" s="24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5" t="n">
        <v>3.513089</v>
      </c>
    </row>
    <row r="2402">
      <c r="A2402" s="24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5" t="n">
        <v>3.240808</v>
      </c>
    </row>
    <row r="2403">
      <c r="A2403" s="24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5" t="n">
        <v>2.899639</v>
      </c>
    </row>
    <row r="2404">
      <c r="A2404" s="24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5" t="n">
        <v>8.510757999999999</v>
      </c>
    </row>
    <row r="2405">
      <c r="A2405" s="24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5" t="n">
        <v>13.293816</v>
      </c>
    </row>
    <row r="2406">
      <c r="A2406" s="24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5" t="n">
        <v>10.684901</v>
      </c>
    </row>
    <row r="2407">
      <c r="A2407" s="24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5" t="n">
        <v>7.969341</v>
      </c>
    </row>
    <row r="2408">
      <c r="A2408" s="24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5" t="n">
        <v>8.697863999999999</v>
      </c>
    </row>
    <row r="2409">
      <c r="A2409" s="24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5" t="n">
        <v>7.114291</v>
      </c>
    </row>
    <row r="2410">
      <c r="A2410" s="24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5" t="n">
        <v>10.053998</v>
      </c>
    </row>
    <row r="2411">
      <c r="A2411" s="24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5" t="n">
        <v>8.456521</v>
      </c>
    </row>
    <row r="2412">
      <c r="A2412" s="24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5" t="n">
        <v>8.151740999999999</v>
      </c>
    </row>
    <row r="2413">
      <c r="A2413" s="24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5" t="n">
        <v>7.895721</v>
      </c>
    </row>
    <row r="2414">
      <c r="A2414" s="24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5" t="n">
        <v>6.258861</v>
      </c>
    </row>
    <row r="2415">
      <c r="A2415" s="24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5" t="n">
        <v>6.271735</v>
      </c>
    </row>
    <row r="2416">
      <c r="A2416" s="24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5" t="n">
        <v>37.203932</v>
      </c>
    </row>
    <row r="2417">
      <c r="A2417" s="24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5" t="n">
        <v>32.703055</v>
      </c>
    </row>
    <row r="2418">
      <c r="A2418" s="24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5" t="n">
        <v>23.371441</v>
      </c>
    </row>
    <row r="2419">
      <c r="A2419" s="24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5" t="n">
        <v>21.818204</v>
      </c>
    </row>
    <row r="2420">
      <c r="A2420" s="24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5" t="n">
        <v>24.464255</v>
      </c>
    </row>
    <row r="2421">
      <c r="A2421" s="24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5" t="n">
        <v>20.511498</v>
      </c>
    </row>
    <row r="2422">
      <c r="A2422" s="24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5" t="n">
        <v>15.97303</v>
      </c>
    </row>
    <row r="2423">
      <c r="A2423" s="24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5" t="n">
        <v>14.37576</v>
      </c>
    </row>
    <row r="2424">
      <c r="A2424" s="24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5" t="n">
        <v>17.310768</v>
      </c>
    </row>
    <row r="2425">
      <c r="A2425" s="24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5" t="n">
        <v>16.141785</v>
      </c>
    </row>
    <row r="2426">
      <c r="A2426" s="24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5" t="n">
        <v>16.516578</v>
      </c>
    </row>
    <row r="2427">
      <c r="A2427" s="24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5" t="n">
        <v>19.318366</v>
      </c>
    </row>
    <row r="2428">
      <c r="A2428" s="24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5" t="n">
        <v>19.910515</v>
      </c>
    </row>
    <row r="2429">
      <c r="A2429" s="24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5" t="n">
        <v>16.752088</v>
      </c>
    </row>
    <row r="2430">
      <c r="A2430" s="24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5" t="n">
        <v>13.183133</v>
      </c>
    </row>
    <row r="2431">
      <c r="A2431" s="24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5" t="n">
        <v>19.266081</v>
      </c>
    </row>
    <row r="2432">
      <c r="A2432" s="24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5" t="n">
        <v>17.481204</v>
      </c>
    </row>
    <row r="2433">
      <c r="A2433" s="24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5" t="n">
        <v>13.387451</v>
      </c>
    </row>
    <row r="2434">
      <c r="A2434" s="24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5" t="n">
        <v>10.834897</v>
      </c>
    </row>
    <row r="2435">
      <c r="A2435" s="24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5" t="n">
        <v>12.121717</v>
      </c>
    </row>
    <row r="2436">
      <c r="A2436" s="24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5" t="n">
        <v>9.930775000000001</v>
      </c>
    </row>
    <row r="2437">
      <c r="A2437" s="24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5" t="n">
        <v>15.327441</v>
      </c>
    </row>
    <row r="2438">
      <c r="A2438" s="24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5" t="n">
        <v>14.0765</v>
      </c>
    </row>
    <row r="2439">
      <c r="A2439" s="24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5" t="n">
        <v>18.926633</v>
      </c>
    </row>
    <row r="2440">
      <c r="A2440" s="24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5" t="n">
        <v>32.604596</v>
      </c>
    </row>
    <row r="2441">
      <c r="A2441" s="24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5" t="n">
        <v>35.584913</v>
      </c>
    </row>
    <row r="2442">
      <c r="A2442" s="24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5" t="n">
        <v>36.500873</v>
      </c>
    </row>
    <row r="2443">
      <c r="A2443" s="24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5" t="n">
        <v>48.934526</v>
      </c>
    </row>
    <row r="2444">
      <c r="A2444" s="24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5" t="n">
        <v>50.370924</v>
      </c>
    </row>
    <row r="2445">
      <c r="A2445" s="24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5" t="n">
        <v>57.82274</v>
      </c>
    </row>
    <row r="2446">
      <c r="A2446" s="24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5" t="n">
        <v>45.214039</v>
      </c>
    </row>
    <row r="2447">
      <c r="A2447" s="24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5" t="n">
        <v>34.00947</v>
      </c>
    </row>
    <row r="2448">
      <c r="A2448" s="24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5" t="n">
        <v>27.480426</v>
      </c>
    </row>
    <row r="2449">
      <c r="A2449" s="24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5" t="n">
        <v>31.639992</v>
      </c>
    </row>
    <row r="2450">
      <c r="A2450" s="24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5" t="n">
        <v>25.402564</v>
      </c>
    </row>
    <row r="2451">
      <c r="A2451" s="24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5" t="n">
        <v>19.792035</v>
      </c>
    </row>
    <row r="2452">
      <c r="A2452" s="24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5" t="n">
        <v>16.219419</v>
      </c>
    </row>
    <row r="2453">
      <c r="A2453" s="24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5" t="n">
        <v>28.812283</v>
      </c>
    </row>
    <row r="2454">
      <c r="A2454" s="24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5" t="n">
        <v>25.359379</v>
      </c>
    </row>
    <row r="2455">
      <c r="A2455" s="24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5" t="n">
        <v>19.352148</v>
      </c>
    </row>
    <row r="2456">
      <c r="A2456" s="24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5" t="n">
        <v>16.738687</v>
      </c>
    </row>
    <row r="2457">
      <c r="A2457" s="24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5" t="n">
        <v>20.88113</v>
      </c>
    </row>
    <row r="2458">
      <c r="A2458" s="24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5" t="n">
        <v>50.74789</v>
      </c>
    </row>
    <row r="2459">
      <c r="A2459" s="24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5" t="n">
        <v>77.206627</v>
      </c>
    </row>
    <row r="2460">
      <c r="A2460" s="24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5" t="n">
        <v>61.832719</v>
      </c>
    </row>
    <row r="2461">
      <c r="A2461" s="24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5" t="n">
        <v>54.289309</v>
      </c>
    </row>
    <row r="2462">
      <c r="A2462" s="24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5" t="n">
        <v>45.328189</v>
      </c>
    </row>
    <row r="2463">
      <c r="A2463" s="24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5" t="n">
        <v>34.781297</v>
      </c>
    </row>
    <row r="2464">
      <c r="A2464" s="24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5" t="n">
        <v>27.185248</v>
      </c>
    </row>
    <row r="2465">
      <c r="A2465" s="24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5" t="n">
        <v>21.783585</v>
      </c>
    </row>
    <row r="2466">
      <c r="A2466" s="24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5" t="n">
        <v>18.373492</v>
      </c>
    </row>
    <row r="2467">
      <c r="A2467" s="24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5" t="n">
        <v>15.227466</v>
      </c>
    </row>
    <row r="2468">
      <c r="A2468" s="24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5" t="n">
        <v>12.73354</v>
      </c>
    </row>
    <row r="2469">
      <c r="A2469" s="24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5" t="n">
        <v>10.791986</v>
      </c>
    </row>
    <row r="2470">
      <c r="A2470" s="24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5" t="n">
        <v>9.242483999999999</v>
      </c>
    </row>
    <row r="2471">
      <c r="A2471" s="24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5" t="n">
        <v>7.984224</v>
      </c>
    </row>
    <row r="2472">
      <c r="A2472" s="24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5" t="n">
        <v>6.947567</v>
      </c>
    </row>
    <row r="2473">
      <c r="A2473" s="24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5" t="n">
        <v>7.206375</v>
      </c>
    </row>
    <row r="2474">
      <c r="A2474" s="24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5" t="n">
        <v>14.14213</v>
      </c>
    </row>
    <row r="2475">
      <c r="A2475" s="24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5" t="n">
        <v>15.784922</v>
      </c>
    </row>
    <row r="2476">
      <c r="A2476" s="24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5" t="n">
        <v>22.672441</v>
      </c>
    </row>
    <row r="2477">
      <c r="A2477" s="24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5" t="n">
        <v>25.560706</v>
      </c>
    </row>
    <row r="2478">
      <c r="A2478" s="24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5" t="n">
        <v>19.536099</v>
      </c>
    </row>
    <row r="2479">
      <c r="A2479" s="24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5" t="n">
        <v>15.384961</v>
      </c>
    </row>
    <row r="2480">
      <c r="A2480" s="24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5" t="n">
        <v>12.445778</v>
      </c>
    </row>
    <row r="2481">
      <c r="A2481" s="24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5" t="n">
        <v>14.84727</v>
      </c>
    </row>
    <row r="2482">
      <c r="A2482" s="24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5" t="n">
        <v>14.961126</v>
      </c>
    </row>
    <row r="2483">
      <c r="A2483" s="24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5" t="n">
        <v>30.231232</v>
      </c>
    </row>
    <row r="2484">
      <c r="A2484" s="24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5" t="n">
        <v>50.797693</v>
      </c>
    </row>
    <row r="2485">
      <c r="A2485" s="24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5" t="n">
        <v>70.932796</v>
      </c>
    </row>
    <row r="2486">
      <c r="A2486" s="24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5" t="n">
        <v>58.35448</v>
      </c>
    </row>
    <row r="2487">
      <c r="A2487" s="24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5" t="n">
        <v>45.677939</v>
      </c>
    </row>
    <row r="2488">
      <c r="A2488" s="24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5" t="n">
        <v>74.484325</v>
      </c>
    </row>
    <row r="2489">
      <c r="A2489" s="24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5" t="n">
        <v>77.149524</v>
      </c>
    </row>
    <row r="2490">
      <c r="A2490" s="24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5" t="n">
        <v>76.377188</v>
      </c>
    </row>
    <row r="2491">
      <c r="A2491" s="24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5" t="n">
        <v>65.70966</v>
      </c>
    </row>
    <row r="2492">
      <c r="A2492" s="24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5" t="n">
        <v>50.068305</v>
      </c>
    </row>
    <row r="2493">
      <c r="A2493" s="24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5" t="n">
        <v>43.481809</v>
      </c>
    </row>
    <row r="2494">
      <c r="A2494" s="24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5" t="n">
        <v>47.968597</v>
      </c>
    </row>
    <row r="2495">
      <c r="A2495" s="24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5" t="n">
        <v>52.594596</v>
      </c>
    </row>
    <row r="2496">
      <c r="A2496" s="24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5" t="n">
        <v>58.912536</v>
      </c>
    </row>
    <row r="2497">
      <c r="A2497" s="24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5" t="n">
        <v>48.154864</v>
      </c>
    </row>
    <row r="2498">
      <c r="A2498" s="24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5" t="n">
        <v>44.882093</v>
      </c>
    </row>
    <row r="2499">
      <c r="A2499" s="24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5" t="n">
        <v>52.510252</v>
      </c>
    </row>
    <row r="2500">
      <c r="A2500" s="24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5" t="n">
        <v>44.120409</v>
      </c>
    </row>
    <row r="2501">
      <c r="A2501" s="24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5" t="n">
        <v>37.020471</v>
      </c>
    </row>
    <row r="2502">
      <c r="A2502" s="24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5" t="n">
        <v>36.774575</v>
      </c>
    </row>
    <row r="2503">
      <c r="A2503" s="24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5" t="n">
        <v>41.383666</v>
      </c>
    </row>
    <row r="2504">
      <c r="A2504" s="24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5" t="n">
        <v>32.939112</v>
      </c>
    </row>
    <row r="2505">
      <c r="A2505" s="24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5" t="n">
        <v>28.847698</v>
      </c>
    </row>
    <row r="2506">
      <c r="A2506" s="24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5" t="n">
        <v>24.373022</v>
      </c>
    </row>
    <row r="2507">
      <c r="A2507" s="24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5" t="n">
        <v>35.970341</v>
      </c>
    </row>
    <row r="2508">
      <c r="A2508" s="24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5" t="n">
        <v>56.6173</v>
      </c>
    </row>
    <row r="2509">
      <c r="A2509" s="24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5" t="n">
        <v>48.09382</v>
      </c>
    </row>
    <row r="2510">
      <c r="A2510" s="24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5" t="n">
        <v>36.032043</v>
      </c>
    </row>
    <row r="2511">
      <c r="A2511" s="24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5" t="n">
        <v>45.019293</v>
      </c>
    </row>
    <row r="2512">
      <c r="A2512" s="24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5" t="n">
        <v>45.829227</v>
      </c>
    </row>
    <row r="2513">
      <c r="A2513" s="24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5" t="n">
        <v>68.107883</v>
      </c>
    </row>
    <row r="2514">
      <c r="A2514" s="24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5" t="n">
        <v>64.63925399999999</v>
      </c>
    </row>
    <row r="2515">
      <c r="A2515" s="24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5" t="n">
        <v>50.380075</v>
      </c>
    </row>
    <row r="2516">
      <c r="A2516" s="24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5" t="n">
        <v>38.608485</v>
      </c>
    </row>
    <row r="2517">
      <c r="A2517" s="24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5" t="n">
        <v>30.284952</v>
      </c>
    </row>
    <row r="2518">
      <c r="A2518" s="24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5" t="n">
        <v>24.416966</v>
      </c>
    </row>
    <row r="2519">
      <c r="A2519" s="24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5" t="n">
        <v>20.385343</v>
      </c>
    </row>
    <row r="2520">
      <c r="A2520" s="24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5" t="n">
        <v>16.965922</v>
      </c>
    </row>
    <row r="2521">
      <c r="A2521" s="24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5" t="n">
        <v>22.951531</v>
      </c>
    </row>
    <row r="2522">
      <c r="A2522" s="24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5" t="n">
        <v>31.12146</v>
      </c>
    </row>
    <row r="2523">
      <c r="A2523" s="24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5" t="n">
        <v>37.462274</v>
      </c>
    </row>
    <row r="2524">
      <c r="A2524" s="24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5" t="n">
        <v>58.931696</v>
      </c>
    </row>
    <row r="2525">
      <c r="A2525" s="24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5" t="n">
        <v>46.446715</v>
      </c>
    </row>
    <row r="2526">
      <c r="A2526" s="24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5" t="n">
        <v>36.811114</v>
      </c>
    </row>
    <row r="2527">
      <c r="A2527" s="24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5" t="n">
        <v>66.307013</v>
      </c>
    </row>
    <row r="2528">
      <c r="A2528" s="24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5" t="n">
        <v>57.248155</v>
      </c>
    </row>
    <row r="2529">
      <c r="A2529" s="24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5" t="n">
        <v>96.937029</v>
      </c>
    </row>
    <row r="2530">
      <c r="A2530" s="24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5" t="n">
        <v>83.794282</v>
      </c>
    </row>
    <row r="2531">
      <c r="A2531" s="24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5" t="n">
        <v>64.227063</v>
      </c>
    </row>
    <row r="2532">
      <c r="A2532" s="24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5" t="n">
        <v>52.357516</v>
      </c>
    </row>
    <row r="2533">
      <c r="A2533" s="24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5" t="n">
        <v>42.842939</v>
      </c>
    </row>
    <row r="2534">
      <c r="A2534" s="24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5" t="n">
        <v>40.263406</v>
      </c>
    </row>
    <row r="2535">
      <c r="A2535" s="24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5" t="n">
        <v>46.232441</v>
      </c>
    </row>
    <row r="2536">
      <c r="A2536" s="24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5" t="n">
        <v>47.142006</v>
      </c>
    </row>
    <row r="2537">
      <c r="A2537" s="24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5" t="n">
        <v>47.366128</v>
      </c>
    </row>
    <row r="2538">
      <c r="A2538" s="24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5" t="n">
        <v>54.425293</v>
      </c>
    </row>
    <row r="2539">
      <c r="A2539" s="24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5" t="n">
        <v>85.696911</v>
      </c>
    </row>
    <row r="2540">
      <c r="A2540" s="24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5" t="n">
        <v>95.709423</v>
      </c>
    </row>
    <row r="2541">
      <c r="A2541" s="24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5" t="n">
        <v>77.820061</v>
      </c>
    </row>
    <row r="2542">
      <c r="A2542" s="24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5" t="n">
        <v>65.020269</v>
      </c>
    </row>
    <row r="2543">
      <c r="A2543" s="24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5" t="n">
        <v>60.719877</v>
      </c>
    </row>
    <row r="2544">
      <c r="A2544" s="24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5" t="n">
        <v>51.715501</v>
      </c>
    </row>
    <row r="2545">
      <c r="A2545" s="24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5" t="n">
        <v>57.194594</v>
      </c>
    </row>
    <row r="2546">
      <c r="A2546" s="24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5" t="n">
        <v>71.917801</v>
      </c>
    </row>
    <row r="2547">
      <c r="A2547" s="24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5" t="n">
        <v>58.702361</v>
      </c>
    </row>
    <row r="2548">
      <c r="A2548" s="24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5" t="n">
        <v>60.48124</v>
      </c>
    </row>
    <row r="2549">
      <c r="A2549" s="24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5" t="n">
        <v>58.574866</v>
      </c>
    </row>
    <row r="2550">
      <c r="A2550" s="24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5" t="n">
        <v>66.168772</v>
      </c>
    </row>
    <row r="2551">
      <c r="A2551" s="24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5" t="n">
        <v>91.24389499999999</v>
      </c>
    </row>
    <row r="2552">
      <c r="A2552" s="24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5" t="n">
        <v>79.07260599999999</v>
      </c>
    </row>
    <row r="2553">
      <c r="A2553" s="24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5" t="n">
        <v>86.10283</v>
      </c>
    </row>
    <row r="2554">
      <c r="A2554" s="24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5" t="n">
        <v>70.352985</v>
      </c>
    </row>
    <row r="2555">
      <c r="A2555" s="24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5" t="n">
        <v>64.019812</v>
      </c>
    </row>
    <row r="2556">
      <c r="A2556" s="24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5" t="n">
        <v>52.741875</v>
      </c>
    </row>
    <row r="2557">
      <c r="A2557" s="24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5" t="n">
        <v>58.078508</v>
      </c>
    </row>
    <row r="2558">
      <c r="A2558" s="24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5" t="n">
        <v>66.362791</v>
      </c>
    </row>
    <row r="2559">
      <c r="A2559" s="24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5" t="n">
        <v>54.799518</v>
      </c>
    </row>
    <row r="2560">
      <c r="A2560" s="24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5" t="n">
        <v>47.739272</v>
      </c>
    </row>
    <row r="2561">
      <c r="A2561" s="24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5" t="n">
        <v>53.615955</v>
      </c>
    </row>
    <row r="2562">
      <c r="A2562" s="24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5" t="n">
        <v>105.451145</v>
      </c>
    </row>
    <row r="2563">
      <c r="A2563" s="24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5" t="n">
        <v>117.778486</v>
      </c>
    </row>
    <row r="2564">
      <c r="A2564" s="24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5" t="n">
        <v>91.68888099999999</v>
      </c>
    </row>
    <row r="2565">
      <c r="A2565" s="24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5" t="n">
        <v>70.968498</v>
      </c>
    </row>
    <row r="2566">
      <c r="A2566" s="24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5" t="n">
        <v>76.279988</v>
      </c>
    </row>
    <row r="2567">
      <c r="A2567" s="24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5" t="n">
        <v>75.021843</v>
      </c>
    </row>
    <row r="2568">
      <c r="A2568" s="24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5" t="n">
        <v>106.657358</v>
      </c>
    </row>
    <row r="2569">
      <c r="A2569" s="24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5" t="n">
        <v>146.225924</v>
      </c>
    </row>
    <row r="2570">
      <c r="A2570" s="24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5" t="n">
        <v>167.399778</v>
      </c>
    </row>
    <row r="2571">
      <c r="A2571" s="24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5" t="n">
        <v>162.973466</v>
      </c>
    </row>
    <row r="2572">
      <c r="A2572" s="24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5" t="n">
        <v>124.747863</v>
      </c>
    </row>
    <row r="2573">
      <c r="A2573" s="24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5" t="n">
        <v>108.815343</v>
      </c>
    </row>
    <row r="2574">
      <c r="A2574" s="24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5" t="n">
        <v>90.293549</v>
      </c>
    </row>
    <row r="2575">
      <c r="A2575" s="24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5" t="n">
        <v>81.53269899999999</v>
      </c>
    </row>
    <row r="2576">
      <c r="A2576" s="24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5" t="n">
        <v>86.20111</v>
      </c>
    </row>
    <row r="2577">
      <c r="A2577" s="24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5" t="n">
        <v>83.302525</v>
      </c>
    </row>
    <row r="2578">
      <c r="A2578" s="24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5" t="n">
        <v>67.556727</v>
      </c>
    </row>
    <row r="2579">
      <c r="A2579" s="24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5" t="n">
        <v>55.971678</v>
      </c>
    </row>
    <row r="2580">
      <c r="A2580" s="24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5" t="n">
        <v>51.118728</v>
      </c>
    </row>
    <row r="2581">
      <c r="A2581" s="24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5" t="n">
        <v>68.318843</v>
      </c>
    </row>
    <row r="2582">
      <c r="A2582" s="24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5" t="n">
        <v>70.326977</v>
      </c>
    </row>
    <row r="2583">
      <c r="A2583" s="24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5" t="n">
        <v>60.635726</v>
      </c>
    </row>
    <row r="2584">
      <c r="A2584" s="24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5" t="n">
        <v>50.662568</v>
      </c>
    </row>
    <row r="2585">
      <c r="A2585" s="24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5" t="n">
        <v>46.414043</v>
      </c>
    </row>
    <row r="2586">
      <c r="A2586" s="24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5" t="n">
        <v>40.447374</v>
      </c>
    </row>
    <row r="2587">
      <c r="A2587" s="24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5" t="n">
        <v>55.542324</v>
      </c>
    </row>
    <row r="2588">
      <c r="A2588" s="24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5" t="n">
        <v>85.725251</v>
      </c>
    </row>
    <row r="2589">
      <c r="A2589" s="24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5" t="n">
        <v>71.722658</v>
      </c>
    </row>
    <row r="2590">
      <c r="A2590" s="24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5" t="n">
        <v>119.571077</v>
      </c>
    </row>
    <row r="2591">
      <c r="A2591" s="24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5" t="n">
        <v>141.451115</v>
      </c>
    </row>
    <row r="2592">
      <c r="A2592" s="24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5" t="n">
        <v>137.746429</v>
      </c>
    </row>
    <row r="2593">
      <c r="A2593" s="24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5" t="n">
        <v>125.025469</v>
      </c>
    </row>
    <row r="2594">
      <c r="A2594" s="24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5" t="n">
        <v>97.330803</v>
      </c>
    </row>
    <row r="2595">
      <c r="A2595" s="24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5" t="n">
        <v>141.517214</v>
      </c>
    </row>
    <row r="2596">
      <c r="A2596" s="24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5" t="n">
        <v>160.637135</v>
      </c>
    </row>
    <row r="2597">
      <c r="A2597" s="24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5" t="n">
        <v>130.698459</v>
      </c>
    </row>
    <row r="2598">
      <c r="A2598" s="24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5" t="n">
        <v>109.633194</v>
      </c>
    </row>
    <row r="2599">
      <c r="A2599" s="24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5" t="n">
        <v>87.60710400000001</v>
      </c>
    </row>
    <row r="2600">
      <c r="A2600" s="24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5" t="n">
        <v>70.098028</v>
      </c>
    </row>
    <row r="2601">
      <c r="A2601" s="24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5" t="n">
        <v>56.530164</v>
      </c>
    </row>
    <row r="2602">
      <c r="A2602" s="24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5" t="n">
        <v>47.813816</v>
      </c>
    </row>
    <row r="2603">
      <c r="A2603" s="24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5" t="n">
        <v>40.557461</v>
      </c>
    </row>
    <row r="2604">
      <c r="A2604" s="24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5" t="n">
        <v>51.110398</v>
      </c>
    </row>
    <row r="2605">
      <c r="A2605" s="24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5" t="n">
        <v>102.757718</v>
      </c>
    </row>
    <row r="2606">
      <c r="A2606" s="24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5" t="n">
        <v>113.668172</v>
      </c>
    </row>
    <row r="2607">
      <c r="A2607" s="24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5" t="n">
        <v>149.104213</v>
      </c>
    </row>
    <row r="2608">
      <c r="A2608" s="24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5" t="n">
        <v>153.018287</v>
      </c>
    </row>
    <row r="2609">
      <c r="A2609" s="24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5" t="n">
        <v>182.723915</v>
      </c>
    </row>
    <row r="2610">
      <c r="A2610" s="24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5" t="n">
        <v>187.799326</v>
      </c>
    </row>
    <row r="2611">
      <c r="A2611" s="24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5" t="n">
        <v>169.461771</v>
      </c>
    </row>
    <row r="2612">
      <c r="A2612" s="24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5" t="n">
        <v>177.758671</v>
      </c>
    </row>
    <row r="2613">
      <c r="A2613" s="24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5" t="n">
        <v>150.069906</v>
      </c>
    </row>
    <row r="2614">
      <c r="A2614" s="24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5" t="n">
        <v>114.677917</v>
      </c>
    </row>
    <row r="2615">
      <c r="A2615" s="24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5" t="n">
        <v>92.74447499999999</v>
      </c>
    </row>
    <row r="2616">
      <c r="A2616" s="24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5" t="n">
        <v>83.391993</v>
      </c>
    </row>
    <row r="2617">
      <c r="A2617" s="24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5" t="n">
        <v>101.258669</v>
      </c>
    </row>
    <row r="2618">
      <c r="A2618" s="24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5" t="n">
        <v>121.211767</v>
      </c>
    </row>
    <row r="2619">
      <c r="A2619" s="24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5" t="n">
        <v>99.156047</v>
      </c>
    </row>
    <row r="2620">
      <c r="A2620" s="24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5" t="n">
        <v>78.048466</v>
      </c>
    </row>
    <row r="2621">
      <c r="A2621" s="24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5" t="n">
        <v>88.356201</v>
      </c>
    </row>
    <row r="2622">
      <c r="A2622" s="24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5" t="n">
        <v>85.558786</v>
      </c>
    </row>
    <row r="2623">
      <c r="A2623" s="24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5" t="n">
        <v>67.67429300000001</v>
      </c>
    </row>
    <row r="2624">
      <c r="A2624" s="24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5" t="n">
        <v>54.433921</v>
      </c>
    </row>
    <row r="2625">
      <c r="A2625" s="24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5" t="n">
        <v>45.977013</v>
      </c>
    </row>
    <row r="2626">
      <c r="A2626" s="24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5" t="n">
        <v>39.238422</v>
      </c>
    </row>
    <row r="2627">
      <c r="A2627" s="24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5" t="n">
        <v>63.006778</v>
      </c>
    </row>
    <row r="2628">
      <c r="A2628" s="24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5" t="n">
        <v>77.402547</v>
      </c>
    </row>
    <row r="2629">
      <c r="A2629" s="24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5" t="n">
        <v>71.495492</v>
      </c>
    </row>
    <row r="2630">
      <c r="A2630" s="24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5" t="n">
        <v>56.144828</v>
      </c>
    </row>
    <row r="2631">
      <c r="A2631" s="24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5" t="n">
        <v>45.089855</v>
      </c>
    </row>
    <row r="2632">
      <c r="A2632" s="24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5" t="n">
        <v>40.083049</v>
      </c>
    </row>
    <row r="2633">
      <c r="A2633" s="24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5" t="n">
        <v>33.168953</v>
      </c>
    </row>
    <row r="2634">
      <c r="A2634" s="24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5" t="n">
        <v>32.079973</v>
      </c>
    </row>
    <row r="2635">
      <c r="A2635" s="24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5" t="n">
        <v>30.721848</v>
      </c>
    </row>
    <row r="2636">
      <c r="A2636" s="24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5" t="n">
        <v>48.065411</v>
      </c>
    </row>
    <row r="2637">
      <c r="A2637" s="24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5" t="n">
        <v>44.612294</v>
      </c>
    </row>
    <row r="2638">
      <c r="A2638" s="24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5" t="n">
        <v>35.030601</v>
      </c>
    </row>
    <row r="2639">
      <c r="A2639" s="24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5" t="n">
        <v>45.743921</v>
      </c>
    </row>
    <row r="2640">
      <c r="A2640" s="24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5" t="n">
        <v>47.460901</v>
      </c>
    </row>
    <row r="2641">
      <c r="A2641" s="24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5" t="n">
        <v>46.948269</v>
      </c>
    </row>
    <row r="2642">
      <c r="A2642" s="24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5" t="n">
        <v>71.392455</v>
      </c>
    </row>
    <row r="2643">
      <c r="A2643" s="24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5" t="n">
        <v>92.872021</v>
      </c>
    </row>
    <row r="2644">
      <c r="A2644" s="24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5" t="n">
        <v>81.213836</v>
      </c>
    </row>
    <row r="2645">
      <c r="A2645" s="24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5" t="n">
        <v>87.799048</v>
      </c>
    </row>
    <row r="2646">
      <c r="A2646" s="24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5" t="n">
        <v>130.04672</v>
      </c>
    </row>
    <row r="2647">
      <c r="A2647" s="24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5" t="n">
        <v>138.040472</v>
      </c>
    </row>
    <row r="2648">
      <c r="A2648" s="24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5" t="n">
        <v>122.518386</v>
      </c>
    </row>
    <row r="2649">
      <c r="A2649" s="24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5" t="n">
        <v>110.05787</v>
      </c>
    </row>
    <row r="2650">
      <c r="A2650" s="24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5" t="n">
        <v>92.71092</v>
      </c>
    </row>
    <row r="2651">
      <c r="A2651" s="24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5" t="n">
        <v>74.31497299999999</v>
      </c>
    </row>
    <row r="2652">
      <c r="A2652" s="24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5" t="n">
        <v>60.031644</v>
      </c>
    </row>
    <row r="2653">
      <c r="A2653" s="24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5" t="n">
        <v>103.95265</v>
      </c>
    </row>
    <row r="2654">
      <c r="A2654" s="24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5" t="n">
        <v>112.156694</v>
      </c>
    </row>
    <row r="2655">
      <c r="A2655" s="24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5" t="n">
        <v>97.858858</v>
      </c>
    </row>
    <row r="2656">
      <c r="A2656" s="24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5" t="n">
        <v>96.11338600000001</v>
      </c>
    </row>
    <row r="2657">
      <c r="A2657" s="24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5" t="n">
        <v>78.36331199999999</v>
      </c>
    </row>
    <row r="2658">
      <c r="A2658" s="24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5" t="n">
        <v>73.57635000000001</v>
      </c>
    </row>
    <row r="2659">
      <c r="A2659" s="24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5" t="n">
        <v>61.905728</v>
      </c>
    </row>
    <row r="2660">
      <c r="A2660" s="24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5" t="n">
        <v>55.986874</v>
      </c>
    </row>
    <row r="2661">
      <c r="A2661" s="24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5" t="n">
        <v>63.54411</v>
      </c>
    </row>
    <row r="2662">
      <c r="A2662" s="24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5" t="n">
        <v>91.636199</v>
      </c>
    </row>
    <row r="2663">
      <c r="A2663" s="24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5" t="n">
        <v>82.112435</v>
      </c>
    </row>
    <row r="2664">
      <c r="A2664" s="24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5" t="n">
        <v>73.369973</v>
      </c>
    </row>
    <row r="2665">
      <c r="A2665" s="24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5" t="n">
        <v>88.429534</v>
      </c>
    </row>
    <row r="2666">
      <c r="A2666" s="24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5" t="n">
        <v>94.641372</v>
      </c>
    </row>
    <row r="2667">
      <c r="A2667" s="24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5" t="n">
        <v>90.557239</v>
      </c>
    </row>
    <row r="2668">
      <c r="A2668" s="24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5" t="n">
        <v>96.634355</v>
      </c>
    </row>
    <row r="2669">
      <c r="A2669" s="24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5" t="n">
        <v>89.338385</v>
      </c>
    </row>
    <row r="2670">
      <c r="A2670" s="24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5" t="n">
        <v>75.95968000000001</v>
      </c>
    </row>
    <row r="2671">
      <c r="A2671" s="24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5" t="n">
        <v>59.207873</v>
      </c>
    </row>
    <row r="2672">
      <c r="A2672" s="24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5" t="n">
        <v>47.595524</v>
      </c>
    </row>
    <row r="2673">
      <c r="A2673" s="24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5" t="n">
        <v>41.458196</v>
      </c>
    </row>
    <row r="2674">
      <c r="A2674" s="24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5" t="n">
        <v>36.910039</v>
      </c>
    </row>
    <row r="2675">
      <c r="A2675" s="24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5" t="n">
        <v>32.178431</v>
      </c>
    </row>
    <row r="2676">
      <c r="A2676" s="24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5" t="n">
        <v>38.627672</v>
      </c>
    </row>
    <row r="2677">
      <c r="A2677" s="24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5" t="n">
        <v>73.651168</v>
      </c>
    </row>
    <row r="2678">
      <c r="A2678" s="24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5" t="n">
        <v>100.182621</v>
      </c>
    </row>
    <row r="2679">
      <c r="A2679" s="24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5" t="n">
        <v>120.322658</v>
      </c>
    </row>
    <row r="2680">
      <c r="A2680" s="24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5" t="n">
        <v>147.811514</v>
      </c>
    </row>
    <row r="2681">
      <c r="A2681" s="24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5" t="n">
        <v>132.757388</v>
      </c>
    </row>
    <row r="2682">
      <c r="A2682" s="24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5" t="n">
        <v>147.874449</v>
      </c>
    </row>
    <row r="2683">
      <c r="A2683" s="24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5" t="n">
        <v>147.555157</v>
      </c>
    </row>
    <row r="2684">
      <c r="A2684" s="24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5" t="n">
        <v>138.564137</v>
      </c>
    </row>
    <row r="2685">
      <c r="A2685" s="24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5" t="n">
        <v>118.718209</v>
      </c>
    </row>
    <row r="2686">
      <c r="A2686" s="24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5" t="n">
        <v>151.165389</v>
      </c>
    </row>
    <row r="2687">
      <c r="A2687" s="24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5" t="n">
        <v>161.316193</v>
      </c>
    </row>
    <row r="2688">
      <c r="A2688" s="24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5" t="n">
        <v>125.575593</v>
      </c>
    </row>
    <row r="2689">
      <c r="A2689" s="24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5" t="n">
        <v>96.04373</v>
      </c>
    </row>
    <row r="2690">
      <c r="A2690" s="24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5" t="n">
        <v>81.03769</v>
      </c>
    </row>
    <row r="2691">
      <c r="A2691" s="24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5" t="n">
        <v>65.268061</v>
      </c>
    </row>
    <row r="2692">
      <c r="A2692" s="24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5" t="n">
        <v>53.081028</v>
      </c>
    </row>
    <row r="2693">
      <c r="A2693" s="24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5" t="n">
        <v>53.423564</v>
      </c>
    </row>
    <row r="2694">
      <c r="A2694" s="24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5" t="n">
        <v>99.978032</v>
      </c>
    </row>
    <row r="2695">
      <c r="A2695" s="24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5" t="n">
        <v>140.08544</v>
      </c>
    </row>
    <row r="2696">
      <c r="A2696" s="24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5" t="n">
        <v>131.950407</v>
      </c>
    </row>
    <row r="2697">
      <c r="A2697" s="24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5" t="n">
        <v>124.632721</v>
      </c>
    </row>
    <row r="2698">
      <c r="A2698" s="24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5" t="n">
        <v>142.959635</v>
      </c>
    </row>
    <row r="2699">
      <c r="A2699" s="24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5" t="n">
        <v>142.090301</v>
      </c>
    </row>
    <row r="2700">
      <c r="A2700" s="24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5" t="n">
        <v>108.681485</v>
      </c>
    </row>
    <row r="2701">
      <c r="A2701" s="24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5" t="n">
        <v>83.89058199999999</v>
      </c>
    </row>
    <row r="2702">
      <c r="A2702" s="24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5" t="n">
        <v>67.58695899999999</v>
      </c>
    </row>
    <row r="2703">
      <c r="A2703" s="24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5" t="n">
        <v>113.108736</v>
      </c>
    </row>
    <row r="2704">
      <c r="A2704" s="24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5" t="n">
        <v>116.468933</v>
      </c>
    </row>
    <row r="2705">
      <c r="A2705" s="24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5" t="n">
        <v>88.62084299999999</v>
      </c>
    </row>
    <row r="2706">
      <c r="A2706" s="24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5" t="n">
        <v>68.83396399999999</v>
      </c>
    </row>
    <row r="2707">
      <c r="A2707" s="24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5" t="n">
        <v>112.613052</v>
      </c>
    </row>
    <row r="2708">
      <c r="A2708" s="24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5" t="n">
        <v>112.60797</v>
      </c>
    </row>
    <row r="2709">
      <c r="A2709" s="24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5" t="n">
        <v>86.77663</v>
      </c>
    </row>
    <row r="2710">
      <c r="A2710" s="24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5" t="n">
        <v>69.279269</v>
      </c>
    </row>
    <row r="2711">
      <c r="A2711" s="24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5" t="n">
        <v>92.989728</v>
      </c>
    </row>
    <row r="2712">
      <c r="A2712" s="24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5" t="n">
        <v>77.16558999999999</v>
      </c>
    </row>
    <row r="2713">
      <c r="A2713" s="24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5" t="n">
        <v>59.518196</v>
      </c>
    </row>
    <row r="2714">
      <c r="A2714" s="24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5" t="n">
        <v>51.347509</v>
      </c>
    </row>
    <row r="2715">
      <c r="A2715" s="24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5" t="n">
        <v>98.140541</v>
      </c>
    </row>
    <row r="2716">
      <c r="A2716" s="24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5" t="n">
        <v>83.51540199999999</v>
      </c>
    </row>
    <row r="2717">
      <c r="A2717" s="24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5" t="n">
        <v>67.16819</v>
      </c>
    </row>
    <row r="2718">
      <c r="A2718" s="24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5" t="n">
        <v>87.271293</v>
      </c>
    </row>
    <row r="2719">
      <c r="A2719" s="24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5" t="n">
        <v>70.999746</v>
      </c>
    </row>
    <row r="2720">
      <c r="A2720" s="24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5" t="n">
        <v>61.633528</v>
      </c>
    </row>
    <row r="2721">
      <c r="A2721" s="24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5" t="n">
        <v>49.571222</v>
      </c>
    </row>
    <row r="2722">
      <c r="A2722" s="24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5" t="n">
        <v>39.761607</v>
      </c>
    </row>
    <row r="2723">
      <c r="A2723" s="24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5" t="n">
        <v>106.93156</v>
      </c>
    </row>
    <row r="2724">
      <c r="A2724" s="24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5" t="n">
        <v>137.048116</v>
      </c>
    </row>
    <row r="2725">
      <c r="A2725" s="24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5" t="n">
        <v>145.314923</v>
      </c>
    </row>
    <row r="2726">
      <c r="A2726" s="24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5" t="n">
        <v>137.782524</v>
      </c>
    </row>
    <row r="2727">
      <c r="A2727" s="24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5" t="n">
        <v>105.191708</v>
      </c>
    </row>
    <row r="2728">
      <c r="A2728" s="24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5" t="n">
        <v>80.278569</v>
      </c>
    </row>
    <row r="2729">
      <c r="A2729" s="24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5" t="n">
        <v>63.129289</v>
      </c>
    </row>
    <row r="2730">
      <c r="A2730" s="24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5" t="n">
        <v>50.771016</v>
      </c>
    </row>
    <row r="2731">
      <c r="A2731" s="24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5" t="n">
        <v>41.869868</v>
      </c>
    </row>
    <row r="2732">
      <c r="A2732" s="24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5" t="n">
        <v>34.894225</v>
      </c>
    </row>
    <row r="2733">
      <c r="A2733" s="24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5" t="n">
        <v>31.571612</v>
      </c>
    </row>
    <row r="2734">
      <c r="A2734" s="24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5" t="n">
        <v>83.618582</v>
      </c>
    </row>
    <row r="2735">
      <c r="A2735" s="24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5" t="n">
        <v>126.389043</v>
      </c>
    </row>
    <row r="2736">
      <c r="A2736" s="24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5" t="n">
        <v>133.670537</v>
      </c>
    </row>
    <row r="2737">
      <c r="A2737" s="24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5" t="n">
        <v>164.509722</v>
      </c>
    </row>
    <row r="2738">
      <c r="A2738" s="24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5" t="n">
        <v>184.804958</v>
      </c>
    </row>
    <row r="2739">
      <c r="A2739" s="24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5" t="n">
        <v>182.970823</v>
      </c>
    </row>
    <row r="2740">
      <c r="A2740" s="24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5" t="n">
        <v>138.462443</v>
      </c>
    </row>
    <row r="2741">
      <c r="A2741" s="24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5" t="n">
        <v>106.368317</v>
      </c>
    </row>
    <row r="2742">
      <c r="A2742" s="24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5" t="n">
        <v>109.807106</v>
      </c>
    </row>
    <row r="2743">
      <c r="A2743" s="24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5" t="n">
        <v>146.377698</v>
      </c>
    </row>
    <row r="2744">
      <c r="A2744" s="24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5" t="n">
        <v>167.353408</v>
      </c>
    </row>
    <row r="2745">
      <c r="A2745" s="24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5" t="n">
        <v>143.219285</v>
      </c>
    </row>
    <row r="2746">
      <c r="A2746" s="24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5" t="n">
        <v>158.302744</v>
      </c>
    </row>
    <row r="2747">
      <c r="A2747" s="24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5" t="n">
        <v>147.906349</v>
      </c>
    </row>
    <row r="2748">
      <c r="A2748" s="24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5" t="n">
        <v>132.354755</v>
      </c>
    </row>
    <row r="2749">
      <c r="A2749" s="24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5" t="n">
        <v>132.05777</v>
      </c>
    </row>
    <row r="2750">
      <c r="A2750" s="24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5" t="n">
        <v>130.915928</v>
      </c>
    </row>
    <row r="2751">
      <c r="A2751" s="24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5" t="n">
        <v>119.127224</v>
      </c>
    </row>
    <row r="2752">
      <c r="A2752" s="24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5" t="n">
        <v>97.110437</v>
      </c>
    </row>
    <row r="2753">
      <c r="A2753" s="24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5" t="n">
        <v>92.56256399999999</v>
      </c>
    </row>
    <row r="2754">
      <c r="A2754" s="24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5" t="n">
        <v>90.533581</v>
      </c>
    </row>
    <row r="2755">
      <c r="A2755" s="24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5" t="n">
        <v>93.856218</v>
      </c>
    </row>
    <row r="2756">
      <c r="A2756" s="24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5" t="n">
        <v>102.055341</v>
      </c>
    </row>
    <row r="2757">
      <c r="A2757" s="24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5" t="n">
        <v>81.269024</v>
      </c>
    </row>
    <row r="2758">
      <c r="A2758" s="24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5" t="n">
        <v>63.594667</v>
      </c>
    </row>
    <row r="2759">
      <c r="A2759" s="24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5" t="n">
        <v>71.273495</v>
      </c>
    </row>
    <row r="2760">
      <c r="A2760" s="24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5" t="n">
        <v>84.535224</v>
      </c>
    </row>
    <row r="2761">
      <c r="A2761" s="24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5" t="n">
        <v>106.696286</v>
      </c>
    </row>
    <row r="2762">
      <c r="A2762" s="24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5" t="n">
        <v>111.341282</v>
      </c>
    </row>
    <row r="2763">
      <c r="A2763" s="24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5" t="n">
        <v>97.266952</v>
      </c>
    </row>
    <row r="2764">
      <c r="A2764" s="24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5" t="n">
        <v>94.31040400000001</v>
      </c>
    </row>
    <row r="2765">
      <c r="A2765" s="24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5" t="n">
        <v>97.82369300000001</v>
      </c>
    </row>
    <row r="2766">
      <c r="A2766" s="24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5" t="n">
        <v>123.915127</v>
      </c>
    </row>
    <row r="2767">
      <c r="A2767" s="24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5" t="n">
        <v>166.872007</v>
      </c>
    </row>
    <row r="2768">
      <c r="A2768" s="24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5" t="n">
        <v>178.374721</v>
      </c>
    </row>
    <row r="2769">
      <c r="A2769" s="24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5" t="n">
        <v>166.252328</v>
      </c>
    </row>
    <row r="2770">
      <c r="A2770" s="24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5" t="n">
        <v>146.056709</v>
      </c>
    </row>
    <row r="2771">
      <c r="A2771" s="24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5" t="n">
        <v>131.487011</v>
      </c>
    </row>
    <row r="2772">
      <c r="A2772" s="24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5" t="n">
        <v>118.303124</v>
      </c>
    </row>
    <row r="2773">
      <c r="A2773" s="24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5" t="n">
        <v>102.423075</v>
      </c>
    </row>
    <row r="2774">
      <c r="A2774" s="24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5" t="n">
        <v>102.57712</v>
      </c>
    </row>
    <row r="2775">
      <c r="A2775" s="24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5" t="n">
        <v>104.341992</v>
      </c>
    </row>
    <row r="2776">
      <c r="A2776" s="24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5" t="n">
        <v>103.641567</v>
      </c>
    </row>
    <row r="2777">
      <c r="A2777" s="24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5" t="n">
        <v>97.654579</v>
      </c>
    </row>
    <row r="2778">
      <c r="A2778" s="24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5" t="n">
        <v>153.404518</v>
      </c>
    </row>
    <row r="2779">
      <c r="A2779" s="24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5" t="n">
        <v>175.947526</v>
      </c>
    </row>
    <row r="2780">
      <c r="A2780" s="24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5" t="n">
        <v>176.758695</v>
      </c>
    </row>
    <row r="2781">
      <c r="A2781" s="24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5" t="n">
        <v>177.254426</v>
      </c>
    </row>
    <row r="2782">
      <c r="A2782" s="24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5" t="n">
        <v>149.695314</v>
      </c>
    </row>
    <row r="2783">
      <c r="A2783" s="24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5" t="n">
        <v>131.325659</v>
      </c>
    </row>
    <row r="2784">
      <c r="A2784" s="24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5" t="n">
        <v>157.486124</v>
      </c>
    </row>
    <row r="2785">
      <c r="A2785" s="24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5" t="n">
        <v>147.211878</v>
      </c>
    </row>
    <row r="2786">
      <c r="A2786" s="24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5" t="n">
        <v>168.915523</v>
      </c>
    </row>
    <row r="2787">
      <c r="A2787" s="24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5" t="n">
        <v>154.465902</v>
      </c>
    </row>
    <row r="2788">
      <c r="A2788" s="24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5" t="n">
        <v>176.44511</v>
      </c>
    </row>
    <row r="2789">
      <c r="A2789" s="24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5" t="n">
        <v>192.650569</v>
      </c>
    </row>
    <row r="2790">
      <c r="A2790" s="24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5" t="n">
        <v>187.758898</v>
      </c>
    </row>
    <row r="2791">
      <c r="A2791" s="24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5" t="n">
        <v>184.397811</v>
      </c>
    </row>
    <row r="2792">
      <c r="A2792" s="24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5" t="n">
        <v>173.976548</v>
      </c>
    </row>
    <row r="2793">
      <c r="A2793" s="24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5" t="n">
        <v>152.141043</v>
      </c>
    </row>
    <row r="2794">
      <c r="A2794" s="24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5" t="n">
        <v>165.390509</v>
      </c>
    </row>
    <row r="2795">
      <c r="A2795" s="24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5" t="n">
        <v>145.905731</v>
      </c>
    </row>
    <row r="2796">
      <c r="A2796" s="24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5" t="n">
        <v>175.473215</v>
      </c>
    </row>
    <row r="2797">
      <c r="A2797" s="24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5" t="n">
        <v>195.128714</v>
      </c>
    </row>
    <row r="2798">
      <c r="A2798" s="24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5" t="n">
        <v>191.00973</v>
      </c>
    </row>
    <row r="2799">
      <c r="A2799" s="24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5" t="n">
        <v>181.369445</v>
      </c>
    </row>
    <row r="2800">
      <c r="A2800" s="24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5" t="n">
        <v>191.939664</v>
      </c>
    </row>
    <row r="2801">
      <c r="A2801" s="24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5" t="n">
        <v>162.97033</v>
      </c>
    </row>
    <row r="2802">
      <c r="A2802" s="24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5" t="n">
        <v>158.60459</v>
      </c>
    </row>
    <row r="2803">
      <c r="A2803" s="24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5" t="n">
        <v>152.896696</v>
      </c>
    </row>
    <row r="2804">
      <c r="A2804" s="24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5" t="n">
        <v>138.907314</v>
      </c>
    </row>
    <row r="2805">
      <c r="A2805" s="24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5" t="n">
        <v>138.699494</v>
      </c>
    </row>
    <row r="2806">
      <c r="A2806" s="24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5" t="n">
        <v>116.357991</v>
      </c>
    </row>
    <row r="2807">
      <c r="A2807" s="24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5" t="n">
        <v>96.33990300000001</v>
      </c>
    </row>
    <row r="2808">
      <c r="A2808" s="24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5" t="n">
        <v>84.44734099999999</v>
      </c>
    </row>
    <row r="2809">
      <c r="A2809" s="24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5" t="n">
        <v>80.241147</v>
      </c>
    </row>
    <row r="2810">
      <c r="A2810" s="24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5" t="n">
        <v>97.735899</v>
      </c>
    </row>
    <row r="2811">
      <c r="A2811" s="24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5" t="n">
        <v>89.779737</v>
      </c>
    </row>
    <row r="2812">
      <c r="A2812" s="24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5" t="n">
        <v>73.031384</v>
      </c>
    </row>
    <row r="2813">
      <c r="A2813" s="24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5" t="n">
        <v>61.197701</v>
      </c>
    </row>
    <row r="2814">
      <c r="A2814" s="24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5" t="n">
        <v>51.921419</v>
      </c>
    </row>
    <row r="2815">
      <c r="A2815" s="24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5" t="n">
        <v>74.03203499999999</v>
      </c>
    </row>
    <row r="2816">
      <c r="A2816" s="24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5" t="n">
        <v>61.359085</v>
      </c>
    </row>
    <row r="2817">
      <c r="A2817" s="24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5" t="n">
        <v>48.360732</v>
      </c>
    </row>
    <row r="2818">
      <c r="A2818" s="24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5" t="n">
        <v>53.945434</v>
      </c>
    </row>
    <row r="2819">
      <c r="A2819" s="24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5" t="n">
        <v>65.25156800000001</v>
      </c>
    </row>
    <row r="2820">
      <c r="A2820" s="24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5" t="n">
        <v>67.150144</v>
      </c>
    </row>
    <row r="2821">
      <c r="A2821" s="24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5" t="n">
        <v>76.305132</v>
      </c>
    </row>
    <row r="2822">
      <c r="A2822" s="24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5" t="n">
        <v>70.24384499999999</v>
      </c>
    </row>
    <row r="2823">
      <c r="A2823" s="24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5" t="n">
        <v>64.899759</v>
      </c>
    </row>
    <row r="2824">
      <c r="A2824" s="24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5" t="n">
        <v>64.239942</v>
      </c>
    </row>
    <row r="2825">
      <c r="A2825" s="24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5" t="n">
        <v>51.781334</v>
      </c>
    </row>
    <row r="2826">
      <c r="A2826" s="24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5" t="n">
        <v>45.466679</v>
      </c>
    </row>
    <row r="2827">
      <c r="A2827" s="24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5" t="n">
        <v>47.62364</v>
      </c>
    </row>
    <row r="2828">
      <c r="A2828" s="24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5" t="n">
        <v>71.261116</v>
      </c>
    </row>
    <row r="2829">
      <c r="A2829" s="24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5" t="n">
        <v>64.378877</v>
      </c>
    </row>
    <row r="2830">
      <c r="A2830" s="24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5" t="n">
        <v>108.5406</v>
      </c>
    </row>
    <row r="2831">
      <c r="A2831" s="24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5" t="n">
        <v>112.959202</v>
      </c>
    </row>
    <row r="2832">
      <c r="A2832" s="24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5" t="n">
        <v>85.413082</v>
      </c>
    </row>
    <row r="2833">
      <c r="A2833" s="24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5" t="n">
        <v>68.861013</v>
      </c>
    </row>
    <row r="2834">
      <c r="A2834" s="24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5" t="n">
        <v>61.410005</v>
      </c>
    </row>
    <row r="2835">
      <c r="A2835" s="24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5" t="n">
        <v>53.656119</v>
      </c>
    </row>
    <row r="2836">
      <c r="A2836" s="24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5" t="n">
        <v>45.674617</v>
      </c>
    </row>
    <row r="2837">
      <c r="A2837" s="24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5" t="n">
        <v>43.265749</v>
      </c>
    </row>
    <row r="2838">
      <c r="A2838" s="24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5" t="n">
        <v>44.301284</v>
      </c>
    </row>
    <row r="2839">
      <c r="A2839" s="24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5" t="n">
        <v>43.916451</v>
      </c>
    </row>
    <row r="2840">
      <c r="A2840" s="24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5" t="n">
        <v>37.339243</v>
      </c>
    </row>
    <row r="2841">
      <c r="A2841" s="24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5" t="n">
        <v>31.364054</v>
      </c>
    </row>
    <row r="2842">
      <c r="A2842" s="24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5" t="n">
        <v>47.029655</v>
      </c>
    </row>
    <row r="2843">
      <c r="A2843" s="24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5" t="n">
        <v>43.762972</v>
      </c>
    </row>
    <row r="2844">
      <c r="A2844" s="24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5" t="n">
        <v>36.772566</v>
      </c>
    </row>
    <row r="2845">
      <c r="A2845" s="24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5" t="n">
        <v>35.756898</v>
      </c>
    </row>
    <row r="2846">
      <c r="A2846" s="24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5" t="n">
        <v>32.231006</v>
      </c>
    </row>
    <row r="2847">
      <c r="A2847" s="24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5" t="n">
        <v>27.525863</v>
      </c>
    </row>
    <row r="2848">
      <c r="A2848" s="24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5" t="n">
        <v>30.042125</v>
      </c>
    </row>
    <row r="2849">
      <c r="A2849" s="24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5" t="n">
        <v>30.748442</v>
      </c>
    </row>
    <row r="2850">
      <c r="A2850" s="24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5" t="n">
        <v>35.662473</v>
      </c>
    </row>
    <row r="2851">
      <c r="A2851" s="24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5" t="n">
        <v>30.002166</v>
      </c>
    </row>
    <row r="2852">
      <c r="A2852" s="24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5" t="n">
        <v>24.938534</v>
      </c>
    </row>
    <row r="2853">
      <c r="A2853" s="24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5" t="n">
        <v>24.080836</v>
      </c>
    </row>
    <row r="2854">
      <c r="A2854" s="24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5" t="n">
        <v>40.963475</v>
      </c>
    </row>
    <row r="2855">
      <c r="A2855" s="24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5" t="n">
        <v>47.472347</v>
      </c>
    </row>
    <row r="2856">
      <c r="A2856" s="24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5" t="n">
        <v>48.88214</v>
      </c>
    </row>
    <row r="2857">
      <c r="A2857" s="24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5" t="n">
        <v>47.662812</v>
      </c>
    </row>
    <row r="2858">
      <c r="A2858" s="24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5" t="n">
        <v>40.39552</v>
      </c>
    </row>
    <row r="2859">
      <c r="A2859" s="24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5" t="n">
        <v>37.324336</v>
      </c>
    </row>
    <row r="2860">
      <c r="A2860" s="24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5" t="n">
        <v>41.609064</v>
      </c>
    </row>
    <row r="2861">
      <c r="A2861" s="24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5" t="n">
        <v>42.647381</v>
      </c>
    </row>
    <row r="2862">
      <c r="A2862" s="24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5" t="n">
        <v>43.133623</v>
      </c>
    </row>
    <row r="2863">
      <c r="A2863" s="24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5" t="n">
        <v>46.741002</v>
      </c>
    </row>
    <row r="2864">
      <c r="A2864" s="24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5" t="n">
        <v>45.978321</v>
      </c>
    </row>
    <row r="2865">
      <c r="A2865" s="24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5" t="n">
        <v>37.60729</v>
      </c>
    </row>
    <row r="2866">
      <c r="A2866" s="24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5" t="n">
        <v>32.482997</v>
      </c>
    </row>
    <row r="2867">
      <c r="A2867" s="24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5" t="n">
        <v>29.717443</v>
      </c>
    </row>
    <row r="2868">
      <c r="A2868" s="24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5" t="n">
        <v>27.981567</v>
      </c>
    </row>
    <row r="2869">
      <c r="A2869" s="24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5" t="n">
        <v>26.18231</v>
      </c>
    </row>
    <row r="2870">
      <c r="A2870" s="24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5" t="n">
        <v>24.983201</v>
      </c>
    </row>
    <row r="2871">
      <c r="A2871" s="24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5" t="n">
        <v>24.520318</v>
      </c>
    </row>
    <row r="2872">
      <c r="A2872" s="24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5" t="n">
        <v>23.419188</v>
      </c>
    </row>
    <row r="2873">
      <c r="A2873" s="24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5" t="n">
        <v>27.451969</v>
      </c>
    </row>
    <row r="2874">
      <c r="A2874" s="24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5" t="n">
        <v>23.748177</v>
      </c>
    </row>
    <row r="2875">
      <c r="A2875" s="24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5" t="n">
        <v>22.35251</v>
      </c>
    </row>
    <row r="2876">
      <c r="A2876" s="24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5" t="n">
        <v>29.112726</v>
      </c>
    </row>
    <row r="2877">
      <c r="A2877" s="24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5" t="n">
        <v>26.842136</v>
      </c>
    </row>
    <row r="2878">
      <c r="A2878" s="24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5" t="n">
        <v>27.23274</v>
      </c>
    </row>
    <row r="2879">
      <c r="A2879" s="24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5" t="n">
        <v>24.885815</v>
      </c>
    </row>
    <row r="2880">
      <c r="A2880" s="24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5" t="n">
        <v>24.554104</v>
      </c>
    </row>
    <row r="2881">
      <c r="A2881" s="24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5" t="n">
        <v>22.040484</v>
      </c>
    </row>
    <row r="2882">
      <c r="A2882" s="24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5" t="n">
        <v>22.688198</v>
      </c>
    </row>
    <row r="2883">
      <c r="A2883" s="24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5" t="n">
        <v>22.184233</v>
      </c>
    </row>
    <row r="2884">
      <c r="A2884" s="24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5" t="n">
        <v>22.738521</v>
      </c>
    </row>
    <row r="2885">
      <c r="A2885" s="24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5" t="n">
        <v>18.798652</v>
      </c>
    </row>
    <row r="2886">
      <c r="A2886" s="24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5" t="n">
        <v>22.366421</v>
      </c>
    </row>
    <row r="2887">
      <c r="A2887" s="24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5" t="n">
        <v>21.506136</v>
      </c>
    </row>
    <row r="2888">
      <c r="A2888" s="24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5" t="n">
        <v>19.832958</v>
      </c>
    </row>
    <row r="2889">
      <c r="A2889" s="24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5" t="n">
        <v>18.993321</v>
      </c>
    </row>
    <row r="2890">
      <c r="A2890" s="24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5" t="n">
        <v>25.142204</v>
      </c>
    </row>
    <row r="2891">
      <c r="A2891" s="24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5" t="n">
        <v>26.478917</v>
      </c>
    </row>
    <row r="2892">
      <c r="A2892" s="24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5" t="n">
        <v>26.066485</v>
      </c>
    </row>
    <row r="2893">
      <c r="A2893" s="24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5" t="n">
        <v>21.865553</v>
      </c>
    </row>
    <row r="2894">
      <c r="A2894" s="24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5" t="n">
        <v>36.655624</v>
      </c>
    </row>
    <row r="2895">
      <c r="A2895" s="24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5" t="n">
        <v>35.023745</v>
      </c>
    </row>
    <row r="2896">
      <c r="A2896" s="24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5" t="n">
        <v>31.635575</v>
      </c>
    </row>
    <row r="2897">
      <c r="A2897" s="24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5" t="n">
        <v>41.428733</v>
      </c>
    </row>
    <row r="2898">
      <c r="A2898" s="24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5" t="n">
        <v>38.37155</v>
      </c>
    </row>
    <row r="2899">
      <c r="A2899" s="24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5" t="n">
        <v>39.881627</v>
      </c>
    </row>
    <row r="2900">
      <c r="A2900" s="24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5" t="n">
        <v>32.147642</v>
      </c>
    </row>
    <row r="2901">
      <c r="A2901" s="24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5" t="n">
        <v>35.275485</v>
      </c>
    </row>
    <row r="2902">
      <c r="A2902" s="24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5" t="n">
        <v>51.573425</v>
      </c>
    </row>
    <row r="2903">
      <c r="A2903" s="24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5" t="n">
        <v>53.814802</v>
      </c>
    </row>
    <row r="2904">
      <c r="A2904" s="24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5" t="n">
        <v>41.091715</v>
      </c>
    </row>
    <row r="2905">
      <c r="A2905" s="24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5" t="n">
        <v>32.591108</v>
      </c>
    </row>
    <row r="2906">
      <c r="A2906" s="24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5" t="n">
        <v>28.360612</v>
      </c>
    </row>
    <row r="2907">
      <c r="A2907" s="24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5" t="n">
        <v>30.956108</v>
      </c>
    </row>
    <row r="2908">
      <c r="A2908" s="24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5" t="n">
        <v>46.418649</v>
      </c>
    </row>
    <row r="2909">
      <c r="A2909" s="24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5" t="n">
        <v>40.371118</v>
      </c>
    </row>
    <row r="2910">
      <c r="A2910" s="24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5" t="n">
        <v>31.849528</v>
      </c>
    </row>
    <row r="2911">
      <c r="A2911" s="24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5" t="n">
        <v>32.801652</v>
      </c>
    </row>
    <row r="2912">
      <c r="A2912" s="24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5" t="n">
        <v>26.287729</v>
      </c>
    </row>
    <row r="2913">
      <c r="A2913" s="24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5" t="n">
        <v>24.396548</v>
      </c>
    </row>
    <row r="2914">
      <c r="A2914" s="24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5" t="n">
        <v>25.050192</v>
      </c>
    </row>
    <row r="2915">
      <c r="A2915" s="24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5" t="n">
        <v>33.06007</v>
      </c>
    </row>
    <row r="2916">
      <c r="A2916" s="24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5" t="n">
        <v>31.808166</v>
      </c>
    </row>
    <row r="2917">
      <c r="A2917" s="24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5" t="n">
        <v>25.639938</v>
      </c>
    </row>
    <row r="2918">
      <c r="A2918" s="24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5" t="n">
        <v>21.110832</v>
      </c>
    </row>
    <row r="2919">
      <c r="A2919" s="24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5" t="n">
        <v>34.035015</v>
      </c>
    </row>
    <row r="2920">
      <c r="A2920" s="24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5" t="n">
        <v>55.650179</v>
      </c>
    </row>
    <row r="2921">
      <c r="A2921" s="24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5" t="n">
        <v>52.587761</v>
      </c>
    </row>
    <row r="2922">
      <c r="A2922" s="24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5" t="n">
        <v>52.634589</v>
      </c>
    </row>
    <row r="2923">
      <c r="A2923" s="24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5" t="n">
        <v>51.070189</v>
      </c>
    </row>
    <row r="2924">
      <c r="A2924" s="24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5" t="n">
        <v>41.250772</v>
      </c>
    </row>
    <row r="2925">
      <c r="A2925" s="24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5" t="n">
        <v>33.029578</v>
      </c>
    </row>
    <row r="2926">
      <c r="A2926" s="24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5" t="n">
        <v>28.963701</v>
      </c>
    </row>
    <row r="2927">
      <c r="A2927" s="24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5" t="n">
        <v>27.421827</v>
      </c>
    </row>
    <row r="2928">
      <c r="A2928" s="24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5" t="n">
        <v>42.856233</v>
      </c>
    </row>
    <row r="2929">
      <c r="A2929" s="24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5" t="n">
        <v>41.503799</v>
      </c>
    </row>
    <row r="2930">
      <c r="A2930" s="24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5" t="n">
        <v>35.527784</v>
      </c>
    </row>
    <row r="2931">
      <c r="A2931" s="24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5" t="n">
        <v>27.609406</v>
      </c>
    </row>
    <row r="2932">
      <c r="A2932" s="24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5" t="n">
        <v>22.037714</v>
      </c>
    </row>
    <row r="2933">
      <c r="A2933" s="24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5" t="n">
        <v>19.027202</v>
      </c>
    </row>
    <row r="2934">
      <c r="A2934" s="24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5" t="n">
        <v>20.047108</v>
      </c>
    </row>
    <row r="2935">
      <c r="A2935" s="24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5" t="n">
        <v>44.884422</v>
      </c>
    </row>
    <row r="2936">
      <c r="A2936" s="24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5" t="n">
        <v>39.971239</v>
      </c>
    </row>
    <row r="2937">
      <c r="A2937" s="24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5" t="n">
        <v>36.021794</v>
      </c>
    </row>
    <row r="2938">
      <c r="A2938" s="24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5" t="n">
        <v>28.369927</v>
      </c>
    </row>
    <row r="2939">
      <c r="A2939" s="24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5" t="n">
        <v>38.434903</v>
      </c>
    </row>
    <row r="2940">
      <c r="A2940" s="24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5" t="n">
        <v>33.783139</v>
      </c>
    </row>
    <row r="2941">
      <c r="A2941" s="24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5" t="n">
        <v>45.005028</v>
      </c>
    </row>
    <row r="2942">
      <c r="A2942" s="24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5" t="n">
        <v>61.469683</v>
      </c>
    </row>
    <row r="2943">
      <c r="A2943" s="24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5" t="n">
        <v>56.827686</v>
      </c>
    </row>
    <row r="2944">
      <c r="A2944" s="24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5" t="n">
        <v>83.865217</v>
      </c>
    </row>
    <row r="2945">
      <c r="A2945" s="24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5" t="n">
        <v>65.299211</v>
      </c>
    </row>
    <row r="2946">
      <c r="A2946" s="24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5" t="n">
        <v>65.194592</v>
      </c>
    </row>
    <row r="2947">
      <c r="A2947" s="24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5" t="n">
        <v>61.509507</v>
      </c>
    </row>
    <row r="2948">
      <c r="A2948" s="24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5" t="n">
        <v>50.095504</v>
      </c>
    </row>
    <row r="2949">
      <c r="A2949" s="24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5" t="n">
        <v>39.983212</v>
      </c>
    </row>
    <row r="2950">
      <c r="A2950" s="24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5" t="n">
        <v>31.838943</v>
      </c>
    </row>
    <row r="2951">
      <c r="A2951" s="24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5" t="n">
        <v>30.186328</v>
      </c>
    </row>
    <row r="2952">
      <c r="A2952" s="24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5" t="n">
        <v>29.103266</v>
      </c>
    </row>
    <row r="2953">
      <c r="A2953" s="24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5" t="n">
        <v>33.705322</v>
      </c>
    </row>
    <row r="2954">
      <c r="A2954" s="24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5" t="n">
        <v>39.673441</v>
      </c>
    </row>
    <row r="2955">
      <c r="A2955" s="24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5" t="n">
        <v>32.029371</v>
      </c>
    </row>
    <row r="2956">
      <c r="A2956" s="24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5" t="n">
        <v>32.784191</v>
      </c>
    </row>
    <row r="2957">
      <c r="A2957" s="24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5" t="n">
        <v>43.987025</v>
      </c>
    </row>
    <row r="2958">
      <c r="A2958" s="24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5" t="n">
        <v>71.320598</v>
      </c>
    </row>
    <row r="2959">
      <c r="A2959" s="24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5" t="n">
        <v>75.231562</v>
      </c>
    </row>
    <row r="2960">
      <c r="A2960" s="24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5" t="n">
        <v>57.238601</v>
      </c>
    </row>
    <row r="2961">
      <c r="A2961" s="24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5" t="n">
        <v>42.953526</v>
      </c>
    </row>
    <row r="2962">
      <c r="A2962" s="24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5" t="n">
        <v>42.83461</v>
      </c>
    </row>
    <row r="2963">
      <c r="A2963" s="24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5" t="n">
        <v>90.7222</v>
      </c>
    </row>
    <row r="2964">
      <c r="A2964" s="24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5" t="n">
        <v>80.264629</v>
      </c>
    </row>
    <row r="2965">
      <c r="A2965" s="24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5" t="n">
        <v>59.071979</v>
      </c>
    </row>
    <row r="2966">
      <c r="A2966" s="24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5" t="n">
        <v>47.763042</v>
      </c>
    </row>
    <row r="2967">
      <c r="A2967" s="24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5" t="n">
        <v>55.431205</v>
      </c>
    </row>
    <row r="2968">
      <c r="A2968" s="24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5" t="n">
        <v>45.285235</v>
      </c>
    </row>
    <row r="2969">
      <c r="A2969" s="24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5" t="n">
        <v>41.603971</v>
      </c>
    </row>
    <row r="2970">
      <c r="A2970" s="24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5" t="n">
        <v>38.3519</v>
      </c>
    </row>
    <row r="2971">
      <c r="A2971" s="24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5" t="n">
        <v>93.756129</v>
      </c>
    </row>
    <row r="2972">
      <c r="A2972" s="24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5" t="n">
        <v>109.269772</v>
      </c>
    </row>
    <row r="2973">
      <c r="A2973" s="24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5" t="n">
        <v>136.71443</v>
      </c>
    </row>
    <row r="2974">
      <c r="A2974" s="24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5" t="n">
        <v>113.164573</v>
      </c>
    </row>
    <row r="2975">
      <c r="A2975" s="24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5" t="n">
        <v>86.872108</v>
      </c>
    </row>
    <row r="2976">
      <c r="A2976" s="24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5" t="n">
        <v>82.89575600000001</v>
      </c>
    </row>
    <row r="2977">
      <c r="A2977" s="24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5" t="n">
        <v>81.159885</v>
      </c>
    </row>
    <row r="2978">
      <c r="A2978" s="24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5" t="n">
        <v>66.578998</v>
      </c>
    </row>
    <row r="2979">
      <c r="A2979" s="24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5" t="n">
        <v>73.094131</v>
      </c>
    </row>
    <row r="2980">
      <c r="A2980" s="24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5" t="n">
        <v>116.860518</v>
      </c>
    </row>
    <row r="2981">
      <c r="A2981" s="24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5" t="n">
        <v>153.085471</v>
      </c>
    </row>
    <row r="2982">
      <c r="A2982" s="24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5" t="n">
        <v>155.726568</v>
      </c>
    </row>
    <row r="2983">
      <c r="A2983" s="24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5" t="n">
        <v>181.590637</v>
      </c>
    </row>
    <row r="2984">
      <c r="A2984" s="24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5" t="n">
        <v>190.526734</v>
      </c>
    </row>
    <row r="2985">
      <c r="A2985" s="24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5" t="n">
        <v>158.042828</v>
      </c>
    </row>
    <row r="2986">
      <c r="A2986" s="24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5" t="n">
        <v>127.698247</v>
      </c>
    </row>
    <row r="2987">
      <c r="A2987" s="24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5" t="n">
        <v>131.377242</v>
      </c>
    </row>
    <row r="2988">
      <c r="A2988" s="24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5" t="n">
        <v>105.507338</v>
      </c>
    </row>
    <row r="2989">
      <c r="A2989" s="24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5" t="n">
        <v>102.89105</v>
      </c>
    </row>
    <row r="2990">
      <c r="A2990" s="24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5" t="n">
        <v>82.304034</v>
      </c>
    </row>
    <row r="2991">
      <c r="A2991" s="24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5" t="n">
        <v>130.147474</v>
      </c>
    </row>
    <row r="2992">
      <c r="A2992" s="24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5" t="n">
        <v>149.290878</v>
      </c>
    </row>
    <row r="2993">
      <c r="A2993" s="24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5" t="n">
        <v>147.811692</v>
      </c>
    </row>
    <row r="2994">
      <c r="A2994" s="24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5" t="n">
        <v>119.950539</v>
      </c>
    </row>
    <row r="2995">
      <c r="A2995" s="24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5" t="n">
        <v>103.943969</v>
      </c>
    </row>
    <row r="2996">
      <c r="A2996" s="24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5" t="n">
        <v>96.479782</v>
      </c>
    </row>
    <row r="2997">
      <c r="A2997" s="24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5" t="n">
        <v>76.61253000000001</v>
      </c>
    </row>
    <row r="2998">
      <c r="A2998" s="24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5" t="n">
        <v>126.941872</v>
      </c>
    </row>
    <row r="2999">
      <c r="A2999" s="24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5" t="n">
        <v>148.995827</v>
      </c>
    </row>
    <row r="3000">
      <c r="A3000" s="24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5" t="n">
        <v>113.958162</v>
      </c>
    </row>
    <row r="3001">
      <c r="A3001" s="24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5" t="n">
        <v>87.625659</v>
      </c>
    </row>
    <row r="3002">
      <c r="A3002" s="24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5" t="n">
        <v>70.64430299999999</v>
      </c>
    </row>
    <row r="3003">
      <c r="A3003" s="24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5" t="n">
        <v>57.13835</v>
      </c>
    </row>
    <row r="3004">
      <c r="A3004" s="24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5" t="n">
        <v>46.909652</v>
      </c>
    </row>
    <row r="3005">
      <c r="A3005" s="24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5" t="n">
        <v>50.904237</v>
      </c>
    </row>
    <row r="3006">
      <c r="A3006" s="24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5" t="n">
        <v>43.822507</v>
      </c>
    </row>
    <row r="3007">
      <c r="A3007" s="24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5" t="n">
        <v>35.77667</v>
      </c>
    </row>
    <row r="3008">
      <c r="A3008" s="24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5" t="n">
        <v>29.82828</v>
      </c>
    </row>
    <row r="3009">
      <c r="A3009" s="24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5" t="n">
        <v>25.312649</v>
      </c>
    </row>
    <row r="3010">
      <c r="A3010" s="24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5" t="n">
        <v>22.653251</v>
      </c>
    </row>
    <row r="3011">
      <c r="A3011" s="24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5" t="n">
        <v>59.072367</v>
      </c>
    </row>
    <row r="3012">
      <c r="A3012" s="24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5" t="n">
        <v>49.653174</v>
      </c>
    </row>
    <row r="3013">
      <c r="A3013" s="24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5" t="n">
        <v>45.468606</v>
      </c>
    </row>
    <row r="3014">
      <c r="A3014" s="24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5" t="n">
        <v>35.955978</v>
      </c>
    </row>
    <row r="3015">
      <c r="A3015" s="24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5" t="n">
        <v>28.564839</v>
      </c>
    </row>
    <row r="3016">
      <c r="A3016" s="24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5" t="n">
        <v>23.694403</v>
      </c>
    </row>
    <row r="3017">
      <c r="A3017" s="24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5" t="n">
        <v>41.232899</v>
      </c>
    </row>
    <row r="3018">
      <c r="A3018" s="24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5" t="n">
        <v>49.454606</v>
      </c>
    </row>
    <row r="3019">
      <c r="A3019" s="24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5" t="n">
        <v>50.715694</v>
      </c>
    </row>
    <row r="3020">
      <c r="A3020" s="24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5" t="n">
        <v>43.677768</v>
      </c>
    </row>
    <row r="3021">
      <c r="A3021" s="24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5" t="n">
        <v>63.239355</v>
      </c>
    </row>
    <row r="3022">
      <c r="A3022" s="24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5" t="n">
        <v>52.955943</v>
      </c>
    </row>
    <row r="3023">
      <c r="A3023" s="24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5" t="n">
        <v>56.819976</v>
      </c>
    </row>
    <row r="3024">
      <c r="A3024" s="24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5" t="n">
        <v>47.831384</v>
      </c>
    </row>
    <row r="3025">
      <c r="A3025" s="24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5" t="n">
        <v>38.02298</v>
      </c>
    </row>
    <row r="3026">
      <c r="A3026" s="24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5" t="n">
        <v>31.576684</v>
      </c>
    </row>
    <row r="3027">
      <c r="A3027" s="24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5" t="n">
        <v>26.456395</v>
      </c>
    </row>
    <row r="3028">
      <c r="A3028" s="24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5" t="n">
        <v>24.130368</v>
      </c>
    </row>
    <row r="3029">
      <c r="A3029" s="24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5" t="n">
        <v>20.41585</v>
      </c>
    </row>
    <row r="3030">
      <c r="A3030" s="24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5" t="n">
        <v>18.193837</v>
      </c>
    </row>
    <row r="3031">
      <c r="A3031" s="24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5" t="n">
        <v>23.955027</v>
      </c>
    </row>
    <row r="3032">
      <c r="A3032" s="24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5" t="n">
        <v>55.651576</v>
      </c>
    </row>
    <row r="3033">
      <c r="A3033" s="24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5" t="n">
        <v>46.452692</v>
      </c>
    </row>
    <row r="3034">
      <c r="A3034" s="24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5" t="n">
        <v>46.30324</v>
      </c>
    </row>
    <row r="3035">
      <c r="A3035" s="24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5" t="n">
        <v>81.795455</v>
      </c>
    </row>
    <row r="3036">
      <c r="A3036" s="24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5" t="n">
        <v>120.51857</v>
      </c>
    </row>
    <row r="3037">
      <c r="A3037" s="24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5" t="n">
        <v>106.735945</v>
      </c>
    </row>
    <row r="3038">
      <c r="A3038" s="24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5" t="n">
        <v>98.542608</v>
      </c>
    </row>
    <row r="3039">
      <c r="A3039" s="24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5" t="n">
        <v>75.51055100000001</v>
      </c>
    </row>
    <row r="3040">
      <c r="A3040" s="24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5" t="n">
        <v>68.70522200000001</v>
      </c>
    </row>
    <row r="3041">
      <c r="A3041" s="24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5" t="n">
        <v>56.900231</v>
      </c>
    </row>
    <row r="3042">
      <c r="A3042" s="24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5" t="n">
        <v>45.778643</v>
      </c>
    </row>
    <row r="3043">
      <c r="A3043" s="24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5" t="n">
        <v>42.472315</v>
      </c>
    </row>
    <row r="3044">
      <c r="A3044" s="24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5" t="n">
        <v>35.735148</v>
      </c>
    </row>
    <row r="3045">
      <c r="A3045" s="24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5" t="n">
        <v>28.897136</v>
      </c>
    </row>
    <row r="3046">
      <c r="A3046" s="24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5" t="n">
        <v>23.777756</v>
      </c>
    </row>
    <row r="3047">
      <c r="A3047" s="24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5" t="n">
        <v>19.914801</v>
      </c>
    </row>
    <row r="3048">
      <c r="A3048" s="24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5" t="n">
        <v>17.202867</v>
      </c>
    </row>
    <row r="3049">
      <c r="A3049" s="24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5" t="n">
        <v>14.924421</v>
      </c>
    </row>
    <row r="3050">
      <c r="A3050" s="24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5" t="n">
        <v>12.812815</v>
      </c>
    </row>
    <row r="3051">
      <c r="A3051" s="24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5" t="n">
        <v>18.460741</v>
      </c>
    </row>
    <row r="3052">
      <c r="A3052" s="24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5" t="n">
        <v>15.756497</v>
      </c>
    </row>
    <row r="3053">
      <c r="A3053" s="24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5" t="n">
        <v>18.338253</v>
      </c>
    </row>
    <row r="3054">
      <c r="A3054" s="24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5" t="n">
        <v>15.162434</v>
      </c>
    </row>
    <row r="3055">
      <c r="A3055" s="24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5" t="n">
        <v>14.417237</v>
      </c>
    </row>
    <row r="3056">
      <c r="A3056" s="24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5" t="n">
        <v>11.890256</v>
      </c>
    </row>
    <row r="3057">
      <c r="A3057" s="24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5" t="n">
        <v>12.600249</v>
      </c>
    </row>
    <row r="3058">
      <c r="A3058" s="24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5" t="n">
        <v>16.046742</v>
      </c>
    </row>
    <row r="3059">
      <c r="A3059" s="24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5" t="n">
        <v>53.578867</v>
      </c>
    </row>
    <row r="3060">
      <c r="A3060" s="24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5" t="n">
        <v>97.91740900000001</v>
      </c>
    </row>
    <row r="3061">
      <c r="A3061" s="24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5" t="n">
        <v>77.394119</v>
      </c>
    </row>
    <row r="3062">
      <c r="A3062" s="24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5" t="n">
        <v>58.101123</v>
      </c>
    </row>
    <row r="3063">
      <c r="A3063" s="24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5" t="n">
        <v>57.771955</v>
      </c>
    </row>
    <row r="3064">
      <c r="A3064" s="24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5" t="n">
        <v>62.362071</v>
      </c>
    </row>
    <row r="3065">
      <c r="A3065" s="24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5" t="n">
        <v>97.638457</v>
      </c>
    </row>
    <row r="3066">
      <c r="A3066" s="24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5" t="n">
        <v>82.330383</v>
      </c>
    </row>
    <row r="3067">
      <c r="A3067" s="24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5" t="n">
        <v>83.64137100000001</v>
      </c>
    </row>
    <row r="3068">
      <c r="A3068" s="24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5" t="n">
        <v>77.9415</v>
      </c>
    </row>
    <row r="3069">
      <c r="A3069" s="24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5" t="n">
        <v>70.650136</v>
      </c>
    </row>
    <row r="3070">
      <c r="A3070" s="24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5" t="n">
        <v>55.492561</v>
      </c>
    </row>
    <row r="3071">
      <c r="A3071" s="24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5" t="n">
        <v>43.838095</v>
      </c>
    </row>
    <row r="3072">
      <c r="A3072" s="24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5" t="n">
        <v>36.308251</v>
      </c>
    </row>
    <row r="3073">
      <c r="A3073" s="24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5" t="n">
        <v>31.106843</v>
      </c>
    </row>
    <row r="3074">
      <c r="A3074" s="24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5" t="n">
        <v>28.095077</v>
      </c>
    </row>
    <row r="3075">
      <c r="A3075" s="24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5" t="n">
        <v>34.799343</v>
      </c>
    </row>
    <row r="3076">
      <c r="A3076" s="24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5" t="n">
        <v>38.891103</v>
      </c>
    </row>
    <row r="3077">
      <c r="A3077" s="24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5" t="n">
        <v>35.620122</v>
      </c>
    </row>
    <row r="3078">
      <c r="A3078" s="24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5" t="n">
        <v>74.12259299999999</v>
      </c>
    </row>
    <row r="3079">
      <c r="A3079" s="24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5" t="n">
        <v>105.066421</v>
      </c>
    </row>
    <row r="3080">
      <c r="A3080" s="24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5" t="n">
        <v>128.760395</v>
      </c>
    </row>
    <row r="3081">
      <c r="A3081" s="24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5" t="n">
        <v>125.113585</v>
      </c>
    </row>
    <row r="3082">
      <c r="A3082" s="24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5" t="n">
        <v>94.169787</v>
      </c>
    </row>
    <row r="3083">
      <c r="A3083" s="24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5" t="n">
        <v>106.368276</v>
      </c>
    </row>
    <row r="3084">
      <c r="A3084" s="24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5" t="n">
        <v>98.673125</v>
      </c>
    </row>
    <row r="3085">
      <c r="A3085" s="24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5" t="n">
        <v>78.63487600000001</v>
      </c>
    </row>
    <row r="3086">
      <c r="A3086" s="24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5" t="n">
        <v>72.134865</v>
      </c>
    </row>
    <row r="3087">
      <c r="A3087" s="24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5" t="n">
        <v>67.495047</v>
      </c>
    </row>
    <row r="3088">
      <c r="A3088" s="24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5" t="n">
        <v>109.771758</v>
      </c>
    </row>
    <row r="3089">
      <c r="A3089" s="24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5" t="n">
        <v>97.089247</v>
      </c>
    </row>
    <row r="3090">
      <c r="A3090" s="24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5" t="n">
        <v>74.304519</v>
      </c>
    </row>
    <row r="3091">
      <c r="A3091" s="24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5" t="n">
        <v>58.462284</v>
      </c>
    </row>
    <row r="3092">
      <c r="A3092" s="24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5" t="n">
        <v>46.954501</v>
      </c>
    </row>
    <row r="3093">
      <c r="A3093" s="24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5" t="n">
        <v>38.075821</v>
      </c>
    </row>
    <row r="3094">
      <c r="A3094" s="24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5" t="n">
        <v>31.41682</v>
      </c>
    </row>
    <row r="3095">
      <c r="A3095" s="24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5" t="n">
        <v>30.201823</v>
      </c>
    </row>
    <row r="3096">
      <c r="A3096" s="24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5" t="n">
        <v>108.876087</v>
      </c>
    </row>
    <row r="3097">
      <c r="A3097" s="24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5" t="n">
        <v>136.311578</v>
      </c>
    </row>
    <row r="3098">
      <c r="A3098" s="24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5" t="n">
        <v>137.351287</v>
      </c>
    </row>
    <row r="3099">
      <c r="A3099" s="24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5" t="n">
        <v>117.540159</v>
      </c>
    </row>
    <row r="3100">
      <c r="A3100" s="24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5" t="n">
        <v>94.44187599999999</v>
      </c>
    </row>
    <row r="3101">
      <c r="A3101" s="24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5" t="n">
        <v>73.12506</v>
      </c>
    </row>
    <row r="3102">
      <c r="A3102" s="24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5" t="n">
        <v>61.556974</v>
      </c>
    </row>
    <row r="3103">
      <c r="A3103" s="24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5" t="n">
        <v>51.252951</v>
      </c>
    </row>
    <row r="3104">
      <c r="A3104" s="24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5" t="n">
        <v>49.726144</v>
      </c>
    </row>
    <row r="3105">
      <c r="A3105" s="24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5" t="n">
        <v>40.70079</v>
      </c>
    </row>
    <row r="3106">
      <c r="A3106" s="24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5" t="n">
        <v>44.186116</v>
      </c>
    </row>
    <row r="3107">
      <c r="A3107" s="24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5" t="n">
        <v>39.744114</v>
      </c>
    </row>
    <row r="3108">
      <c r="A3108" s="24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5" t="n">
        <v>44.760679</v>
      </c>
    </row>
    <row r="3109">
      <c r="A3109" s="24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5" t="n">
        <v>63.589561</v>
      </c>
    </row>
    <row r="3110">
      <c r="A3110" s="24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5" t="n">
        <v>74.018204</v>
      </c>
    </row>
    <row r="3111">
      <c r="A3111" s="24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5" t="n">
        <v>63.214401</v>
      </c>
    </row>
    <row r="3112">
      <c r="A3112" s="24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5" t="n">
        <v>48.202221</v>
      </c>
    </row>
    <row r="3113">
      <c r="A3113" s="24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5" t="n">
        <v>38.441827</v>
      </c>
    </row>
    <row r="3114">
      <c r="A3114" s="24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5" t="n">
        <v>34.807058</v>
      </c>
    </row>
    <row r="3115">
      <c r="A3115" s="24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5" t="n">
        <v>28.469103</v>
      </c>
    </row>
    <row r="3116">
      <c r="A3116" s="24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5" t="n">
        <v>23.321811</v>
      </c>
    </row>
    <row r="3117">
      <c r="A3117" s="24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5" t="n">
        <v>21.648013</v>
      </c>
    </row>
    <row r="3118">
      <c r="A3118" s="24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5" t="n">
        <v>37.115476</v>
      </c>
    </row>
    <row r="3119">
      <c r="A3119" s="24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5" t="n">
        <v>79.990043</v>
      </c>
    </row>
    <row r="3120">
      <c r="A3120" s="24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5" t="n">
        <v>96.627003</v>
      </c>
    </row>
    <row r="3121">
      <c r="A3121" s="24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5" t="n">
        <v>73.119044</v>
      </c>
    </row>
    <row r="3122">
      <c r="A3122" s="24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5" t="n">
        <v>54.078603</v>
      </c>
    </row>
    <row r="3123">
      <c r="A3123" s="24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5" t="n">
        <v>42.085565</v>
      </c>
    </row>
    <row r="3124">
      <c r="A3124" s="24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5" t="n">
        <v>66.143479</v>
      </c>
    </row>
    <row r="3125">
      <c r="A3125" s="24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5" t="n">
        <v>88.529759</v>
      </c>
    </row>
    <row r="3126">
      <c r="A3126" s="24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5" t="n">
        <v>70.08633399999999</v>
      </c>
    </row>
    <row r="3127">
      <c r="A3127" s="24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5" t="n">
        <v>79.634061</v>
      </c>
    </row>
    <row r="3128">
      <c r="A3128" s="24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5" t="n">
        <v>63.373983</v>
      </c>
    </row>
    <row r="3129">
      <c r="A3129" s="24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5" t="n">
        <v>75.83017</v>
      </c>
    </row>
    <row r="3130">
      <c r="A3130" s="24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5" t="n">
        <v>60.719027</v>
      </c>
    </row>
    <row r="3131">
      <c r="A3131" s="24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5" t="n">
        <v>59.931857</v>
      </c>
    </row>
    <row r="3132">
      <c r="A3132" s="24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5" t="n">
        <v>82.213748</v>
      </c>
    </row>
    <row r="3133">
      <c r="A3133" s="24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5" t="n">
        <v>70.42021699999999</v>
      </c>
    </row>
    <row r="3134">
      <c r="A3134" s="24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5" t="n">
        <v>53.418914</v>
      </c>
    </row>
    <row r="3135">
      <c r="A3135" s="24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5" t="n">
        <v>43.081415</v>
      </c>
    </row>
    <row r="3136">
      <c r="A3136" s="24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5" t="n">
        <v>35.316974</v>
      </c>
    </row>
    <row r="3137">
      <c r="A3137" s="24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5" t="n">
        <v>30.266365</v>
      </c>
    </row>
    <row r="3138">
      <c r="A3138" s="24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5" t="n">
        <v>25.143724</v>
      </c>
    </row>
    <row r="3139">
      <c r="A3139" s="24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5" t="n">
        <v>20.996276</v>
      </c>
    </row>
    <row r="3140">
      <c r="A3140" s="24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5" t="n">
        <v>17.967935</v>
      </c>
    </row>
    <row r="3141">
      <c r="A3141" s="24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5" t="n">
        <v>15.717743</v>
      </c>
    </row>
    <row r="3142">
      <c r="A3142" s="24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5" t="n">
        <v>14.350459</v>
      </c>
    </row>
    <row r="3143">
      <c r="A3143" s="24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5" t="n">
        <v>13.338717</v>
      </c>
    </row>
    <row r="3144">
      <c r="A3144" s="24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5" t="n">
        <v>11.449316</v>
      </c>
    </row>
    <row r="3145">
      <c r="A3145" s="24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5" t="n">
        <v>9.845162</v>
      </c>
    </row>
    <row r="3146">
      <c r="A3146" s="24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5" t="n">
        <v>15.321932</v>
      </c>
    </row>
    <row r="3147">
      <c r="A3147" s="24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5" t="n">
        <v>17.880629</v>
      </c>
    </row>
    <row r="3148">
      <c r="A3148" s="24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5" t="n">
        <v>14.424788</v>
      </c>
    </row>
    <row r="3149">
      <c r="A3149" s="24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5" t="n">
        <v>11.437377</v>
      </c>
    </row>
    <row r="3150">
      <c r="A3150" s="24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5" t="n">
        <v>9.385947</v>
      </c>
    </row>
    <row r="3151">
      <c r="A3151" s="24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5" t="n">
        <v>7.877407</v>
      </c>
    </row>
    <row r="3152">
      <c r="A3152" s="24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5" t="n">
        <v>6.721812</v>
      </c>
    </row>
    <row r="3153">
      <c r="A3153" s="24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5" t="n">
        <v>5.809543</v>
      </c>
    </row>
    <row r="3154">
      <c r="A3154" s="24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5" t="n">
        <v>5.072647</v>
      </c>
    </row>
    <row r="3155">
      <c r="A3155" s="24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5" t="n">
        <v>4.465844</v>
      </c>
    </row>
    <row r="3156">
      <c r="A3156" s="24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5" t="n">
        <v>11.742517</v>
      </c>
    </row>
    <row r="3157">
      <c r="A3157" s="24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5" t="n">
        <v>9.870018999999999</v>
      </c>
    </row>
    <row r="3158">
      <c r="A3158" s="24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5" t="n">
        <v>7.876835</v>
      </c>
    </row>
    <row r="3159">
      <c r="A3159" s="24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5" t="n">
        <v>8.905249</v>
      </c>
    </row>
    <row r="3160">
      <c r="A3160" s="24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5" t="n">
        <v>7.410245</v>
      </c>
    </row>
    <row r="3161">
      <c r="A3161" s="24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5" t="n">
        <v>6.065889</v>
      </c>
    </row>
    <row r="3162">
      <c r="A3162" s="24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5" t="n">
        <v>5.032564</v>
      </c>
    </row>
    <row r="3163">
      <c r="A3163" s="24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5" t="n">
        <v>21.142883</v>
      </c>
    </row>
    <row r="3164">
      <c r="A3164" s="24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5" t="n">
        <v>21.170135</v>
      </c>
    </row>
    <row r="3165">
      <c r="A3165" s="24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5" t="n">
        <v>16.94938</v>
      </c>
    </row>
    <row r="3166">
      <c r="A3166" s="24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5" t="n">
        <v>13.184138</v>
      </c>
    </row>
    <row r="3167">
      <c r="A3167" s="24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5" t="n">
        <v>10.183529</v>
      </c>
    </row>
    <row r="3168">
      <c r="A3168" s="24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5" t="n">
        <v>11.227837</v>
      </c>
    </row>
    <row r="3169">
      <c r="A3169" s="24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5" t="n">
        <v>9.277317</v>
      </c>
    </row>
    <row r="3170">
      <c r="A3170" s="24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5" t="n">
        <v>12.155662</v>
      </c>
    </row>
    <row r="3171">
      <c r="A3171" s="24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5" t="n">
        <v>10.441708</v>
      </c>
    </row>
    <row r="3172">
      <c r="A3172" s="24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5" t="n">
        <v>8.303077</v>
      </c>
    </row>
    <row r="3173">
      <c r="A3173" s="24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5" t="n">
        <v>8.348494000000001</v>
      </c>
    </row>
    <row r="3174">
      <c r="A3174" s="24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5" t="n">
        <v>29.712924</v>
      </c>
    </row>
    <row r="3175">
      <c r="A3175" s="24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5" t="n">
        <v>53.467706</v>
      </c>
    </row>
    <row r="3176">
      <c r="A3176" s="24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5" t="n">
        <v>40.877811</v>
      </c>
    </row>
    <row r="3177">
      <c r="A3177" s="24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5" t="n">
        <v>30.015827</v>
      </c>
    </row>
    <row r="3178">
      <c r="A3178" s="24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5" t="n">
        <v>23.004143</v>
      </c>
    </row>
    <row r="3179">
      <c r="A3179" s="24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5" t="n">
        <v>17.869914</v>
      </c>
    </row>
    <row r="3180">
      <c r="A3180" s="24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5" t="n">
        <v>14.384858</v>
      </c>
    </row>
    <row r="3181">
      <c r="A3181" s="24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5" t="n">
        <v>11.634197</v>
      </c>
    </row>
    <row r="3182">
      <c r="A3182" s="24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5" t="n">
        <v>10.101468</v>
      </c>
    </row>
    <row r="3183">
      <c r="A3183" s="24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5" t="n">
        <v>8.50756</v>
      </c>
    </row>
    <row r="3184">
      <c r="A3184" s="24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5" t="n">
        <v>7.057653</v>
      </c>
    </row>
    <row r="3185">
      <c r="A3185" s="24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5" t="n">
        <v>5.939408</v>
      </c>
    </row>
    <row r="3186">
      <c r="A3186" s="24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5" t="n">
        <v>5.073658</v>
      </c>
    </row>
    <row r="3187">
      <c r="A3187" s="24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5" t="n">
        <v>4.38396</v>
      </c>
    </row>
    <row r="3188">
      <c r="A3188" s="24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5" t="n">
        <v>4.123579</v>
      </c>
    </row>
    <row r="3189">
      <c r="A3189" s="24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5" t="n">
        <v>8.597996999999999</v>
      </c>
    </row>
    <row r="3190">
      <c r="A3190" s="24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5" t="n">
        <v>64.76070300000001</v>
      </c>
    </row>
    <row r="3191">
      <c r="A3191" s="24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5" t="n">
        <v>87.97532200000001</v>
      </c>
    </row>
    <row r="3192">
      <c r="A3192" s="24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5" t="n">
        <v>75.55173600000001</v>
      </c>
    </row>
    <row r="3193">
      <c r="A3193" s="24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5" t="n">
        <v>55.841938</v>
      </c>
    </row>
    <row r="3194">
      <c r="A3194" s="24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5" t="n">
        <v>46.359928</v>
      </c>
    </row>
    <row r="3195">
      <c r="A3195" s="24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5" t="n">
        <v>37.814459</v>
      </c>
    </row>
    <row r="3196">
      <c r="A3196" s="24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5" t="n">
        <v>37.468756</v>
      </c>
    </row>
    <row r="3197">
      <c r="A3197" s="24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5" t="n">
        <v>31.926527</v>
      </c>
    </row>
    <row r="3198">
      <c r="A3198" s="24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5" t="n">
        <v>25.917087</v>
      </c>
    </row>
    <row r="3199">
      <c r="A3199" s="24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5" t="n">
        <v>20.689118</v>
      </c>
    </row>
    <row r="3200">
      <c r="A3200" s="24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5" t="n">
        <v>18.20948</v>
      </c>
    </row>
    <row r="3201">
      <c r="A3201" s="24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5" t="n">
        <v>14.999663</v>
      </c>
    </row>
    <row r="3202">
      <c r="A3202" s="24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5" t="n">
        <v>12.394717</v>
      </c>
    </row>
    <row r="3203">
      <c r="A3203" s="24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5" t="n">
        <v>10.419366</v>
      </c>
    </row>
    <row r="3204">
      <c r="A3204" s="24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5" t="n">
        <v>17.020001</v>
      </c>
    </row>
    <row r="3205">
      <c r="A3205" s="24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5" t="n">
        <v>73.88884899999999</v>
      </c>
    </row>
    <row r="3206">
      <c r="A3206" s="24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5" t="n">
        <v>89.442824</v>
      </c>
    </row>
    <row r="3207">
      <c r="A3207" s="24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5" t="n">
        <v>73.418092</v>
      </c>
    </row>
    <row r="3208">
      <c r="A3208" s="24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5" t="n">
        <v>61.164036</v>
      </c>
    </row>
    <row r="3209">
      <c r="A3209" s="24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5" t="n">
        <v>51.549645</v>
      </c>
    </row>
    <row r="3210">
      <c r="A3210" s="24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5" t="n">
        <v>40.168482</v>
      </c>
    </row>
    <row r="3211">
      <c r="A3211" s="24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5" t="n">
        <v>62.138037</v>
      </c>
    </row>
    <row r="3212">
      <c r="A3212" s="24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5" t="n">
        <v>67.41601300000001</v>
      </c>
    </row>
    <row r="3213">
      <c r="A3213" s="24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5" t="n">
        <v>51.379203</v>
      </c>
    </row>
    <row r="3214">
      <c r="A3214" s="24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5" t="n">
        <v>38.901492</v>
      </c>
    </row>
    <row r="3215">
      <c r="A3215" s="24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5" t="n">
        <v>30.592709</v>
      </c>
    </row>
    <row r="3216">
      <c r="A3216" s="24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5" t="n">
        <v>24.64563</v>
      </c>
    </row>
    <row r="3217">
      <c r="A3217" s="24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5" t="n">
        <v>31.721147</v>
      </c>
    </row>
    <row r="3218">
      <c r="A3218" s="24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5" t="n">
        <v>28.840589</v>
      </c>
    </row>
    <row r="3219">
      <c r="A3219" s="24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5" t="n">
        <v>62.201434</v>
      </c>
    </row>
    <row r="3220">
      <c r="A3220" s="24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5" t="n">
        <v>62.035206</v>
      </c>
    </row>
    <row r="3221">
      <c r="A3221" s="24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5" t="n">
        <v>52.909897</v>
      </c>
    </row>
    <row r="3222">
      <c r="A3222" s="24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5" t="n">
        <v>74.475854</v>
      </c>
    </row>
    <row r="3223">
      <c r="A3223" s="24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5" t="n">
        <v>58.224752</v>
      </c>
    </row>
    <row r="3224">
      <c r="A3224" s="24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5" t="n">
        <v>43.58087</v>
      </c>
    </row>
    <row r="3225">
      <c r="A3225" s="24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5" t="n">
        <v>33.939303</v>
      </c>
    </row>
    <row r="3226">
      <c r="A3226" s="24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5" t="n">
        <v>27.105776</v>
      </c>
    </row>
    <row r="3227">
      <c r="A3227" s="24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5" t="n">
        <v>22.102121</v>
      </c>
    </row>
    <row r="3228">
      <c r="A3228" s="24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5" t="n">
        <v>18.324353</v>
      </c>
    </row>
    <row r="3229">
      <c r="A3229" s="24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5" t="n">
        <v>15.405679</v>
      </c>
    </row>
    <row r="3230">
      <c r="A3230" s="24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5" t="n">
        <v>13.103914</v>
      </c>
    </row>
    <row r="3231">
      <c r="A3231" s="24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5" t="n">
        <v>11.256265</v>
      </c>
    </row>
    <row r="3232">
      <c r="A3232" s="24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5" t="n">
        <v>9.749273000000001</v>
      </c>
    </row>
    <row r="3233">
      <c r="A3233" s="24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5" t="n">
        <v>26.118934</v>
      </c>
    </row>
    <row r="3234">
      <c r="A3234" s="24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5" t="n">
        <v>21.433096</v>
      </c>
    </row>
    <row r="3235">
      <c r="A3235" s="24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5" t="n">
        <v>17.896769</v>
      </c>
    </row>
    <row r="3236">
      <c r="A3236" s="24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5" t="n">
        <v>70.188926</v>
      </c>
    </row>
    <row r="3237">
      <c r="A3237" s="24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5" t="n">
        <v>73.810261</v>
      </c>
    </row>
    <row r="3238">
      <c r="A3238" s="24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5" t="n">
        <v>53.970029</v>
      </c>
    </row>
    <row r="3239">
      <c r="A3239" s="24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5" t="n">
        <v>41.905102</v>
      </c>
    </row>
    <row r="3240">
      <c r="A3240" s="24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5" t="n">
        <v>67.05993599999999</v>
      </c>
    </row>
    <row r="3241">
      <c r="A3241" s="24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5" t="n">
        <v>74.8259</v>
      </c>
    </row>
    <row r="3242">
      <c r="A3242" s="24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5" t="n">
        <v>66.50645900000001</v>
      </c>
    </row>
    <row r="3243">
      <c r="A3243" s="24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5" t="n">
        <v>53.180099</v>
      </c>
    </row>
    <row r="3244">
      <c r="A3244" s="24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5" t="n">
        <v>59.925021</v>
      </c>
    </row>
    <row r="3245">
      <c r="A3245" s="24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5" t="n">
        <v>75.72353200000001</v>
      </c>
    </row>
    <row r="3246">
      <c r="A3246" s="24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5" t="n">
        <v>79.30640099999999</v>
      </c>
    </row>
    <row r="3247">
      <c r="A3247" s="24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5" t="n">
        <v>84.050603</v>
      </c>
    </row>
    <row r="3248">
      <c r="A3248" s="24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5" t="n">
        <v>89.304725</v>
      </c>
    </row>
    <row r="3249">
      <c r="A3249" s="24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5" t="n">
        <v>68.864397</v>
      </c>
    </row>
    <row r="3250">
      <c r="A3250" s="24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5" t="n">
        <v>52.526996</v>
      </c>
    </row>
    <row r="3251">
      <c r="A3251" s="24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5" t="n">
        <v>41.746724</v>
      </c>
    </row>
    <row r="3252">
      <c r="A3252" s="24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5" t="n">
        <v>35.934552</v>
      </c>
    </row>
    <row r="3253">
      <c r="A3253" s="24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5" t="n">
        <v>29.324205</v>
      </c>
    </row>
    <row r="3254">
      <c r="A3254" s="24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5" t="n">
        <v>24.090258</v>
      </c>
    </row>
    <row r="3255">
      <c r="A3255" s="24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5" t="n">
        <v>20.144355</v>
      </c>
    </row>
    <row r="3256">
      <c r="A3256" s="24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5" t="n">
        <v>17.615988</v>
      </c>
    </row>
    <row r="3257">
      <c r="A3257" s="24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5" t="n">
        <v>15.284502</v>
      </c>
    </row>
    <row r="3258">
      <c r="A3258" s="24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5" t="n">
        <v>13.026428</v>
      </c>
    </row>
    <row r="3259">
      <c r="A3259" s="24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5" t="n">
        <v>16.53375</v>
      </c>
    </row>
    <row r="3260">
      <c r="A3260" s="24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5" t="n">
        <v>33.605588</v>
      </c>
    </row>
    <row r="3261">
      <c r="A3261" s="24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5" t="n">
        <v>51.095734</v>
      </c>
    </row>
    <row r="3262">
      <c r="A3262" s="24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5" t="n">
        <v>57.505312</v>
      </c>
    </row>
    <row r="3263">
      <c r="A3263" s="24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5" t="n">
        <v>47.571946</v>
      </c>
    </row>
    <row r="3264">
      <c r="A3264" s="24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5" t="n">
        <v>35.723427</v>
      </c>
    </row>
    <row r="3265">
      <c r="A3265" s="24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5" t="n">
        <v>27.53348</v>
      </c>
    </row>
    <row r="3266">
      <c r="A3266" s="24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5" t="n">
        <v>21.881503</v>
      </c>
    </row>
    <row r="3267">
      <c r="A3267" s="24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5" t="n">
        <v>32.661237</v>
      </c>
    </row>
    <row r="3268">
      <c r="A3268" s="24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5" t="n">
        <v>32.059748</v>
      </c>
    </row>
    <row r="3269">
      <c r="A3269" s="24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5" t="n">
        <v>25.428701</v>
      </c>
    </row>
    <row r="3270">
      <c r="A3270" s="24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5" t="n">
        <v>19.892165</v>
      </c>
    </row>
    <row r="3271">
      <c r="A3271" s="24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5" t="n">
        <v>16.237967</v>
      </c>
    </row>
    <row r="3272">
      <c r="A3272" s="24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5" t="n">
        <v>13.366878</v>
      </c>
    </row>
    <row r="3273">
      <c r="A3273" s="24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5" t="n">
        <v>11.171167</v>
      </c>
    </row>
    <row r="3274">
      <c r="A3274" s="24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5" t="n">
        <v>9.468674999999999</v>
      </c>
    </row>
    <row r="3275">
      <c r="A3275" s="24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5" t="n">
        <v>8.118698999999999</v>
      </c>
    </row>
    <row r="3276">
      <c r="A3276" s="24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5" t="n">
        <v>8.095407</v>
      </c>
    </row>
    <row r="3277">
      <c r="A3277" s="24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5" t="n">
        <v>14.390032</v>
      </c>
    </row>
    <row r="3278">
      <c r="A3278" s="24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5" t="n">
        <v>66.64066</v>
      </c>
    </row>
    <row r="3279">
      <c r="A3279" s="24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5" t="n">
        <v>63.27548</v>
      </c>
    </row>
    <row r="3280">
      <c r="A3280" s="24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5" t="n">
        <v>50.399553</v>
      </c>
    </row>
    <row r="3281">
      <c r="A3281" s="24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5" t="n">
        <v>51.07284</v>
      </c>
    </row>
    <row r="3282">
      <c r="A3282" s="24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5" t="n">
        <v>53.475149</v>
      </c>
    </row>
    <row r="3283">
      <c r="A3283" s="24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5" t="n">
        <v>72.834833</v>
      </c>
    </row>
    <row r="3284">
      <c r="A3284" s="24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5" t="n">
        <v>56.645332</v>
      </c>
    </row>
    <row r="3285">
      <c r="A3285" s="24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5" t="n">
        <v>42.029004</v>
      </c>
    </row>
    <row r="3286">
      <c r="A3286" s="24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5" t="n">
        <v>35.240551</v>
      </c>
    </row>
    <row r="3287">
      <c r="A3287" s="24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5" t="n">
        <v>61.393865</v>
      </c>
    </row>
    <row r="3288">
      <c r="A3288" s="24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5" t="n">
        <v>85.324322</v>
      </c>
    </row>
    <row r="3289">
      <c r="A3289" s="24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5" t="n">
        <v>108.566028</v>
      </c>
    </row>
    <row r="3290">
      <c r="A3290" s="24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5" t="n">
        <v>105.273614</v>
      </c>
    </row>
    <row r="3291">
      <c r="A3291" s="24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5" t="n">
        <v>82.629958</v>
      </c>
    </row>
    <row r="3292">
      <c r="A3292" s="24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5" t="n">
        <v>90.49212300000001</v>
      </c>
    </row>
    <row r="3293">
      <c r="A3293" s="24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5" t="n">
        <v>85.443966</v>
      </c>
    </row>
    <row r="3294">
      <c r="A3294" s="24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5" t="n">
        <v>67.357787</v>
      </c>
    </row>
    <row r="3295">
      <c r="A3295" s="24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5" t="n">
        <v>52.4473</v>
      </c>
    </row>
    <row r="3296">
      <c r="A3296" s="24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5" t="n">
        <v>41.797637</v>
      </c>
    </row>
    <row r="3297">
      <c r="A3297" s="24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5" t="n">
        <v>43.147597</v>
      </c>
    </row>
    <row r="3298">
      <c r="A3298" s="24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5" t="n">
        <v>41.333022</v>
      </c>
    </row>
    <row r="3299">
      <c r="A3299" s="24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5" t="n">
        <v>46.174992</v>
      </c>
    </row>
    <row r="3300">
      <c r="A3300" s="24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5" t="n">
        <v>38.40741</v>
      </c>
    </row>
    <row r="3301">
      <c r="A3301" s="24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5" t="n">
        <v>32.143598</v>
      </c>
    </row>
    <row r="3302">
      <c r="A3302" s="24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5" t="n">
        <v>37.016267</v>
      </c>
    </row>
    <row r="3303">
      <c r="A3303" s="24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5" t="n">
        <v>35.32044</v>
      </c>
    </row>
    <row r="3304">
      <c r="A3304" s="24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5" t="n">
        <v>42.445549</v>
      </c>
    </row>
    <row r="3305">
      <c r="A3305" s="24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5" t="n">
        <v>37.500152</v>
      </c>
    </row>
    <row r="3306">
      <c r="A3306" s="24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5" t="n">
        <v>33.498296</v>
      </c>
    </row>
    <row r="3307">
      <c r="A3307" s="24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5" t="n">
        <v>53.20085</v>
      </c>
    </row>
    <row r="3308">
      <c r="A3308" s="24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5" t="n">
        <v>70.601388</v>
      </c>
    </row>
    <row r="3309">
      <c r="A3309" s="24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5" t="n">
        <v>60.445916</v>
      </c>
    </row>
    <row r="3310">
      <c r="A3310" s="24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5" t="n">
        <v>59.557902</v>
      </c>
    </row>
    <row r="3311">
      <c r="A3311" s="24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5" t="n">
        <v>65.02207799999999</v>
      </c>
    </row>
    <row r="3312">
      <c r="A3312" s="24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5" t="n">
        <v>52.729993</v>
      </c>
    </row>
    <row r="3313">
      <c r="A3313" s="24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5" t="n">
        <v>40.903631</v>
      </c>
    </row>
    <row r="3314">
      <c r="A3314" s="24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5" t="n">
        <v>41.096733</v>
      </c>
    </row>
    <row r="3315">
      <c r="A3315" s="24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5" t="n">
        <v>37.05991</v>
      </c>
    </row>
    <row r="3316">
      <c r="A3316" s="24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5" t="n">
        <v>31.245951</v>
      </c>
    </row>
    <row r="3317">
      <c r="A3317" s="24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5" t="n">
        <v>27.296866</v>
      </c>
    </row>
    <row r="3318">
      <c r="A3318" s="24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5" t="n">
        <v>25.53621</v>
      </c>
    </row>
    <row r="3319">
      <c r="A3319" s="24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5" t="n">
        <v>23.563201</v>
      </c>
    </row>
    <row r="3320">
      <c r="A3320" s="24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5" t="n">
        <v>21.729454</v>
      </c>
    </row>
    <row r="3321">
      <c r="A3321" s="24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5" t="n">
        <v>19.074886</v>
      </c>
    </row>
    <row r="3322">
      <c r="A3322" s="24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5" t="n">
        <v>20.474923</v>
      </c>
    </row>
    <row r="3323">
      <c r="A3323" s="24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5" t="n">
        <v>28.212668</v>
      </c>
    </row>
    <row r="3324">
      <c r="A3324" s="24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5" t="n">
        <v>27.777633</v>
      </c>
    </row>
    <row r="3325">
      <c r="A3325" s="24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5" t="n">
        <v>24.080459</v>
      </c>
    </row>
    <row r="3326">
      <c r="A3326" s="24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5" t="n">
        <v>19.181505</v>
      </c>
    </row>
    <row r="3327">
      <c r="A3327" s="24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5" t="n">
        <v>15.3087</v>
      </c>
    </row>
    <row r="3328">
      <c r="A3328" s="24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5" t="n">
        <v>12.74079</v>
      </c>
    </row>
    <row r="3329">
      <c r="A3329" s="24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5" t="n">
        <v>13.925112</v>
      </c>
    </row>
    <row r="3330">
      <c r="A3330" s="24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5" t="n">
        <v>12.861899</v>
      </c>
    </row>
    <row r="3331">
      <c r="A3331" s="24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5" t="n">
        <v>10.478047</v>
      </c>
    </row>
    <row r="3332">
      <c r="A3332" s="24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5" t="n">
        <v>8.633478</v>
      </c>
    </row>
    <row r="3333">
      <c r="A3333" s="24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5" t="n">
        <v>7.276484</v>
      </c>
    </row>
    <row r="3334">
      <c r="A3334" s="24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5" t="n">
        <v>6.226243</v>
      </c>
    </row>
    <row r="3335">
      <c r="A3335" s="24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5" t="n">
        <v>5.94242</v>
      </c>
    </row>
    <row r="3336">
      <c r="A3336" s="24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5" t="n">
        <v>11.683566</v>
      </c>
    </row>
    <row r="3337">
      <c r="A3337" s="24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5" t="n">
        <v>9.723312999999999</v>
      </c>
    </row>
    <row r="3338">
      <c r="A3338" s="24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5" t="n">
        <v>10.230516</v>
      </c>
    </row>
    <row r="3339">
      <c r="A3339" s="24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5" t="n">
        <v>23.74267</v>
      </c>
    </row>
    <row r="3340">
      <c r="A3340" s="24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5" t="n">
        <v>23.315975</v>
      </c>
    </row>
    <row r="3341">
      <c r="A3341" s="24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5" t="n">
        <v>30.730228</v>
      </c>
    </row>
    <row r="3342">
      <c r="A3342" s="24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5" t="n">
        <v>34.241916</v>
      </c>
    </row>
    <row r="3343">
      <c r="A3343" s="24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5" t="n">
        <v>56.636458</v>
      </c>
    </row>
    <row r="3344">
      <c r="A3344" s="24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5" t="n">
        <v>49.556394</v>
      </c>
    </row>
    <row r="3345">
      <c r="A3345" s="24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5" t="n">
        <v>43.068574</v>
      </c>
    </row>
    <row r="3346">
      <c r="A3346" s="24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5" t="n">
        <v>36.835439</v>
      </c>
    </row>
    <row r="3347">
      <c r="A3347" s="24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5" t="n">
        <v>28.364278</v>
      </c>
    </row>
    <row r="3348">
      <c r="A3348" s="24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5" t="n">
        <v>22.469099</v>
      </c>
    </row>
    <row r="3349">
      <c r="A3349" s="24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5" t="n">
        <v>19.60271</v>
      </c>
    </row>
    <row r="3350">
      <c r="A3350" s="24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5" t="n">
        <v>15.983833</v>
      </c>
    </row>
    <row r="3351">
      <c r="A3351" s="24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5" t="n">
        <v>17.797651</v>
      </c>
    </row>
    <row r="3352">
      <c r="A3352" s="24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5" t="n">
        <v>25.443003</v>
      </c>
    </row>
    <row r="3353">
      <c r="A3353" s="24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5" t="n">
        <v>26.053485</v>
      </c>
    </row>
    <row r="3354">
      <c r="A3354" s="24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5" t="n">
        <v>21.241262</v>
      </c>
    </row>
    <row r="3355">
      <c r="A3355" s="24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5" t="n">
        <v>16.56086</v>
      </c>
    </row>
    <row r="3356">
      <c r="A3356" s="24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5" t="n">
        <v>16.747946</v>
      </c>
    </row>
    <row r="3357">
      <c r="A3357" s="24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5" t="n">
        <v>19.482895</v>
      </c>
    </row>
    <row r="3358">
      <c r="A3358" s="24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5" t="n">
        <v>71.780141</v>
      </c>
    </row>
    <row r="3359">
      <c r="A3359" s="24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5" t="n">
        <v>62.138064</v>
      </c>
    </row>
    <row r="3360">
      <c r="A3360" s="24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5" t="n">
        <v>47.316686</v>
      </c>
    </row>
    <row r="3361">
      <c r="A3361" s="24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5" t="n">
        <v>91.75020000000001</v>
      </c>
    </row>
    <row r="3362">
      <c r="A3362" s="24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5" t="n">
        <v>88.643822</v>
      </c>
    </row>
    <row r="3363">
      <c r="A3363" s="24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5" t="n">
        <v>67.32292700000001</v>
      </c>
    </row>
    <row r="3364">
      <c r="A3364" s="24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5" t="n">
        <v>53.062875</v>
      </c>
    </row>
    <row r="3365">
      <c r="A3365" s="24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5" t="n">
        <v>55.664531</v>
      </c>
    </row>
    <row r="3366">
      <c r="A3366" s="24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5" t="n">
        <v>54.581002</v>
      </c>
    </row>
    <row r="3367">
      <c r="A3367" s="24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5" t="n">
        <v>43.605082</v>
      </c>
    </row>
    <row r="3368">
      <c r="A3368" s="24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5" t="n">
        <v>42.648333</v>
      </c>
    </row>
    <row r="3369">
      <c r="A3369" s="24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5" t="n">
        <v>52.277182</v>
      </c>
    </row>
    <row r="3370">
      <c r="A3370" s="24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5" t="n">
        <v>47.894199</v>
      </c>
    </row>
    <row r="3371">
      <c r="A3371" s="24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5" t="n">
        <v>94.812663</v>
      </c>
    </row>
    <row r="3372">
      <c r="A3372" s="24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5" t="n">
        <v>104.60326</v>
      </c>
    </row>
    <row r="3373">
      <c r="A3373" s="24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5" t="n">
        <v>95.205806</v>
      </c>
    </row>
    <row r="3374">
      <c r="A3374" s="24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5" t="n">
        <v>74.07071000000001</v>
      </c>
    </row>
    <row r="3375">
      <c r="A3375" s="24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5" t="n">
        <v>56.369725</v>
      </c>
    </row>
    <row r="3376">
      <c r="A3376" s="24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5" t="n">
        <v>47.311712</v>
      </c>
    </row>
    <row r="3377">
      <c r="A3377" s="24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5" t="n">
        <v>67.275632</v>
      </c>
    </row>
    <row r="3378">
      <c r="A3378" s="24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5" t="n">
        <v>56.041107</v>
      </c>
    </row>
    <row r="3379">
      <c r="A3379" s="24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5" t="n">
        <v>59.784188</v>
      </c>
    </row>
    <row r="3380">
      <c r="A3380" s="24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5" t="n">
        <v>49.218292</v>
      </c>
    </row>
    <row r="3381">
      <c r="A3381" s="24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5" t="n">
        <v>54.440518</v>
      </c>
    </row>
    <row r="3382">
      <c r="A3382" s="24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5" t="n">
        <v>86.664968</v>
      </c>
    </row>
    <row r="3383">
      <c r="A3383" s="24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5" t="n">
        <v>98.56000299999999</v>
      </c>
    </row>
    <row r="3384">
      <c r="A3384" s="24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5" t="n">
        <v>76.86032400000001</v>
      </c>
    </row>
    <row r="3385">
      <c r="A3385" s="24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5" t="n">
        <v>63.105807</v>
      </c>
    </row>
    <row r="3386">
      <c r="A3386" s="24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5" t="n">
        <v>54.794233</v>
      </c>
    </row>
    <row r="3387">
      <c r="A3387" s="24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5" t="n">
        <v>59.755322</v>
      </c>
    </row>
    <row r="3388">
      <c r="A3388" s="24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5" t="n">
        <v>54.106545</v>
      </c>
    </row>
    <row r="3389">
      <c r="A3389" s="24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5" t="n">
        <v>56.34006</v>
      </c>
    </row>
    <row r="3390">
      <c r="A3390" s="24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5" t="n">
        <v>48.181494</v>
      </c>
    </row>
    <row r="3391">
      <c r="A3391" s="24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5" t="n">
        <v>40.681181</v>
      </c>
    </row>
    <row r="3392">
      <c r="A3392" s="24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5" t="n">
        <v>36.723321</v>
      </c>
    </row>
    <row r="3393">
      <c r="A3393" s="24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5" t="n">
        <v>40.498847</v>
      </c>
    </row>
    <row r="3394">
      <c r="A3394" s="24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5" t="n">
        <v>40.314969</v>
      </c>
    </row>
    <row r="3395">
      <c r="A3395" s="24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5" t="n">
        <v>36.520273</v>
      </c>
    </row>
    <row r="3396">
      <c r="A3396" s="24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5" t="n">
        <v>35.574653</v>
      </c>
    </row>
    <row r="3397">
      <c r="A3397" s="24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5" t="n">
        <v>44.259351</v>
      </c>
    </row>
    <row r="3398">
      <c r="A3398" s="24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5" t="n">
        <v>50.577099</v>
      </c>
    </row>
    <row r="3399">
      <c r="A3399" s="24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5" t="n">
        <v>39.970274</v>
      </c>
    </row>
    <row r="3400">
      <c r="A3400" s="24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5" t="n">
        <v>48.973727</v>
      </c>
    </row>
    <row r="3401">
      <c r="A3401" s="24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5" t="n">
        <v>44.803915</v>
      </c>
    </row>
    <row r="3402">
      <c r="A3402" s="24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5" t="n">
        <v>50.967221</v>
      </c>
    </row>
    <row r="3403">
      <c r="A3403" s="24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5" t="n">
        <v>42.38725</v>
      </c>
    </row>
    <row r="3404">
      <c r="A3404" s="24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5" t="n">
        <v>43.496465</v>
      </c>
    </row>
    <row r="3405">
      <c r="A3405" s="24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5" t="n">
        <v>36.573658</v>
      </c>
    </row>
    <row r="3406">
      <c r="A3406" s="24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5" t="n">
        <v>30.846408</v>
      </c>
    </row>
    <row r="3407">
      <c r="A3407" s="24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5" t="n">
        <v>26.373816</v>
      </c>
    </row>
    <row r="3408">
      <c r="A3408" s="24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5" t="n">
        <v>23.189336</v>
      </c>
    </row>
    <row r="3409">
      <c r="A3409" s="24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5" t="n">
        <v>23.192276</v>
      </c>
    </row>
    <row r="3410">
      <c r="A3410" s="24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5" t="n">
        <v>37.01195</v>
      </c>
    </row>
    <row r="3411">
      <c r="A3411" s="24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5" t="n">
        <v>42.786814</v>
      </c>
    </row>
    <row r="3412">
      <c r="A3412" s="24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5" t="n">
        <v>44.940893</v>
      </c>
    </row>
    <row r="3413">
      <c r="A3413" s="24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5" t="n">
        <v>69.520769</v>
      </c>
    </row>
    <row r="3414">
      <c r="A3414" s="24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5" t="n">
        <v>64.25511899999999</v>
      </c>
    </row>
    <row r="3415">
      <c r="A3415" s="24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5" t="n">
        <v>66.483687</v>
      </c>
    </row>
    <row r="3416">
      <c r="A3416" s="24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5" t="n">
        <v>61.664016</v>
      </c>
    </row>
    <row r="3417">
      <c r="A3417" s="24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5" t="n">
        <v>60.175656</v>
      </c>
    </row>
    <row r="3418">
      <c r="A3418" s="24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5" t="n">
        <v>70.47962099999999</v>
      </c>
    </row>
    <row r="3419">
      <c r="A3419" s="24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5" t="n">
        <v>83.40638</v>
      </c>
    </row>
    <row r="3420">
      <c r="A3420" s="24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5" t="n">
        <v>93.13310300000001</v>
      </c>
    </row>
    <row r="3421">
      <c r="A3421" s="24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5" t="n">
        <v>103.955908</v>
      </c>
    </row>
    <row r="3422">
      <c r="A3422" s="24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5" t="n">
        <v>85.613895</v>
      </c>
    </row>
    <row r="3423">
      <c r="A3423" s="24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5" t="n">
        <v>75.284432</v>
      </c>
    </row>
    <row r="3424">
      <c r="A3424" s="24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5" t="n">
        <v>68.324355</v>
      </c>
    </row>
    <row r="3425">
      <c r="A3425" s="24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5" t="n">
        <v>82.70211399999999</v>
      </c>
    </row>
    <row r="3426">
      <c r="A3426" s="24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5" t="n">
        <v>92.155349</v>
      </c>
    </row>
    <row r="3427">
      <c r="A3427" s="24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5" t="n">
        <v>71.83178100000001</v>
      </c>
    </row>
    <row r="3428">
      <c r="A3428" s="24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5" t="n">
        <v>65.441717</v>
      </c>
    </row>
    <row r="3429">
      <c r="A3429" s="24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5" t="n">
        <v>56.230156</v>
      </c>
    </row>
    <row r="3430">
      <c r="A3430" s="24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5" t="n">
        <v>54.917242</v>
      </c>
    </row>
    <row r="3431">
      <c r="A3431" s="24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5" t="n">
        <v>54.880123</v>
      </c>
    </row>
    <row r="3432">
      <c r="A3432" s="24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5" t="n">
        <v>51.160182</v>
      </c>
    </row>
    <row r="3433">
      <c r="A3433" s="24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5" t="n">
        <v>44.921201</v>
      </c>
    </row>
    <row r="3434">
      <c r="A3434" s="24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5" t="n">
        <v>43.934767</v>
      </c>
    </row>
    <row r="3435">
      <c r="A3435" s="24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5" t="n">
        <v>65.312403</v>
      </c>
    </row>
    <row r="3436">
      <c r="A3436" s="24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5" t="n">
        <v>82.495349</v>
      </c>
    </row>
    <row r="3437">
      <c r="A3437" s="24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5" t="n">
        <v>64.11072299999999</v>
      </c>
    </row>
    <row r="3438">
      <c r="A3438" s="24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5" t="n">
        <v>52.593692</v>
      </c>
    </row>
    <row r="3439">
      <c r="A3439" s="24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5" t="n">
        <v>50.759056</v>
      </c>
    </row>
    <row r="3440">
      <c r="A3440" s="24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5" t="n">
        <v>60.215492</v>
      </c>
    </row>
    <row r="3441">
      <c r="A3441" s="24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5" t="n">
        <v>49.755411</v>
      </c>
    </row>
    <row r="3442">
      <c r="A3442" s="24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5" t="n">
        <v>45.999818</v>
      </c>
    </row>
    <row r="3443">
      <c r="A3443" s="24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5" t="n">
        <v>41.785874</v>
      </c>
    </row>
    <row r="3444">
      <c r="A3444" s="24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5" t="n">
        <v>44.452696</v>
      </c>
    </row>
    <row r="3445">
      <c r="A3445" s="24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5" t="n">
        <v>96.71258400000001</v>
      </c>
    </row>
    <row r="3446">
      <c r="A3446" s="24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5" t="n">
        <v>113.572149</v>
      </c>
    </row>
    <row r="3447">
      <c r="A3447" s="24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5" t="n">
        <v>125.469907</v>
      </c>
    </row>
    <row r="3448">
      <c r="A3448" s="24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5" t="n">
        <v>142.85138</v>
      </c>
    </row>
    <row r="3449">
      <c r="A3449" s="24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5" t="n">
        <v>109.41899</v>
      </c>
    </row>
    <row r="3450">
      <c r="A3450" s="24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5" t="n">
        <v>81.761053</v>
      </c>
    </row>
    <row r="3451">
      <c r="A3451" s="24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5" t="n">
        <v>69.112148</v>
      </c>
    </row>
    <row r="3452">
      <c r="A3452" s="24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5" t="n">
        <v>58.500109</v>
      </c>
    </row>
    <row r="3453">
      <c r="A3453" s="24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5" t="n">
        <v>53.666889</v>
      </c>
    </row>
    <row r="3454">
      <c r="A3454" s="24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5" t="n">
        <v>85.57579800000001</v>
      </c>
    </row>
    <row r="3455">
      <c r="A3455" s="24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5" t="n">
        <v>85.064323</v>
      </c>
    </row>
    <row r="3456">
      <c r="A3456" s="24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5" t="n">
        <v>72.896061</v>
      </c>
    </row>
    <row r="3457">
      <c r="A3457" s="24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5" t="n">
        <v>64.876459</v>
      </c>
    </row>
    <row r="3458">
      <c r="A3458" s="24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5" t="n">
        <v>71.840817</v>
      </c>
    </row>
    <row r="3459">
      <c r="A3459" s="24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5" t="n">
        <v>112.972009</v>
      </c>
    </row>
    <row r="3460">
      <c r="A3460" s="24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5" t="n">
        <v>112.860895</v>
      </c>
    </row>
    <row r="3461">
      <c r="A3461" s="24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5" t="n">
        <v>111.820093</v>
      </c>
    </row>
    <row r="3462">
      <c r="A3462" s="24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5" t="n">
        <v>85.80202300000001</v>
      </c>
    </row>
    <row r="3463">
      <c r="A3463" s="24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5" t="n">
        <v>66.519379</v>
      </c>
    </row>
    <row r="3464">
      <c r="A3464" s="24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5" t="n">
        <v>67.91591699999999</v>
      </c>
    </row>
    <row r="3465">
      <c r="A3465" s="24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5" t="n">
        <v>72.91036099999999</v>
      </c>
    </row>
    <row r="3466">
      <c r="A3466" s="24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5" t="n">
        <v>60.008912</v>
      </c>
    </row>
    <row r="3467">
      <c r="A3467" s="24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5" t="n">
        <v>46.971688</v>
      </c>
    </row>
    <row r="3468">
      <c r="A3468" s="24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5" t="n">
        <v>38.015324</v>
      </c>
    </row>
    <row r="3469">
      <c r="A3469" s="24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5" t="n">
        <v>34.158276</v>
      </c>
    </row>
    <row r="3470">
      <c r="A3470" s="24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5" t="n">
        <v>52.192692</v>
      </c>
    </row>
    <row r="3471">
      <c r="A3471" s="24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5" t="n">
        <v>61.475802</v>
      </c>
    </row>
    <row r="3472">
      <c r="A3472" s="24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5" t="n">
        <v>51.670147</v>
      </c>
    </row>
    <row r="3473">
      <c r="A3473" s="24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5" t="n">
        <v>41.889292</v>
      </c>
    </row>
    <row r="3474">
      <c r="A3474" s="24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5" t="n">
        <v>36.047187</v>
      </c>
    </row>
    <row r="3475">
      <c r="A3475" s="24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5" t="n">
        <v>32.976906</v>
      </c>
    </row>
    <row r="3476">
      <c r="A3476" s="24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5" t="n">
        <v>26.953176</v>
      </c>
    </row>
    <row r="3477">
      <c r="A3477" s="24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5" t="n">
        <v>37.314802</v>
      </c>
    </row>
    <row r="3478">
      <c r="A3478" s="24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5" t="n">
        <v>58.842216</v>
      </c>
    </row>
    <row r="3479">
      <c r="A3479" s="24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5" t="n">
        <v>48.649982</v>
      </c>
    </row>
    <row r="3480">
      <c r="A3480" s="24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5" t="n">
        <v>77.24842700000001</v>
      </c>
    </row>
    <row r="3481">
      <c r="A3481" s="24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5" t="n">
        <v>67.695515</v>
      </c>
    </row>
    <row r="3482">
      <c r="A3482" s="24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5" t="n">
        <v>71.999031</v>
      </c>
    </row>
    <row r="3483">
      <c r="A3483" s="24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5" t="n">
        <v>113.057286</v>
      </c>
    </row>
    <row r="3484">
      <c r="A3484" s="24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5" t="n">
        <v>105.455864</v>
      </c>
    </row>
    <row r="3485">
      <c r="A3485" s="24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5" t="n">
        <v>83.122804</v>
      </c>
    </row>
    <row r="3486">
      <c r="A3486" s="24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5" t="n">
        <v>78.209723</v>
      </c>
    </row>
    <row r="3487">
      <c r="A3487" s="24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5" t="n">
        <v>104.35811</v>
      </c>
    </row>
    <row r="3488">
      <c r="A3488" s="24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5" t="n">
        <v>93.36221</v>
      </c>
    </row>
    <row r="3489">
      <c r="A3489" s="24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5" t="n">
        <v>105.522374</v>
      </c>
    </row>
    <row r="3490">
      <c r="A3490" s="24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5" t="n">
        <v>89.10701400000001</v>
      </c>
    </row>
    <row r="3491">
      <c r="A3491" s="24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5" t="n">
        <v>70.98239</v>
      </c>
    </row>
    <row r="3492">
      <c r="A3492" s="24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5" t="n">
        <v>73.02113</v>
      </c>
    </row>
    <row r="3493">
      <c r="A3493" s="24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5" t="n">
        <v>119.310458</v>
      </c>
    </row>
    <row r="3494">
      <c r="A3494" s="24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5" t="n">
        <v>143.788587</v>
      </c>
    </row>
    <row r="3495">
      <c r="A3495" s="24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5" t="n">
        <v>128.034916</v>
      </c>
    </row>
    <row r="3496">
      <c r="A3496" s="24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5" t="n">
        <v>122.211044</v>
      </c>
    </row>
    <row r="3497">
      <c r="A3497" s="24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5" t="n">
        <v>105.286303</v>
      </c>
    </row>
    <row r="3498">
      <c r="A3498" s="24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5" t="n">
        <v>88.25997099999999</v>
      </c>
    </row>
    <row r="3499">
      <c r="A3499" s="24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5" t="n">
        <v>77.102186</v>
      </c>
    </row>
    <row r="3500">
      <c r="A3500" s="24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5" t="n">
        <v>68.978143</v>
      </c>
    </row>
    <row r="3501">
      <c r="A3501" s="24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5" t="n">
        <v>89.807445</v>
      </c>
    </row>
    <row r="3502">
      <c r="A3502" s="24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5" t="n">
        <v>100.947358</v>
      </c>
    </row>
    <row r="3503">
      <c r="A3503" s="24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5" t="n">
        <v>84.396142</v>
      </c>
    </row>
    <row r="3504">
      <c r="A3504" s="24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5" t="n">
        <v>82.55517999999999</v>
      </c>
    </row>
    <row r="3505">
      <c r="A3505" s="24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5" t="n">
        <v>82.12692800000001</v>
      </c>
    </row>
    <row r="3506">
      <c r="A3506" s="24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5" t="n">
        <v>71.320632</v>
      </c>
    </row>
    <row r="3507">
      <c r="A3507" s="24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5" t="n">
        <v>138.480262</v>
      </c>
    </row>
    <row r="3508">
      <c r="A3508" s="24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5" t="n">
        <v>181.483785</v>
      </c>
    </row>
    <row r="3509">
      <c r="A3509" s="24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5" t="n">
        <v>181.998699</v>
      </c>
    </row>
    <row r="3510">
      <c r="A3510" s="24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5" t="n">
        <v>179.307914</v>
      </c>
    </row>
    <row r="3511">
      <c r="A3511" s="24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5" t="n">
        <v>202.966359</v>
      </c>
    </row>
    <row r="3512">
      <c r="A3512" s="24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5" t="n">
        <v>256.532411</v>
      </c>
    </row>
    <row r="3513">
      <c r="A3513" s="24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5" t="n">
        <v>260.198505</v>
      </c>
    </row>
    <row r="3514">
      <c r="A3514" s="24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5" t="n">
        <v>220.805121</v>
      </c>
    </row>
    <row r="3515">
      <c r="A3515" s="24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5" t="n">
        <v>212.437201</v>
      </c>
    </row>
    <row r="3516">
      <c r="A3516" s="24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5" t="n">
        <v>187.758194</v>
      </c>
    </row>
    <row r="3517">
      <c r="A3517" s="24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5" t="n">
        <v>144.997368</v>
      </c>
    </row>
    <row r="3518">
      <c r="A3518" s="24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5" t="n">
        <v>150.583532</v>
      </c>
    </row>
    <row r="3519">
      <c r="A3519" s="24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5" t="n">
        <v>121.283271</v>
      </c>
    </row>
    <row r="3520">
      <c r="A3520" s="24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5" t="n">
        <v>152.347587</v>
      </c>
    </row>
    <row r="3521">
      <c r="A3521" s="24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5" t="n">
        <v>176.384408</v>
      </c>
    </row>
    <row r="3522">
      <c r="A3522" s="24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5" t="n">
        <v>153.729939</v>
      </c>
    </row>
    <row r="3523">
      <c r="A3523" s="24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5" t="n">
        <v>127.895199</v>
      </c>
    </row>
    <row r="3524">
      <c r="A3524" s="24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5" t="n">
        <v>120.738734</v>
      </c>
    </row>
    <row r="3525">
      <c r="A3525" s="24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5" t="n">
        <v>101.736439</v>
      </c>
    </row>
    <row r="3526">
      <c r="A3526" s="24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5" t="n">
        <v>86.910932</v>
      </c>
    </row>
    <row r="3527">
      <c r="A3527" s="24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5" t="n">
        <v>125.501273</v>
      </c>
    </row>
    <row r="3528">
      <c r="A3528" s="24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5" t="n">
        <v>109.583381</v>
      </c>
    </row>
    <row r="3529">
      <c r="A3529" s="24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5" t="n">
        <v>113.953466</v>
      </c>
    </row>
    <row r="3530">
      <c r="A3530" s="24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5" t="n">
        <v>106.057098</v>
      </c>
    </row>
    <row r="3531">
      <c r="A3531" s="24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5" t="n">
        <v>85.854893</v>
      </c>
    </row>
    <row r="3532">
      <c r="A3532" s="24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5" t="n">
        <v>70.42496199999999</v>
      </c>
    </row>
    <row r="3533">
      <c r="A3533" s="24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5" t="n">
        <v>90.564556</v>
      </c>
    </row>
    <row r="3534">
      <c r="A3534" s="24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5" t="n">
        <v>94.157721</v>
      </c>
    </row>
    <row r="3535">
      <c r="A3535" s="24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5" t="n">
        <v>79.005394</v>
      </c>
    </row>
    <row r="3536">
      <c r="A3536" s="24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5" t="n">
        <v>67.055487</v>
      </c>
    </row>
    <row r="3537">
      <c r="A3537" s="24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5" t="n">
        <v>55.63095</v>
      </c>
    </row>
    <row r="3538">
      <c r="A3538" s="24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5" t="n">
        <v>78.872495</v>
      </c>
    </row>
    <row r="3539">
      <c r="A3539" s="24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5" t="n">
        <v>88.039845</v>
      </c>
    </row>
    <row r="3540">
      <c r="A3540" s="24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5" t="n">
        <v>80.617788</v>
      </c>
    </row>
    <row r="3541">
      <c r="A3541" s="24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5" t="n">
        <v>73.60383299999999</v>
      </c>
    </row>
    <row r="3542">
      <c r="A3542" s="24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5" t="n">
        <v>74.50182</v>
      </c>
    </row>
    <row r="3543">
      <c r="A3543" s="24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5" t="n">
        <v>83.972576</v>
      </c>
    </row>
    <row r="3544">
      <c r="A3544" s="24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5" t="n">
        <v>78.11865899999999</v>
      </c>
    </row>
    <row r="3545">
      <c r="A3545" s="24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5" t="n">
        <v>75.739997</v>
      </c>
    </row>
    <row r="3546">
      <c r="A3546" s="24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5" t="n">
        <v>65.491452</v>
      </c>
    </row>
    <row r="3547">
      <c r="A3547" s="24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5" t="n">
        <v>68.949381</v>
      </c>
    </row>
    <row r="3548">
      <c r="A3548" s="24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5" t="n">
        <v>73.251079</v>
      </c>
    </row>
    <row r="3549">
      <c r="A3549" s="24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5" t="n">
        <v>63.137122</v>
      </c>
    </row>
    <row r="3550">
      <c r="A3550" s="24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5" t="n">
        <v>49.502721</v>
      </c>
    </row>
    <row r="3551">
      <c r="A3551" s="24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5" t="n">
        <v>43.356602</v>
      </c>
    </row>
    <row r="3552">
      <c r="A3552" s="24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5" t="n">
        <v>43.398346</v>
      </c>
    </row>
    <row r="3553">
      <c r="A3553" s="24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5" t="n">
        <v>47.889654</v>
      </c>
    </row>
    <row r="3554">
      <c r="A3554" s="24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5" t="n">
        <v>48.43219</v>
      </c>
    </row>
    <row r="3555">
      <c r="A3555" s="24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5" t="n">
        <v>51.496694</v>
      </c>
    </row>
    <row r="3556">
      <c r="A3556" s="24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5" t="n">
        <v>55.694839</v>
      </c>
    </row>
    <row r="3557">
      <c r="A3557" s="24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5" t="n">
        <v>50.949243</v>
      </c>
    </row>
    <row r="3558">
      <c r="A3558" s="24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5" t="n">
        <v>46.427071</v>
      </c>
    </row>
    <row r="3559">
      <c r="A3559" s="24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5" t="n">
        <v>52.301274</v>
      </c>
    </row>
    <row r="3560">
      <c r="A3560" s="24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5" t="n">
        <v>43.003824</v>
      </c>
    </row>
    <row r="3561">
      <c r="A3561" s="24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5" t="n">
        <v>76.362022</v>
      </c>
    </row>
    <row r="3562">
      <c r="A3562" s="24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5" t="n">
        <v>117.481387</v>
      </c>
    </row>
    <row r="3563">
      <c r="A3563" s="24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5" t="n">
        <v>107.087993</v>
      </c>
    </row>
    <row r="3564">
      <c r="A3564" s="24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5" t="n">
        <v>82.57539</v>
      </c>
    </row>
    <row r="3565">
      <c r="A3565" s="24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5" t="n">
        <v>91.292813</v>
      </c>
    </row>
    <row r="3566">
      <c r="A3566" s="24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5" t="n">
        <v>73.390156</v>
      </c>
    </row>
    <row r="3567">
      <c r="A3567" s="24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5" t="n">
        <v>58.764649</v>
      </c>
    </row>
    <row r="3568">
      <c r="A3568" s="24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5" t="n">
        <v>66.97153</v>
      </c>
    </row>
    <row r="3569">
      <c r="A3569" s="24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5" t="n">
        <v>67.571359</v>
      </c>
    </row>
    <row r="3570">
      <c r="A3570" s="24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5" t="n">
        <v>56.968029</v>
      </c>
    </row>
    <row r="3571">
      <c r="A3571" s="24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5" t="n">
        <v>48.844266</v>
      </c>
    </row>
    <row r="3572">
      <c r="A3572" s="24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5" t="n">
        <v>46.333314</v>
      </c>
    </row>
    <row r="3573">
      <c r="A3573" s="24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5" t="n">
        <v>44.888107</v>
      </c>
    </row>
    <row r="3574">
      <c r="A3574" s="24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5" t="n">
        <v>103.696016</v>
      </c>
    </row>
    <row r="3575">
      <c r="A3575" s="24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5" t="n">
        <v>130.050187</v>
      </c>
    </row>
    <row r="3576">
      <c r="A3576" s="24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5" t="n">
        <v>105.076252</v>
      </c>
    </row>
    <row r="3577">
      <c r="A3577" s="24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5" t="n">
        <v>81.48697300000001</v>
      </c>
    </row>
    <row r="3578">
      <c r="A3578" s="24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5" t="n">
        <v>63.140188</v>
      </c>
    </row>
    <row r="3579">
      <c r="A3579" s="24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5" t="n">
        <v>54.138777</v>
      </c>
    </row>
    <row r="3580">
      <c r="A3580" s="24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5" t="n">
        <v>45.008522</v>
      </c>
    </row>
    <row r="3581">
      <c r="A3581" s="24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5" t="n">
        <v>44.924256</v>
      </c>
    </row>
    <row r="3582">
      <c r="A3582" s="24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5" t="n">
        <v>80.15480100000001</v>
      </c>
    </row>
    <row r="3583">
      <c r="A3583" s="24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5" t="n">
        <v>64.877273</v>
      </c>
    </row>
    <row r="3584">
      <c r="A3584" s="24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5" t="n">
        <v>49.476306</v>
      </c>
    </row>
    <row r="3585">
      <c r="A3585" s="24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5" t="n">
        <v>46.249857</v>
      </c>
    </row>
    <row r="3586">
      <c r="A3586" s="24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5" t="n">
        <v>39.859921</v>
      </c>
    </row>
    <row r="3587">
      <c r="A3587" s="24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5" t="n">
        <v>32.556795</v>
      </c>
    </row>
    <row r="3588">
      <c r="A3588" s="24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5" t="n">
        <v>27.118755</v>
      </c>
    </row>
    <row r="3589">
      <c r="A3589" s="24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5" t="n">
        <v>22.955597</v>
      </c>
    </row>
    <row r="3590">
      <c r="A3590" s="24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5" t="n">
        <v>26.68881</v>
      </c>
    </row>
    <row r="3591">
      <c r="A3591" s="24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5" t="n">
        <v>34.459794</v>
      </c>
    </row>
    <row r="3592">
      <c r="A3592" s="24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5" t="n">
        <v>77.006834</v>
      </c>
    </row>
    <row r="3593">
      <c r="A3593" s="24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5" t="n">
        <v>66.004428</v>
      </c>
    </row>
    <row r="3594">
      <c r="A3594" s="24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5" t="n">
        <v>54.112383</v>
      </c>
    </row>
    <row r="3595">
      <c r="A3595" s="24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5" t="n">
        <v>42.988859</v>
      </c>
    </row>
    <row r="3596">
      <c r="A3596" s="24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5" t="n">
        <v>36.655721</v>
      </c>
    </row>
    <row r="3597">
      <c r="A3597" s="24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5" t="n">
        <v>35.604546</v>
      </c>
    </row>
    <row r="3598">
      <c r="A3598" s="24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5" t="n">
        <v>28.851737</v>
      </c>
    </row>
    <row r="3599">
      <c r="A3599" s="24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5" t="n">
        <v>67.083522</v>
      </c>
    </row>
    <row r="3600">
      <c r="A3600" s="24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5" t="n">
        <v>65.539519</v>
      </c>
    </row>
    <row r="3601">
      <c r="A3601" s="24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5" t="n">
        <v>51.924415</v>
      </c>
    </row>
    <row r="3602">
      <c r="A3602" s="24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5" t="n">
        <v>63.698292</v>
      </c>
    </row>
    <row r="3603">
      <c r="A3603" s="24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5" t="n">
        <v>55.693602</v>
      </c>
    </row>
    <row r="3604">
      <c r="A3604" s="24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5" t="n">
        <v>42.720931</v>
      </c>
    </row>
    <row r="3605">
      <c r="A3605" s="24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5" t="n">
        <v>33.35979</v>
      </c>
    </row>
    <row r="3606">
      <c r="A3606" s="24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5" t="n">
        <v>33.199035</v>
      </c>
    </row>
    <row r="3607">
      <c r="A3607" s="24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5" t="n">
        <v>55.467011</v>
      </c>
    </row>
    <row r="3608">
      <c r="A3608" s="24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5" t="n">
        <v>65.545284</v>
      </c>
    </row>
    <row r="3609">
      <c r="A3609" s="24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5" t="n">
        <v>51.10339</v>
      </c>
    </row>
    <row r="3610">
      <c r="A3610" s="24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5" t="n">
        <v>40.659665</v>
      </c>
    </row>
    <row r="3611">
      <c r="A3611" s="24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5" t="n">
        <v>34.324018</v>
      </c>
    </row>
    <row r="3612">
      <c r="A3612" s="24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5" t="n">
        <v>43.381345</v>
      </c>
    </row>
    <row r="3613">
      <c r="A3613" s="24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5" t="n">
        <v>50.686073</v>
      </c>
    </row>
    <row r="3614">
      <c r="A3614" s="24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5" t="n">
        <v>41.867409</v>
      </c>
    </row>
    <row r="3615">
      <c r="A3615" s="24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5" t="n">
        <v>39.185934</v>
      </c>
    </row>
    <row r="3616">
      <c r="A3616" s="24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5" t="n">
        <v>39.641527</v>
      </c>
    </row>
    <row r="3617">
      <c r="A3617" s="24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5" t="n">
        <v>42.587152</v>
      </c>
    </row>
    <row r="3618">
      <c r="A3618" s="24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5" t="n">
        <v>59.768078</v>
      </c>
    </row>
    <row r="3619">
      <c r="A3619" s="24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5" t="n">
        <v>49.768204</v>
      </c>
    </row>
    <row r="3620">
      <c r="A3620" s="24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5" t="n">
        <v>40.302068</v>
      </c>
    </row>
    <row r="3621">
      <c r="A3621" s="24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5" t="n">
        <v>59.542546</v>
      </c>
    </row>
    <row r="3622">
      <c r="A3622" s="24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5" t="n">
        <v>62.323632</v>
      </c>
    </row>
    <row r="3623">
      <c r="A3623" s="24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5" t="n">
        <v>59.993002</v>
      </c>
    </row>
    <row r="3624">
      <c r="A3624" s="24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5" t="n">
        <v>64.957757</v>
      </c>
    </row>
    <row r="3625">
      <c r="A3625" s="24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5" t="n">
        <v>50.967358</v>
      </c>
    </row>
    <row r="3626">
      <c r="A3626" s="24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5" t="n">
        <v>40.005105</v>
      </c>
    </row>
    <row r="3627">
      <c r="A3627" s="24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5" t="n">
        <v>52.504306</v>
      </c>
    </row>
    <row r="3628">
      <c r="A3628" s="24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5" t="n">
        <v>63.740694</v>
      </c>
    </row>
    <row r="3629">
      <c r="A3629" s="24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5" t="n">
        <v>58.049789</v>
      </c>
    </row>
    <row r="3630">
      <c r="A3630" s="24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5" t="n">
        <v>102.710678</v>
      </c>
    </row>
    <row r="3631">
      <c r="A3631" s="24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5" t="n">
        <v>97.79191899999999</v>
      </c>
    </row>
    <row r="3632">
      <c r="A3632" s="24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5" t="n">
        <v>92.92112899999999</v>
      </c>
    </row>
    <row r="3633">
      <c r="A3633" s="24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5" t="n">
        <v>81.511807</v>
      </c>
    </row>
    <row r="3634">
      <c r="A3634" s="24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5" t="n">
        <v>103.619931</v>
      </c>
    </row>
    <row r="3635">
      <c r="A3635" s="24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5" t="n">
        <v>81.24960400000001</v>
      </c>
    </row>
    <row r="3636">
      <c r="A3636" s="24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5" t="n">
        <v>63.583516</v>
      </c>
    </row>
    <row r="3637">
      <c r="A3637" s="24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5" t="n">
        <v>50.231895</v>
      </c>
    </row>
    <row r="3638">
      <c r="A3638" s="24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5" t="n">
        <v>41.26682</v>
      </c>
    </row>
    <row r="3639">
      <c r="A3639" s="24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5" t="n">
        <v>34.113283</v>
      </c>
    </row>
    <row r="3640">
      <c r="A3640" s="24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5" t="n">
        <v>54.060513</v>
      </c>
    </row>
    <row r="3641">
      <c r="A3641" s="24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5" t="n">
        <v>44.549656</v>
      </c>
    </row>
    <row r="3642">
      <c r="A3642" s="24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5" t="n">
        <v>34.540283</v>
      </c>
    </row>
    <row r="3643">
      <c r="A3643" s="24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5" t="n">
        <v>28.127606</v>
      </c>
    </row>
    <row r="3644">
      <c r="A3644" s="24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5" t="n">
        <v>28.34295</v>
      </c>
    </row>
    <row r="3645">
      <c r="A3645" s="24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5" t="n">
        <v>24.688753</v>
      </c>
    </row>
    <row r="3646">
      <c r="A3646" s="24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5" t="n">
        <v>20.288303</v>
      </c>
    </row>
    <row r="3647">
      <c r="A3647" s="24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5" t="n">
        <v>21.128625</v>
      </c>
    </row>
    <row r="3648">
      <c r="A3648" s="24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5" t="n">
        <v>55.276579</v>
      </c>
    </row>
    <row r="3649">
      <c r="A3649" s="24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5" t="n">
        <v>52.146292</v>
      </c>
    </row>
    <row r="3650">
      <c r="A3650" s="24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5" t="n">
        <v>64.70784500000001</v>
      </c>
    </row>
    <row r="3651">
      <c r="A3651" s="24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5" t="n">
        <v>53.331172</v>
      </c>
    </row>
    <row r="3652">
      <c r="A3652" s="24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5" t="n">
        <v>55.451811</v>
      </c>
    </row>
    <row r="3653">
      <c r="A3653" s="24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5" t="n">
        <v>44.597136</v>
      </c>
    </row>
    <row r="3654">
      <c r="A3654" s="24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5" t="n">
        <v>34.925093</v>
      </c>
    </row>
    <row r="3655">
      <c r="A3655" s="24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5" t="n">
        <v>46.750575</v>
      </c>
    </row>
    <row r="3656">
      <c r="A3656" s="24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5" t="n">
        <v>61.258365</v>
      </c>
    </row>
    <row r="3657">
      <c r="A3657" s="24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5" t="n">
        <v>77.608418</v>
      </c>
    </row>
    <row r="3658">
      <c r="A3658" s="24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5" t="n">
        <v>76.531588</v>
      </c>
    </row>
    <row r="3659">
      <c r="A3659" s="24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5" t="n">
        <v>63.363455</v>
      </c>
    </row>
    <row r="3660">
      <c r="A3660" s="24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5" t="n">
        <v>49.218993</v>
      </c>
    </row>
    <row r="3661">
      <c r="A3661" s="24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5" t="n">
        <v>38.883276</v>
      </c>
    </row>
    <row r="3662">
      <c r="A3662" s="24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5" t="n">
        <v>32.219411</v>
      </c>
    </row>
    <row r="3663">
      <c r="A3663" s="24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5" t="n">
        <v>36.854247</v>
      </c>
    </row>
    <row r="3664">
      <c r="A3664" s="24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5" t="n">
        <v>33.060431</v>
      </c>
    </row>
    <row r="3665">
      <c r="A3665" s="24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5" t="n">
        <v>28.515932</v>
      </c>
    </row>
    <row r="3666">
      <c r="A3666" s="24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5" t="n">
        <v>27.575424</v>
      </c>
    </row>
    <row r="3667">
      <c r="A3667" s="24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5" t="n">
        <v>22.485447</v>
      </c>
    </row>
    <row r="3668">
      <c r="A3668" s="24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5" t="n">
        <v>26.628226</v>
      </c>
    </row>
    <row r="3669">
      <c r="A3669" s="24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5" t="n">
        <v>49.176424</v>
      </c>
    </row>
    <row r="3670">
      <c r="A3670" s="24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5" t="n">
        <v>64.253958</v>
      </c>
    </row>
    <row r="3671">
      <c r="A3671" s="24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5" t="n">
        <v>49.509406</v>
      </c>
    </row>
    <row r="3672">
      <c r="A3672" s="24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5" t="n">
        <v>37.754059</v>
      </c>
    </row>
    <row r="3673">
      <c r="A3673" s="24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5" t="n">
        <v>54.638521</v>
      </c>
    </row>
    <row r="3674">
      <c r="A3674" s="24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5" t="n">
        <v>68.248109</v>
      </c>
    </row>
    <row r="3675">
      <c r="A3675" s="24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5" t="n">
        <v>52.680966</v>
      </c>
    </row>
    <row r="3676">
      <c r="A3676" s="24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5" t="n">
        <v>53.98795</v>
      </c>
    </row>
    <row r="3677">
      <c r="A3677" s="24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5" t="n">
        <v>43.402043</v>
      </c>
    </row>
    <row r="3678">
      <c r="A3678" s="24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5" t="n">
        <v>43.365914</v>
      </c>
    </row>
    <row r="3679">
      <c r="A3679" s="24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5" t="n">
        <v>51.380523</v>
      </c>
    </row>
    <row r="3680">
      <c r="A3680" s="24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5" t="n">
        <v>62.223945</v>
      </c>
    </row>
    <row r="3681">
      <c r="A3681" s="24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5" t="n">
        <v>49.237173</v>
      </c>
    </row>
    <row r="3682">
      <c r="A3682" s="24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5" t="n">
        <v>50.540238</v>
      </c>
    </row>
    <row r="3683">
      <c r="A3683" s="24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5" t="n">
        <v>49.614071</v>
      </c>
    </row>
    <row r="3684">
      <c r="A3684" s="24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5" t="n">
        <v>46.766436</v>
      </c>
    </row>
    <row r="3685">
      <c r="A3685" s="24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5" t="n">
        <v>64.982454</v>
      </c>
    </row>
    <row r="3686">
      <c r="A3686" s="24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5" t="n">
        <v>54.189414</v>
      </c>
    </row>
    <row r="3687">
      <c r="A3687" s="24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5" t="n">
        <v>55.329811</v>
      </c>
    </row>
    <row r="3688">
      <c r="A3688" s="24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5" t="n">
        <v>45.040192</v>
      </c>
    </row>
    <row r="3689">
      <c r="A3689" s="24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5" t="n">
        <v>51.161146</v>
      </c>
    </row>
    <row r="3690">
      <c r="A3690" s="24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5" t="n">
        <v>44.963776</v>
      </c>
    </row>
    <row r="3691">
      <c r="A3691" s="24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5" t="n">
        <v>38.862031</v>
      </c>
    </row>
    <row r="3692">
      <c r="A3692" s="24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5" t="n">
        <v>41.739466</v>
      </c>
    </row>
    <row r="3693">
      <c r="A3693" s="24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5" t="n">
        <v>37.446037</v>
      </c>
    </row>
    <row r="3694">
      <c r="A3694" s="24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5" t="n">
        <v>39.217423</v>
      </c>
    </row>
    <row r="3695">
      <c r="A3695" s="24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5" t="n">
        <v>56.871744</v>
      </c>
    </row>
    <row r="3696">
      <c r="A3696" s="24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5" t="n">
        <v>46.039255</v>
      </c>
    </row>
    <row r="3697">
      <c r="A3697" s="24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5" t="n">
        <v>36.661903</v>
      </c>
    </row>
    <row r="3698">
      <c r="A3698" s="24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5" t="n">
        <v>33.567173</v>
      </c>
    </row>
    <row r="3699">
      <c r="A3699" s="24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5" t="n">
        <v>31.401937</v>
      </c>
    </row>
    <row r="3700">
      <c r="A3700" s="24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5" t="n">
        <v>32.83578</v>
      </c>
    </row>
    <row r="3701">
      <c r="A3701" s="24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5" t="n">
        <v>35.860321</v>
      </c>
    </row>
    <row r="3702">
      <c r="A3702" s="24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5" t="n">
        <v>45.271061</v>
      </c>
    </row>
    <row r="3703">
      <c r="A3703" s="24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5" t="n">
        <v>39.059437</v>
      </c>
    </row>
    <row r="3704">
      <c r="A3704" s="24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5" t="n">
        <v>44.925093</v>
      </c>
    </row>
    <row r="3705">
      <c r="A3705" s="24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5" t="n">
        <v>51.492252</v>
      </c>
    </row>
    <row r="3706">
      <c r="A3706" s="24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5" t="n">
        <v>46.006671</v>
      </c>
    </row>
    <row r="3707">
      <c r="A3707" s="24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5" t="n">
        <v>35.826287</v>
      </c>
    </row>
    <row r="3708">
      <c r="A3708" s="24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5" t="n">
        <v>28.627692</v>
      </c>
    </row>
    <row r="3709">
      <c r="A3709" s="24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5" t="n">
        <v>28.764528</v>
      </c>
    </row>
    <row r="3710">
      <c r="A3710" s="24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5" t="n">
        <v>49.410587</v>
      </c>
    </row>
    <row r="3711">
      <c r="A3711" s="24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5" t="n">
        <v>45.649776</v>
      </c>
    </row>
    <row r="3712">
      <c r="A3712" s="24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5" t="n">
        <v>35.272811</v>
      </c>
    </row>
    <row r="3713">
      <c r="A3713" s="24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5" t="n">
        <v>29.037002</v>
      </c>
    </row>
    <row r="3714">
      <c r="A3714" s="24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5" t="n">
        <v>26.241087</v>
      </c>
    </row>
    <row r="3715">
      <c r="A3715" s="24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5" t="n">
        <v>24.914378</v>
      </c>
    </row>
    <row r="3716">
      <c r="A3716" s="24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5" t="n">
        <v>21.176459</v>
      </c>
    </row>
    <row r="3717">
      <c r="A3717" s="24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5" t="n">
        <v>33.999318</v>
      </c>
    </row>
    <row r="3718">
      <c r="A3718" s="24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5" t="n">
        <v>68.108408</v>
      </c>
    </row>
    <row r="3719">
      <c r="A3719" s="24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5" t="n">
        <v>68.051084</v>
      </c>
    </row>
    <row r="3720">
      <c r="A3720" s="24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5" t="n">
        <v>51.252831</v>
      </c>
    </row>
    <row r="3721">
      <c r="A3721" s="24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5" t="n">
        <v>46.793117</v>
      </c>
    </row>
    <row r="3722">
      <c r="A3722" s="24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5" t="n">
        <v>41.457454</v>
      </c>
    </row>
    <row r="3723">
      <c r="A3723" s="24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5" t="n">
        <v>33.623537</v>
      </c>
    </row>
    <row r="3724">
      <c r="A3724" s="24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5" t="n">
        <v>47.18836</v>
      </c>
    </row>
    <row r="3725">
      <c r="A3725" s="24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5" t="n">
        <v>39.630554</v>
      </c>
    </row>
    <row r="3726">
      <c r="A3726" s="24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5" t="n">
        <v>31.535838</v>
      </c>
    </row>
    <row r="3727">
      <c r="A3727" s="24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5" t="n">
        <v>26.475432</v>
      </c>
    </row>
    <row r="3728">
      <c r="A3728" s="24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5" t="n">
        <v>22.727208</v>
      </c>
    </row>
    <row r="3729">
      <c r="A3729" s="24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5" t="n">
        <v>28.245436</v>
      </c>
    </row>
    <row r="3730">
      <c r="A3730" s="24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5" t="n">
        <v>25.358658</v>
      </c>
    </row>
    <row r="3731">
      <c r="A3731" s="24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5" t="n">
        <v>35.259267</v>
      </c>
    </row>
    <row r="3732">
      <c r="A3732" s="24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5" t="n">
        <v>38.453352</v>
      </c>
    </row>
    <row r="3733">
      <c r="A3733" s="24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5" t="n">
        <v>37.146523</v>
      </c>
    </row>
    <row r="3734">
      <c r="A3734" s="24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5" t="n">
        <v>31.632967</v>
      </c>
    </row>
    <row r="3735">
      <c r="A3735" s="24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5" t="n">
        <v>48.436269</v>
      </c>
    </row>
    <row r="3736">
      <c r="A3736" s="24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5" t="n">
        <v>53.382114</v>
      </c>
    </row>
    <row r="3737">
      <c r="A3737" s="24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5" t="n">
        <v>62.178174</v>
      </c>
    </row>
    <row r="3738">
      <c r="A3738" s="24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5" t="n">
        <v>49.511983</v>
      </c>
    </row>
    <row r="3739">
      <c r="A3739" s="24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5" t="n">
        <v>42.807539</v>
      </c>
    </row>
    <row r="3740">
      <c r="A3740" s="24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5" t="n">
        <v>45.205723</v>
      </c>
    </row>
    <row r="3741">
      <c r="A3741" s="24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5" t="n">
        <v>51.205032</v>
      </c>
    </row>
    <row r="3742">
      <c r="A3742" s="24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5" t="n">
        <v>42.35002</v>
      </c>
    </row>
    <row r="3743">
      <c r="A3743" s="24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5" t="n">
        <v>52.056809</v>
      </c>
    </row>
    <row r="3744">
      <c r="A3744" s="24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5" t="n">
        <v>69.01422100000001</v>
      </c>
    </row>
    <row r="3745">
      <c r="A3745" s="24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5" t="n">
        <v>68.857287</v>
      </c>
    </row>
    <row r="3746">
      <c r="A3746" s="24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5" t="n">
        <v>64.301333</v>
      </c>
    </row>
    <row r="3747">
      <c r="A3747" s="24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5" t="n">
        <v>85.757144</v>
      </c>
    </row>
    <row r="3748">
      <c r="A3748" s="24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5" t="n">
        <v>68.61274299999999</v>
      </c>
    </row>
    <row r="3749">
      <c r="A3749" s="24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5" t="n">
        <v>51.950706</v>
      </c>
    </row>
    <row r="3750">
      <c r="A3750" s="24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5" t="n">
        <v>40.533183</v>
      </c>
    </row>
    <row r="3751">
      <c r="A3751" s="24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5" t="n">
        <v>68.59236900000001</v>
      </c>
    </row>
    <row r="3752">
      <c r="A3752" s="24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5" t="n">
        <v>61.157417</v>
      </c>
    </row>
    <row r="3753">
      <c r="A3753" s="24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5" t="n">
        <v>46.998467</v>
      </c>
    </row>
    <row r="3754">
      <c r="A3754" s="24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5" t="n">
        <v>38.512782</v>
      </c>
    </row>
    <row r="3755">
      <c r="A3755" s="24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5" t="n">
        <v>33.977984</v>
      </c>
    </row>
    <row r="3756">
      <c r="A3756" s="24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5" t="n">
        <v>55.478042</v>
      </c>
    </row>
    <row r="3757">
      <c r="A3757" s="24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5" t="n">
        <v>68.025291</v>
      </c>
    </row>
    <row r="3758">
      <c r="A3758" s="24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5" t="n">
        <v>58.10535</v>
      </c>
    </row>
    <row r="3759">
      <c r="A3759" s="24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5" t="n">
        <v>47.957564</v>
      </c>
    </row>
    <row r="3760">
      <c r="A3760" s="24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5" t="n">
        <v>47.63369</v>
      </c>
    </row>
    <row r="3761">
      <c r="A3761" s="24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5" t="n">
        <v>44.624099</v>
      </c>
    </row>
    <row r="3762">
      <c r="A3762" s="24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5" t="n">
        <v>47.58627</v>
      </c>
    </row>
    <row r="3763">
      <c r="A3763" s="24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5" t="n">
        <v>58.114822</v>
      </c>
    </row>
    <row r="3764">
      <c r="A3764" s="24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5" t="n">
        <v>54.158535</v>
      </c>
    </row>
    <row r="3765">
      <c r="A3765" s="24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5" t="n">
        <v>45.676815</v>
      </c>
    </row>
    <row r="3766">
      <c r="A3766" s="24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5" t="n">
        <v>36.537399</v>
      </c>
    </row>
    <row r="3767">
      <c r="A3767" s="24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5" t="n">
        <v>34.245501</v>
      </c>
    </row>
    <row r="3768">
      <c r="A3768" s="24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5" t="n">
        <v>43.465849</v>
      </c>
    </row>
    <row r="3769">
      <c r="A3769" s="24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5" t="n">
        <v>35.581464</v>
      </c>
    </row>
    <row r="3770">
      <c r="A3770" s="24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5" t="n">
        <v>36.272861</v>
      </c>
    </row>
    <row r="3771">
      <c r="A3771" s="24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5" t="n">
        <v>37.863593</v>
      </c>
    </row>
    <row r="3772">
      <c r="A3772" s="24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5" t="n">
        <v>46.93017</v>
      </c>
    </row>
    <row r="3773">
      <c r="A3773" s="24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5" t="n">
        <v>49.696701</v>
      </c>
    </row>
    <row r="3774">
      <c r="A3774" s="24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5" t="n">
        <v>58.811345</v>
      </c>
    </row>
    <row r="3775">
      <c r="A3775" s="24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5" t="n">
        <v>57.473345</v>
      </c>
    </row>
    <row r="3776">
      <c r="A3776" s="24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5" t="n">
        <v>75.25293499999999</v>
      </c>
    </row>
    <row r="3777">
      <c r="A3777" s="24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5" t="n">
        <v>64.489379</v>
      </c>
    </row>
    <row r="3778">
      <c r="A3778" s="24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5" t="n">
        <v>99.803999</v>
      </c>
    </row>
    <row r="3779">
      <c r="A3779" s="24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5" t="n">
        <v>98.91588</v>
      </c>
    </row>
    <row r="3780">
      <c r="A3780" s="24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5" t="n">
        <v>108.720869</v>
      </c>
    </row>
    <row r="3781">
      <c r="A3781" s="24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5" t="n">
        <v>92.38152599999999</v>
      </c>
    </row>
    <row r="3782">
      <c r="A3782" s="24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5" t="n">
        <v>71.86954299999999</v>
      </c>
    </row>
    <row r="3783">
      <c r="A3783" s="24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5" t="n">
        <v>87.37715799999999</v>
      </c>
    </row>
    <row r="3784">
      <c r="A3784" s="24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5" t="n">
        <v>91.19657100000001</v>
      </c>
    </row>
    <row r="3785">
      <c r="A3785" s="24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5" t="n">
        <v>72.886763</v>
      </c>
    </row>
    <row r="3786">
      <c r="A3786" s="24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5" t="n">
        <v>60.963788</v>
      </c>
    </row>
    <row r="3787">
      <c r="A3787" s="24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5" t="n">
        <v>50.842197</v>
      </c>
    </row>
    <row r="3788">
      <c r="A3788" s="24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5" t="n">
        <v>58.901246</v>
      </c>
    </row>
    <row r="3789">
      <c r="A3789" s="24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5" t="n">
        <v>62.911945</v>
      </c>
    </row>
    <row r="3790">
      <c r="A3790" s="24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5" t="n">
        <v>106.6691</v>
      </c>
    </row>
    <row r="3791">
      <c r="A3791" s="24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5" t="n">
        <v>113.346494</v>
      </c>
    </row>
    <row r="3792">
      <c r="A3792" s="24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5" t="n">
        <v>132.437302</v>
      </c>
    </row>
    <row r="3793">
      <c r="A3793" s="24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5" t="n">
        <v>117.653928</v>
      </c>
    </row>
    <row r="3794">
      <c r="A3794" s="24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5" t="n">
        <v>113.410087</v>
      </c>
    </row>
    <row r="3795">
      <c r="A3795" s="24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5" t="n">
        <v>111.626432</v>
      </c>
    </row>
    <row r="3796">
      <c r="A3796" s="24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5" t="n">
        <v>142.454751</v>
      </c>
    </row>
    <row r="3797">
      <c r="A3797" s="24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5" t="n">
        <v>120.539858</v>
      </c>
    </row>
    <row r="3798">
      <c r="A3798" s="24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5" t="n">
        <v>150.333933</v>
      </c>
    </row>
    <row r="3799">
      <c r="A3799" s="24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5" t="n">
        <v>169.569693</v>
      </c>
    </row>
    <row r="3800">
      <c r="A3800" s="24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5" t="n">
        <v>147.457392</v>
      </c>
    </row>
    <row r="3801">
      <c r="A3801" s="24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5" t="n">
        <v>198.277352</v>
      </c>
    </row>
    <row r="3802">
      <c r="A3802" s="24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5" t="n">
        <v>205.098319</v>
      </c>
    </row>
    <row r="3803">
      <c r="A3803" s="24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5" t="n">
        <v>190.996187</v>
      </c>
    </row>
    <row r="3804">
      <c r="A3804" s="24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5" t="n">
        <v>195.041028</v>
      </c>
    </row>
    <row r="3805">
      <c r="A3805" s="24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5" t="n">
        <v>188.289047</v>
      </c>
    </row>
    <row r="3806">
      <c r="A3806" s="24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5" t="n">
        <v>150.584681</v>
      </c>
    </row>
    <row r="3807">
      <c r="A3807" s="24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5" t="n">
        <v>171.834541</v>
      </c>
    </row>
    <row r="3808">
      <c r="A3808" s="24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5" t="n">
        <v>158.007478</v>
      </c>
    </row>
    <row r="3809">
      <c r="A3809" s="24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5" t="n">
        <v>195.012322</v>
      </c>
    </row>
    <row r="3810">
      <c r="A3810" s="24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5" t="n">
        <v>200.999259</v>
      </c>
    </row>
    <row r="3811">
      <c r="A3811" s="24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5" t="n">
        <v>213.150301</v>
      </c>
    </row>
    <row r="3812">
      <c r="A3812" s="24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5" t="n">
        <v>212.195384</v>
      </c>
    </row>
    <row r="3813">
      <c r="A3813" s="24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5" t="n">
        <v>191.859864</v>
      </c>
    </row>
    <row r="3814">
      <c r="A3814" s="24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5" t="n">
        <v>149.277759</v>
      </c>
    </row>
    <row r="3815">
      <c r="A3815" s="24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5" t="n">
        <v>182.993442</v>
      </c>
    </row>
    <row r="3816">
      <c r="A3816" s="24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5" t="n">
        <v>194.703097</v>
      </c>
    </row>
    <row r="3817">
      <c r="A3817" s="24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5" t="n">
        <v>181.146432</v>
      </c>
    </row>
    <row r="3818">
      <c r="A3818" s="24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5" t="n">
        <v>143.304414</v>
      </c>
    </row>
    <row r="3819">
      <c r="A3819" s="24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5" t="n">
        <v>178.229035</v>
      </c>
    </row>
    <row r="3820">
      <c r="A3820" s="24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5" t="n">
        <v>195.043729</v>
      </c>
    </row>
    <row r="3821">
      <c r="A3821" s="24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5" t="n">
        <v>180.002952</v>
      </c>
    </row>
    <row r="3822">
      <c r="A3822" s="24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5" t="n">
        <v>138.809083</v>
      </c>
    </row>
    <row r="3823">
      <c r="A3823" s="24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5" t="n">
        <v>109.74448</v>
      </c>
    </row>
    <row r="3824">
      <c r="A3824" s="24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5" t="n">
        <v>91.436835</v>
      </c>
    </row>
    <row r="3825">
      <c r="A3825" s="24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5" t="n">
        <v>101.025485</v>
      </c>
    </row>
    <row r="3826">
      <c r="A3826" s="24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5" t="n">
        <v>97.748283</v>
      </c>
    </row>
    <row r="3827">
      <c r="A3827" s="24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5" t="n">
        <v>80.276447</v>
      </c>
    </row>
    <row r="3828">
      <c r="A3828" s="24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5" t="n">
        <v>69.892062</v>
      </c>
    </row>
    <row r="3829">
      <c r="A3829" s="24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5" t="n">
        <v>106.888105</v>
      </c>
    </row>
    <row r="3830">
      <c r="A3830" s="24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5" t="n">
        <v>131.737497</v>
      </c>
    </row>
    <row r="3831">
      <c r="A3831" s="24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5" t="n">
        <v>105.795416</v>
      </c>
    </row>
    <row r="3832">
      <c r="A3832" s="24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5" t="n">
        <v>91.183387</v>
      </c>
    </row>
    <row r="3833">
      <c r="A3833" s="24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5" t="n">
        <v>89.234568</v>
      </c>
    </row>
    <row r="3834">
      <c r="A3834" s="24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5" t="n">
        <v>80.90735599999999</v>
      </c>
    </row>
    <row r="3835">
      <c r="A3835" s="24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5" t="n">
        <v>64.336727</v>
      </c>
    </row>
    <row r="3836">
      <c r="A3836" s="24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5" t="n">
        <v>51.587198</v>
      </c>
    </row>
    <row r="3837">
      <c r="A3837" s="24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5" t="n">
        <v>42.459007</v>
      </c>
    </row>
    <row r="3838">
      <c r="A3838" s="24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5" t="n">
        <v>35.583702</v>
      </c>
    </row>
    <row r="3839">
      <c r="A3839" s="24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5" t="n">
        <v>30.245628</v>
      </c>
    </row>
    <row r="3840">
      <c r="A3840" s="24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5" t="n">
        <v>26.002591</v>
      </c>
    </row>
    <row r="3841">
      <c r="A3841" s="24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5" t="n">
        <v>22.580005</v>
      </c>
    </row>
    <row r="3842">
      <c r="A3842" s="24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5" t="n">
        <v>23.841354</v>
      </c>
    </row>
    <row r="3843">
      <c r="A3843" s="24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5" t="n">
        <v>76.28899199999999</v>
      </c>
    </row>
    <row r="3844">
      <c r="A3844" s="24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5" t="n">
        <v>107.643321</v>
      </c>
    </row>
    <row r="3845">
      <c r="A3845" s="24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5" t="n">
        <v>111.792618</v>
      </c>
    </row>
    <row r="3846">
      <c r="A3846" s="24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5" t="n">
        <v>86.09319499999999</v>
      </c>
    </row>
    <row r="3847">
      <c r="A3847" s="24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5" t="n">
        <v>64.891757</v>
      </c>
    </row>
    <row r="3848">
      <c r="A3848" s="24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5" t="n">
        <v>50.641302</v>
      </c>
    </row>
    <row r="3849">
      <c r="A3849" s="24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5" t="n">
        <v>40.478297</v>
      </c>
    </row>
    <row r="3850">
      <c r="A3850" s="24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5" t="n">
        <v>33.237962</v>
      </c>
    </row>
    <row r="3851">
      <c r="A3851" s="24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5" t="n">
        <v>27.712445</v>
      </c>
    </row>
    <row r="3852">
      <c r="A3852" s="24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5" t="n">
        <v>24.079145</v>
      </c>
    </row>
    <row r="3853">
      <c r="A3853" s="24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5" t="n">
        <v>20.466827</v>
      </c>
    </row>
    <row r="3854">
      <c r="A3854" s="24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5" t="n">
        <v>17.511425</v>
      </c>
    </row>
    <row r="3855">
      <c r="A3855" s="24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5" t="n">
        <v>44.02802</v>
      </c>
    </row>
    <row r="3856">
      <c r="A3856" s="24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5" t="n">
        <v>106.997186</v>
      </c>
    </row>
    <row r="3857">
      <c r="A3857" s="24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5" t="n">
        <v>144.534981</v>
      </c>
    </row>
    <row r="3858">
      <c r="A3858" s="24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5" t="n">
        <v>166.421234</v>
      </c>
    </row>
    <row r="3859">
      <c r="A3859" s="24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5" t="n">
        <v>173.75852</v>
      </c>
    </row>
    <row r="3860">
      <c r="A3860" s="24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5" t="n">
        <v>171.466126</v>
      </c>
    </row>
    <row r="3861">
      <c r="A3861" s="24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5" t="n">
        <v>154.225702</v>
      </c>
    </row>
    <row r="3862">
      <c r="A3862" s="24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5" t="n">
        <v>118.316292</v>
      </c>
    </row>
    <row r="3863">
      <c r="A3863" s="24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5" t="n">
        <v>91.335425</v>
      </c>
    </row>
    <row r="3864">
      <c r="A3864" s="24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5" t="n">
        <v>72.072788</v>
      </c>
    </row>
    <row r="3865">
      <c r="A3865" s="24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5" t="n">
        <v>58.028188</v>
      </c>
    </row>
    <row r="3866">
      <c r="A3866" s="24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5" t="n">
        <v>47.533926</v>
      </c>
    </row>
    <row r="3867">
      <c r="A3867" s="24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5" t="n">
        <v>39.583776</v>
      </c>
    </row>
    <row r="3868">
      <c r="A3868" s="24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5" t="n">
        <v>68.829635</v>
      </c>
    </row>
    <row r="3869">
      <c r="A3869" s="24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5" t="n">
        <v>100.172527</v>
      </c>
    </row>
    <row r="3870">
      <c r="A3870" s="24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5" t="n">
        <v>103.803298</v>
      </c>
    </row>
    <row r="3871">
      <c r="A3871" s="24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5" t="n">
        <v>79.77854600000001</v>
      </c>
    </row>
    <row r="3872">
      <c r="A3872" s="24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5" t="n">
        <v>60.767396</v>
      </c>
    </row>
    <row r="3873">
      <c r="A3873" s="24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5" t="n">
        <v>47.998267</v>
      </c>
    </row>
    <row r="3874">
      <c r="A3874" s="24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5" t="n">
        <v>38.864221</v>
      </c>
    </row>
    <row r="3875">
      <c r="A3875" s="24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5" t="n">
        <v>32.076145</v>
      </c>
    </row>
    <row r="3876">
      <c r="A3876" s="24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5" t="n">
        <v>26.887315</v>
      </c>
    </row>
    <row r="3877">
      <c r="A3877" s="24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5" t="n">
        <v>36.26893</v>
      </c>
    </row>
    <row r="3878">
      <c r="A3878" s="24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5" t="n">
        <v>94.897696</v>
      </c>
    </row>
    <row r="3879">
      <c r="A3879" s="24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5" t="n">
        <v>115.063355</v>
      </c>
    </row>
    <row r="3880">
      <c r="A3880" s="24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5" t="n">
        <v>83.992864</v>
      </c>
    </row>
    <row r="3881">
      <c r="A3881" s="24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5" t="n">
        <v>63.384235</v>
      </c>
    </row>
    <row r="3882">
      <c r="A3882" s="24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5" t="n">
        <v>49.284173</v>
      </c>
    </row>
    <row r="3883">
      <c r="A3883" s="24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5" t="n">
        <v>44.531909</v>
      </c>
    </row>
    <row r="3884">
      <c r="A3884" s="24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5" t="n">
        <v>61.821198</v>
      </c>
    </row>
    <row r="3885">
      <c r="A3885" s="24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5" t="n">
        <v>59.58354</v>
      </c>
    </row>
    <row r="3886">
      <c r="A3886" s="24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5" t="n">
        <v>46.151789</v>
      </c>
    </row>
    <row r="3887">
      <c r="A3887" s="24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5" t="n">
        <v>36.093315</v>
      </c>
    </row>
    <row r="3888">
      <c r="A3888" s="24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5" t="n">
        <v>29.147361</v>
      </c>
    </row>
    <row r="3889">
      <c r="A3889" s="24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5" t="n">
        <v>35.290275</v>
      </c>
    </row>
    <row r="3890">
      <c r="A3890" s="24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5" t="n">
        <v>30.295615</v>
      </c>
    </row>
    <row r="3891">
      <c r="A3891" s="24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5" t="n">
        <v>24.082528</v>
      </c>
    </row>
    <row r="3892">
      <c r="A3892" s="24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5" t="n">
        <v>19.739793</v>
      </c>
    </row>
    <row r="3893">
      <c r="A3893" s="24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5" t="n">
        <v>18.587109</v>
      </c>
    </row>
    <row r="3894">
      <c r="A3894" s="24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5" t="n">
        <v>36.607959</v>
      </c>
    </row>
    <row r="3895">
      <c r="A3895" s="24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5" t="n">
        <v>29.853028</v>
      </c>
    </row>
    <row r="3896">
      <c r="A3896" s="24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5" t="n">
        <v>22.729959</v>
      </c>
    </row>
    <row r="3897">
      <c r="A3897" s="24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5" t="n">
        <v>18.319298</v>
      </c>
    </row>
    <row r="3898">
      <c r="A3898" s="24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5" t="n">
        <v>64.509354</v>
      </c>
    </row>
    <row r="3899">
      <c r="A3899" s="24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5" t="n">
        <v>59.309814</v>
      </c>
    </row>
    <row r="3900">
      <c r="A3900" s="24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5" t="n">
        <v>48.429119</v>
      </c>
    </row>
    <row r="3901">
      <c r="A3901" s="24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5" t="n">
        <v>50.64993</v>
      </c>
    </row>
    <row r="3902">
      <c r="A3902" s="24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5" t="n">
        <v>69.51572899999999</v>
      </c>
    </row>
    <row r="3903">
      <c r="A3903" s="24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5" t="n">
        <v>65.155041</v>
      </c>
    </row>
    <row r="3904">
      <c r="A3904" s="24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5" t="n">
        <v>50.071878</v>
      </c>
    </row>
    <row r="3905">
      <c r="A3905" s="24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5" t="n">
        <v>69.331642</v>
      </c>
    </row>
    <row r="3906">
      <c r="A3906" s="24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5" t="n">
        <v>110.396175</v>
      </c>
    </row>
    <row r="3907">
      <c r="A3907" s="24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5" t="n">
        <v>122.644189</v>
      </c>
    </row>
    <row r="3908">
      <c r="A3908" s="24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5" t="n">
        <v>124.543534</v>
      </c>
    </row>
    <row r="3909">
      <c r="A3909" s="24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5" t="n">
        <v>96.67376899999999</v>
      </c>
    </row>
    <row r="3910">
      <c r="A3910" s="24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5" t="n">
        <v>75.52200999999999</v>
      </c>
    </row>
    <row r="3911">
      <c r="A3911" s="24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5" t="n">
        <v>59.815695</v>
      </c>
    </row>
    <row r="3912">
      <c r="A3912" s="24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5" t="n">
        <v>48.112603</v>
      </c>
    </row>
    <row r="3913">
      <c r="A3913" s="24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5" t="n">
        <v>41.290052</v>
      </c>
    </row>
    <row r="3914">
      <c r="A3914" s="24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5" t="n">
        <v>44.173253</v>
      </c>
    </row>
    <row r="3915">
      <c r="A3915" s="24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5" t="n">
        <v>45.967695</v>
      </c>
    </row>
    <row r="3916">
      <c r="A3916" s="24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5" t="n">
        <v>38.036153</v>
      </c>
    </row>
    <row r="3917">
      <c r="A3917" s="24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5" t="n">
        <v>44.097203</v>
      </c>
    </row>
    <row r="3918">
      <c r="A3918" s="24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5" t="n">
        <v>40.687863</v>
      </c>
    </row>
    <row r="3919">
      <c r="A3919" s="24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5" t="n">
        <v>61.365194</v>
      </c>
    </row>
    <row r="3920">
      <c r="A3920" s="24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5" t="n">
        <v>76.18611799999999</v>
      </c>
    </row>
    <row r="3921">
      <c r="A3921" s="24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5" t="n">
        <v>59.961466</v>
      </c>
    </row>
    <row r="3922">
      <c r="A3922" s="24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5" t="n">
        <v>45.439457</v>
      </c>
    </row>
    <row r="3923">
      <c r="A3923" s="24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5" t="n">
        <v>35.590064</v>
      </c>
    </row>
    <row r="3924">
      <c r="A3924" s="24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5" t="n">
        <v>29.998669</v>
      </c>
    </row>
    <row r="3925">
      <c r="A3925" s="24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5" t="n">
        <v>26.077275</v>
      </c>
    </row>
    <row r="3926">
      <c r="A3926" s="24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5" t="n">
        <v>21.673886</v>
      </c>
    </row>
    <row r="3927">
      <c r="A3927" s="24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5" t="n">
        <v>18.032317</v>
      </c>
    </row>
    <row r="3928">
      <c r="A3928" s="24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5" t="n">
        <v>15.242683</v>
      </c>
    </row>
    <row r="3929">
      <c r="A3929" s="24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5" t="n">
        <v>14.592334</v>
      </c>
    </row>
    <row r="3930">
      <c r="A3930" s="24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5" t="n">
        <v>18.252274</v>
      </c>
    </row>
    <row r="3931">
      <c r="A3931" s="24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5" t="n">
        <v>16.150816</v>
      </c>
    </row>
    <row r="3932">
      <c r="A3932" s="24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5" t="n">
        <v>13.39867</v>
      </c>
    </row>
    <row r="3933">
      <c r="A3933" s="24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5" t="n">
        <v>13.874466</v>
      </c>
    </row>
    <row r="3934">
      <c r="A3934" s="24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5" t="n">
        <v>11.619812</v>
      </c>
    </row>
    <row r="3935">
      <c r="A3935" s="24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5" t="n">
        <v>11.618564</v>
      </c>
    </row>
    <row r="3936">
      <c r="A3936" s="24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5" t="n">
        <v>13.1517</v>
      </c>
    </row>
    <row r="3937">
      <c r="A3937" s="24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5" t="n">
        <v>11.489478</v>
      </c>
    </row>
    <row r="3938">
      <c r="A3938" s="24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5" t="n">
        <v>11.057837</v>
      </c>
    </row>
    <row r="3939">
      <c r="A3939" s="24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5" t="n">
        <v>18.360455</v>
      </c>
    </row>
    <row r="3940">
      <c r="A3940" s="24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5" t="n">
        <v>18.568456</v>
      </c>
    </row>
    <row r="3941">
      <c r="A3941" s="24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5" t="n">
        <v>17.689984</v>
      </c>
    </row>
    <row r="3942">
      <c r="A3942" s="24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5" t="n">
        <v>15.301881</v>
      </c>
    </row>
    <row r="3943">
      <c r="A3943" s="24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5" t="n">
        <v>32.37682</v>
      </c>
    </row>
    <row r="3944">
      <c r="A3944" s="24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5" t="n">
        <v>47.332093</v>
      </c>
    </row>
    <row r="3945">
      <c r="A3945" s="24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5" t="n">
        <v>46.556688</v>
      </c>
    </row>
    <row r="3946">
      <c r="A3946" s="24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5" t="n">
        <v>37.064978</v>
      </c>
    </row>
    <row r="3947">
      <c r="A3947" s="24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5" t="n">
        <v>31.330386</v>
      </c>
    </row>
    <row r="3948">
      <c r="A3948" s="24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5" t="n">
        <v>30.191023</v>
      </c>
    </row>
    <row r="3949">
      <c r="A3949" s="24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5" t="n">
        <v>25.878362</v>
      </c>
    </row>
    <row r="3950">
      <c r="A3950" s="24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5" t="n">
        <v>22.71655</v>
      </c>
    </row>
    <row r="3951">
      <c r="A3951" s="24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5" t="n">
        <v>25.913322</v>
      </c>
    </row>
    <row r="3952">
      <c r="A3952" s="24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5" t="n">
        <v>33.746224</v>
      </c>
    </row>
    <row r="3953">
      <c r="A3953" s="24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5" t="n">
        <v>32.917581</v>
      </c>
    </row>
    <row r="3954">
      <c r="A3954" s="24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5" t="n">
        <v>75.08062200000001</v>
      </c>
    </row>
    <row r="3955">
      <c r="A3955" s="24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5" t="n">
        <v>71.435738</v>
      </c>
    </row>
    <row r="3956">
      <c r="A3956" s="24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5" t="n">
        <v>60.353616</v>
      </c>
    </row>
    <row r="3957">
      <c r="A3957" s="24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5" t="n">
        <v>54.121378</v>
      </c>
    </row>
    <row r="3958">
      <c r="A3958" s="24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5" t="n">
        <v>42.668254</v>
      </c>
    </row>
    <row r="3959">
      <c r="A3959" s="24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5" t="n">
        <v>85.738389</v>
      </c>
    </row>
    <row r="3960">
      <c r="A3960" s="24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5" t="n">
        <v>71.915311</v>
      </c>
    </row>
    <row r="3961">
      <c r="A3961" s="24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5" t="n">
        <v>60.572963</v>
      </c>
    </row>
    <row r="3962">
      <c r="A3962" s="24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5" t="n">
        <v>88.79064200000001</v>
      </c>
    </row>
    <row r="3963">
      <c r="A3963" s="24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5" t="n">
        <v>81.352352</v>
      </c>
    </row>
    <row r="3964">
      <c r="A3964" s="24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5" t="n">
        <v>70.97429099999999</v>
      </c>
    </row>
    <row r="3965">
      <c r="A3965" s="24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5" t="n">
        <v>113.18791</v>
      </c>
    </row>
    <row r="3966">
      <c r="A3966" s="24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5" t="n">
        <v>114.98078</v>
      </c>
    </row>
    <row r="3967">
      <c r="A3967" s="24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5" t="n">
        <v>154.156356</v>
      </c>
    </row>
    <row r="3968">
      <c r="A3968" s="24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5" t="n">
        <v>165.376362</v>
      </c>
    </row>
    <row r="3969">
      <c r="A3969" s="24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5" t="n">
        <v>174.103605</v>
      </c>
    </row>
    <row r="3970">
      <c r="A3970" s="24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5" t="n">
        <v>133.549869</v>
      </c>
    </row>
    <row r="3971">
      <c r="A3971" s="24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5" t="n">
        <v>103.710677</v>
      </c>
    </row>
    <row r="3972">
      <c r="A3972" s="24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5" t="n">
        <v>82.481984</v>
      </c>
    </row>
    <row r="3973">
      <c r="A3973" s="24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5" t="n">
        <v>66.678331</v>
      </c>
    </row>
    <row r="3974">
      <c r="A3974" s="24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5" t="n">
        <v>53.81944</v>
      </c>
    </row>
    <row r="3975">
      <c r="A3975" s="24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5" t="n">
        <v>44.110498</v>
      </c>
    </row>
    <row r="3976">
      <c r="A3976" s="24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5" t="n">
        <v>37.004125</v>
      </c>
    </row>
    <row r="3977">
      <c r="A3977" s="24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5" t="n">
        <v>31.325453</v>
      </c>
    </row>
    <row r="3978">
      <c r="A3978" s="24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5" t="n">
        <v>27.006186</v>
      </c>
    </row>
    <row r="3979">
      <c r="A3979" s="24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5" t="n">
        <v>32.27074</v>
      </c>
    </row>
    <row r="3980">
      <c r="A3980" s="24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5" t="n">
        <v>34.255338</v>
      </c>
    </row>
    <row r="3981">
      <c r="A3981" s="24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5" t="n">
        <v>83.671745</v>
      </c>
    </row>
    <row r="3982">
      <c r="A3982" s="24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5" t="n">
        <v>74.738378</v>
      </c>
    </row>
    <row r="3983">
      <c r="A3983" s="24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5" t="n">
        <v>59.863734</v>
      </c>
    </row>
    <row r="3984">
      <c r="A3984" s="24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5" t="n">
        <v>46.374072</v>
      </c>
    </row>
    <row r="3985">
      <c r="A3985" s="24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5" t="n">
        <v>94.820239</v>
      </c>
    </row>
    <row r="3986">
      <c r="A3986" s="24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5" t="n">
        <v>124.37244</v>
      </c>
    </row>
    <row r="3987">
      <c r="A3987" s="24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5" t="n">
        <v>136.698341</v>
      </c>
    </row>
    <row r="3988">
      <c r="A3988" s="24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5" t="n">
        <v>120.079543</v>
      </c>
    </row>
    <row r="3989">
      <c r="A3989" s="24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5" t="n">
        <v>113.497507</v>
      </c>
    </row>
    <row r="3990">
      <c r="A3990" s="24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5" t="n">
        <v>152.320737</v>
      </c>
    </row>
    <row r="3991">
      <c r="A3991" s="24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5" t="n">
        <v>161.417013</v>
      </c>
    </row>
    <row r="3992">
      <c r="A3992" s="24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5" t="n">
        <v>122.52073</v>
      </c>
    </row>
    <row r="3993">
      <c r="A3993" s="24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5" t="n">
        <v>113.23781</v>
      </c>
    </row>
    <row r="3994">
      <c r="A3994" s="24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5" t="n">
        <v>94.55651</v>
      </c>
    </row>
    <row r="3995">
      <c r="A3995" s="24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5" t="n">
        <v>126.337947</v>
      </c>
    </row>
    <row r="3996">
      <c r="A3996" s="24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5" t="n">
        <v>160.576135</v>
      </c>
    </row>
    <row r="3997">
      <c r="A3997" s="24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5" t="n">
        <v>159.870831</v>
      </c>
    </row>
    <row r="3998">
      <c r="A3998" s="24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5" t="n">
        <v>150.206149</v>
      </c>
    </row>
    <row r="3999">
      <c r="A3999" s="24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5" t="n">
        <v>151.262974</v>
      </c>
    </row>
    <row r="4000">
      <c r="A4000" s="24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5" t="n">
        <v>138.437918</v>
      </c>
    </row>
    <row r="4001">
      <c r="A4001" s="24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5" t="n">
        <v>152.866809</v>
      </c>
    </row>
    <row r="4002">
      <c r="A4002" s="24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5" t="n">
        <v>119.70415</v>
      </c>
    </row>
    <row r="4003">
      <c r="A4003" s="24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5" t="n">
        <v>93.062622</v>
      </c>
    </row>
    <row r="4004">
      <c r="A4004" s="24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5" t="n">
        <v>75.735703</v>
      </c>
    </row>
    <row r="4005">
      <c r="A4005" s="24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5" t="n">
        <v>76.72824900000001</v>
      </c>
    </row>
    <row r="4006">
      <c r="A4006" s="24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5" t="n">
        <v>65.68634900000001</v>
      </c>
    </row>
    <row r="4007">
      <c r="A4007" s="24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5" t="n">
        <v>66.555888</v>
      </c>
    </row>
    <row r="4008">
      <c r="A4008" s="24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5" t="n">
        <v>61.358585</v>
      </c>
    </row>
    <row r="4009">
      <c r="A4009" s="24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5" t="n">
        <v>80.442701</v>
      </c>
    </row>
    <row r="4010">
      <c r="A4010" s="24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5" t="n">
        <v>73.14756300000001</v>
      </c>
    </row>
    <row r="4011">
      <c r="A4011" s="24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5" t="n">
        <v>62.569903</v>
      </c>
    </row>
    <row r="4012">
      <c r="A4012" s="24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5" t="n">
        <v>91.190635</v>
      </c>
    </row>
    <row r="4013">
      <c r="A4013" s="24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5" t="n">
        <v>87.699974</v>
      </c>
    </row>
    <row r="4014">
      <c r="A4014" s="24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5" t="n">
        <v>69.654792</v>
      </c>
    </row>
    <row r="4015">
      <c r="A4015" s="24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5" t="n">
        <v>101.501712</v>
      </c>
    </row>
    <row r="4016">
      <c r="A4016" s="24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5" t="n">
        <v>83.831712</v>
      </c>
    </row>
    <row r="4017">
      <c r="A4017" s="24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5" t="n">
        <v>66.456419</v>
      </c>
    </row>
    <row r="4018">
      <c r="A4018" s="24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5" t="n">
        <v>98.26554400000001</v>
      </c>
    </row>
    <row r="4019">
      <c r="A4019" s="24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5" t="n">
        <v>87.050307</v>
      </c>
    </row>
    <row r="4020">
      <c r="A4020" s="24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5" t="n">
        <v>67.464265</v>
      </c>
    </row>
    <row r="4021">
      <c r="A4021" s="24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5" t="n">
        <v>53.588284</v>
      </c>
    </row>
    <row r="4022">
      <c r="A4022" s="24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5" t="n">
        <v>48.762833</v>
      </c>
    </row>
    <row r="4023">
      <c r="A4023" s="24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5" t="n">
        <v>41.687326</v>
      </c>
    </row>
    <row r="4024">
      <c r="A4024" s="24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5" t="n">
        <v>36.641108</v>
      </c>
    </row>
    <row r="4025">
      <c r="A4025" s="24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5" t="n">
        <v>51.941163</v>
      </c>
    </row>
    <row r="4026">
      <c r="A4026" s="24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5" t="n">
        <v>66.17474300000001</v>
      </c>
    </row>
    <row r="4027">
      <c r="A4027" s="24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5" t="n">
        <v>53.263331</v>
      </c>
    </row>
    <row r="4028">
      <c r="A4028" s="24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5" t="n">
        <v>44.419135</v>
      </c>
    </row>
    <row r="4029">
      <c r="A4029" s="24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5" t="n">
        <v>86.797831</v>
      </c>
    </row>
    <row r="4030">
      <c r="A4030" s="24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5" t="n">
        <v>69.51840900000001</v>
      </c>
    </row>
    <row r="4031">
      <c r="A4031" s="24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5" t="n">
        <v>62.381479</v>
      </c>
    </row>
    <row r="4032">
      <c r="A4032" s="24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5" t="n">
        <v>59.828821</v>
      </c>
    </row>
    <row r="4033">
      <c r="A4033" s="24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5" t="n">
        <v>63.958135</v>
      </c>
    </row>
    <row r="4034">
      <c r="A4034" s="24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5" t="n">
        <v>74.950799</v>
      </c>
    </row>
    <row r="4035">
      <c r="A4035" s="24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5" t="n">
        <v>63.081718</v>
      </c>
    </row>
    <row r="4036">
      <c r="A4036" s="24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5" t="n">
        <v>55.934022</v>
      </c>
    </row>
    <row r="4037">
      <c r="A4037" s="24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5" t="n">
        <v>65.99644600000001</v>
      </c>
    </row>
    <row r="4038">
      <c r="A4038" s="24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5" t="n">
        <v>57.611452</v>
      </c>
    </row>
    <row r="4039">
      <c r="A4039" s="24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5" t="n">
        <v>66.994845</v>
      </c>
    </row>
    <row r="4040">
      <c r="A4040" s="24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5" t="n">
        <v>57.099205</v>
      </c>
    </row>
    <row r="4041">
      <c r="A4041" s="24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5" t="n">
        <v>79.7715</v>
      </c>
    </row>
    <row r="4042">
      <c r="A4042" s="24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5" t="n">
        <v>79.17534999999999</v>
      </c>
    </row>
    <row r="4043">
      <c r="A4043" s="24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5" t="n">
        <v>69.46553900000001</v>
      </c>
    </row>
    <row r="4044">
      <c r="A4044" s="24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5" t="n">
        <v>90.182948</v>
      </c>
    </row>
    <row r="4045">
      <c r="A4045" s="24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5" t="n">
        <v>79.61788300000001</v>
      </c>
    </row>
    <row r="4046">
      <c r="A4046" s="24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5" t="n">
        <v>64.81358899999999</v>
      </c>
    </row>
    <row r="4047">
      <c r="A4047" s="24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5" t="n">
        <v>53.181967</v>
      </c>
    </row>
    <row r="4048">
      <c r="A4048" s="24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5" t="n">
        <v>43.018034</v>
      </c>
    </row>
    <row r="4049">
      <c r="A4049" s="24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5" t="n">
        <v>35.054708</v>
      </c>
    </row>
    <row r="4050">
      <c r="A4050" s="24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5" t="n">
        <v>47.404568</v>
      </c>
    </row>
    <row r="4051">
      <c r="A4051" s="24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5" t="n">
        <v>39.292461</v>
      </c>
    </row>
    <row r="4052">
      <c r="A4052" s="24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5" t="n">
        <v>31.969688</v>
      </c>
    </row>
    <row r="4053">
      <c r="A4053" s="24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5" t="n">
        <v>28.710704</v>
      </c>
    </row>
    <row r="4054">
      <c r="A4054" s="24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5" t="n">
        <v>28.764176</v>
      </c>
    </row>
    <row r="4055">
      <c r="A4055" s="24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5" t="n">
        <v>27.970156</v>
      </c>
    </row>
    <row r="4056">
      <c r="A4056" s="24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5" t="n">
        <v>22.900258</v>
      </c>
    </row>
    <row r="4057">
      <c r="A4057" s="24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5" t="n">
        <v>18.787947</v>
      </c>
    </row>
    <row r="4058">
      <c r="A4058" s="24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5" t="n">
        <v>16.467781</v>
      </c>
    </row>
    <row r="4059">
      <c r="A4059" s="24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5" t="n">
        <v>15.582072</v>
      </c>
    </row>
    <row r="4060">
      <c r="A4060" s="24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5" t="n">
        <v>38.994529</v>
      </c>
    </row>
    <row r="4061">
      <c r="A4061" s="24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5" t="n">
        <v>43.529488</v>
      </c>
    </row>
    <row r="4062">
      <c r="A4062" s="24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5" t="n">
        <v>44.36507</v>
      </c>
    </row>
    <row r="4063">
      <c r="A4063" s="24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5" t="n">
        <v>56.507327</v>
      </c>
    </row>
    <row r="4064">
      <c r="A4064" s="24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5" t="n">
        <v>62.074147</v>
      </c>
    </row>
    <row r="4065">
      <c r="A4065" s="24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5" t="n">
        <v>53.398146</v>
      </c>
    </row>
    <row r="4066">
      <c r="A4066" s="24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5" t="n">
        <v>62.090295</v>
      </c>
    </row>
    <row r="4067">
      <c r="A4067" s="24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5" t="n">
        <v>66.40125999999999</v>
      </c>
    </row>
    <row r="4068">
      <c r="A4068" s="24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5" t="n">
        <v>61.02762</v>
      </c>
    </row>
    <row r="4069">
      <c r="A4069" s="24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5" t="n">
        <v>48.116738</v>
      </c>
    </row>
    <row r="4070">
      <c r="A4070" s="24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5" t="n">
        <v>41.775474</v>
      </c>
    </row>
    <row r="4071">
      <c r="A4071" s="24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5" t="n">
        <v>39.21105</v>
      </c>
    </row>
    <row r="4072">
      <c r="A4072" s="24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5" t="n">
        <v>61.364099</v>
      </c>
    </row>
    <row r="4073">
      <c r="A4073" s="24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5" t="n">
        <v>57.663231</v>
      </c>
    </row>
    <row r="4074">
      <c r="A4074" s="24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5" t="n">
        <v>49.793508</v>
      </c>
    </row>
    <row r="4075">
      <c r="A4075" s="24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5" t="n">
        <v>49.324662</v>
      </c>
    </row>
    <row r="4076">
      <c r="A4076" s="24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5" t="n">
        <v>42.273458</v>
      </c>
    </row>
    <row r="4077">
      <c r="A4077" s="24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5" t="n">
        <v>38.273671</v>
      </c>
    </row>
    <row r="4078">
      <c r="A4078" s="24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5" t="n">
        <v>68.233029</v>
      </c>
    </row>
    <row r="4079">
      <c r="A4079" s="24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5" t="n">
        <v>57.026521</v>
      </c>
    </row>
    <row r="4080">
      <c r="A4080" s="24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5" t="n">
        <v>44.45786</v>
      </c>
    </row>
    <row r="4081">
      <c r="A4081" s="24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5" t="n">
        <v>37.64421</v>
      </c>
    </row>
    <row r="4082">
      <c r="A4082" s="24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5" t="n">
        <v>39.435518</v>
      </c>
    </row>
    <row r="4083">
      <c r="A4083" s="24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5" t="n">
        <v>36.012749</v>
      </c>
    </row>
    <row r="4084">
      <c r="A4084" s="24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5" t="n">
        <v>53.979058</v>
      </c>
    </row>
    <row r="4085">
      <c r="A4085" s="24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5" t="n">
        <v>48.486889</v>
      </c>
    </row>
    <row r="4086">
      <c r="A4086" s="24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5" t="n">
        <v>57.5385</v>
      </c>
    </row>
    <row r="4087">
      <c r="A4087" s="24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5" t="n">
        <v>67.44483099999999</v>
      </c>
    </row>
    <row r="4088">
      <c r="A4088" s="24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5" t="n">
        <v>115.242576</v>
      </c>
    </row>
    <row r="4089">
      <c r="A4089" s="24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5" t="n">
        <v>135.4857</v>
      </c>
    </row>
    <row r="4090">
      <c r="A4090" s="24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5" t="n">
        <v>113.918071</v>
      </c>
    </row>
    <row r="4091">
      <c r="A4091" s="24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5" t="n">
        <v>107.818716</v>
      </c>
    </row>
    <row r="4092">
      <c r="A4092" s="24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5" t="n">
        <v>139.021973</v>
      </c>
    </row>
    <row r="4093">
      <c r="A4093" s="24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5" t="n">
        <v>116.987884</v>
      </c>
    </row>
    <row r="4094">
      <c r="A4094" s="24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5" t="n">
        <v>120.423052</v>
      </c>
    </row>
    <row r="4095">
      <c r="A4095" s="24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5" t="n">
        <v>107.642198</v>
      </c>
    </row>
    <row r="4096">
      <c r="A4096" s="24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5" t="n">
        <v>84.686775</v>
      </c>
    </row>
    <row r="4097">
      <c r="A4097" s="24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5" t="n">
        <v>121.221445</v>
      </c>
    </row>
    <row r="4098">
      <c r="A4098" s="24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5" t="n">
        <v>106.663778</v>
      </c>
    </row>
    <row r="4099">
      <c r="A4099" s="24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5" t="n">
        <v>94.022746</v>
      </c>
    </row>
    <row r="4100">
      <c r="A4100" s="24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5" t="n">
        <v>111.353999</v>
      </c>
    </row>
    <row r="4101">
      <c r="A4101" s="24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5" t="n">
        <v>90.670029</v>
      </c>
    </row>
    <row r="4102">
      <c r="A4102" s="24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5" t="n">
        <v>76.156898</v>
      </c>
    </row>
    <row r="4103">
      <c r="A4103" s="24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5" t="n">
        <v>64.704702</v>
      </c>
    </row>
    <row r="4104">
      <c r="A4104" s="24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5" t="n">
        <v>63.004703</v>
      </c>
    </row>
    <row r="4105">
      <c r="A4105" s="24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5" t="n">
        <v>80.351904</v>
      </c>
    </row>
    <row r="4106">
      <c r="A4106" s="24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5" t="n">
        <v>77.53327400000001</v>
      </c>
    </row>
    <row r="4107">
      <c r="A4107" s="24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5" t="n">
        <v>91.696735</v>
      </c>
    </row>
    <row r="4108">
      <c r="A4108" s="24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5" t="n">
        <v>75.675625</v>
      </c>
    </row>
    <row r="4109">
      <c r="A4109" s="24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5" t="n">
        <v>59.189742</v>
      </c>
    </row>
    <row r="4110">
      <c r="A4110" s="24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5" t="n">
        <v>46.823702</v>
      </c>
    </row>
    <row r="4111">
      <c r="A4111" s="24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5" t="n">
        <v>62.382625</v>
      </c>
    </row>
    <row r="4112">
      <c r="A4112" s="24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5" t="n">
        <v>74.108386</v>
      </c>
    </row>
    <row r="4113">
      <c r="A4113" s="24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5" t="n">
        <v>79.49793699999999</v>
      </c>
    </row>
    <row r="4114">
      <c r="A4114" s="24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5" t="n">
        <v>65.973269</v>
      </c>
    </row>
    <row r="4115">
      <c r="A4115" s="24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5" t="n">
        <v>69.692109</v>
      </c>
    </row>
    <row r="4116">
      <c r="A4116" s="24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5" t="n">
        <v>59.027523</v>
      </c>
    </row>
    <row r="4117">
      <c r="A4117" s="24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5" t="n">
        <v>46.143533</v>
      </c>
    </row>
    <row r="4118">
      <c r="A4118" s="24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5" t="n">
        <v>40.017363</v>
      </c>
    </row>
    <row r="4119">
      <c r="A4119" s="24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5" t="n">
        <v>33.170972</v>
      </c>
    </row>
    <row r="4120">
      <c r="A4120" s="24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5" t="n">
        <v>36.068911</v>
      </c>
    </row>
    <row r="4121">
      <c r="A4121" s="24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5" t="n">
        <v>35.142718</v>
      </c>
    </row>
    <row r="4122">
      <c r="A4122" s="24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5" t="n">
        <v>33.924926</v>
      </c>
    </row>
    <row r="4123">
      <c r="A4123" s="24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5" t="n">
        <v>31.344276</v>
      </c>
    </row>
    <row r="4124">
      <c r="A4124" s="24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5" t="n">
        <v>26.306289</v>
      </c>
    </row>
    <row r="4125">
      <c r="A4125" s="24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5" t="n">
        <v>26.539605</v>
      </c>
    </row>
    <row r="4126">
      <c r="A4126" s="24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5" t="n">
        <v>24.814827</v>
      </c>
    </row>
    <row r="4127">
      <c r="A4127" s="24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5" t="n">
        <v>28.404417</v>
      </c>
    </row>
    <row r="4128">
      <c r="A4128" s="24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5" t="n">
        <v>24.842893</v>
      </c>
    </row>
    <row r="4129">
      <c r="A4129" s="24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5" t="n">
        <v>35.918901</v>
      </c>
    </row>
    <row r="4130">
      <c r="A4130" s="24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5" t="n">
        <v>89.048407</v>
      </c>
    </row>
    <row r="4131">
      <c r="A4131" s="24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5" t="n">
        <v>104.09465</v>
      </c>
    </row>
    <row r="4132">
      <c r="A4132" s="24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5" t="n">
        <v>93.26973599999999</v>
      </c>
    </row>
    <row r="4133">
      <c r="A4133" s="24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5" t="n">
        <v>74.72583899999999</v>
      </c>
    </row>
    <row r="4134">
      <c r="A4134" s="24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5" t="n">
        <v>80.789062</v>
      </c>
    </row>
    <row r="4135">
      <c r="A4135" s="24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5" t="n">
        <v>85.606593</v>
      </c>
    </row>
    <row r="4136">
      <c r="A4136" s="24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5" t="n">
        <v>97.171407</v>
      </c>
    </row>
    <row r="4137">
      <c r="A4137" s="24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5" t="n">
        <v>83.516908</v>
      </c>
    </row>
    <row r="4138">
      <c r="A4138" s="24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5" t="n">
        <v>66.335069</v>
      </c>
    </row>
    <row r="4139">
      <c r="A4139" s="24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5" t="n">
        <v>82.303122</v>
      </c>
    </row>
    <row r="4140">
      <c r="A4140" s="24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5" t="n">
        <v>84.825772</v>
      </c>
    </row>
    <row r="4141">
      <c r="A4141" s="24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5" t="n">
        <v>66.63347</v>
      </c>
    </row>
    <row r="4142">
      <c r="A4142" s="24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5" t="n">
        <v>115.667637</v>
      </c>
    </row>
    <row r="4143">
      <c r="A4143" s="24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5" t="n">
        <v>139.979096</v>
      </c>
    </row>
    <row r="4144">
      <c r="A4144" s="24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5" t="n">
        <v>159.287806</v>
      </c>
    </row>
    <row r="4145">
      <c r="A4145" s="24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5" t="n">
        <v>173.189412</v>
      </c>
    </row>
    <row r="4146">
      <c r="A4146" s="24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5" t="n">
        <v>137.271655</v>
      </c>
    </row>
    <row r="4147">
      <c r="A4147" s="24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5" t="n">
        <v>136.647595</v>
      </c>
    </row>
    <row r="4148">
      <c r="A4148" s="24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5" t="n">
        <v>113.375927</v>
      </c>
    </row>
    <row r="4149">
      <c r="A4149" s="24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5" t="n">
        <v>89.940668</v>
      </c>
    </row>
    <row r="4150">
      <c r="A4150" s="24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5" t="n">
        <v>73.574916</v>
      </c>
    </row>
    <row r="4151">
      <c r="A4151" s="24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5" t="n">
        <v>80.639726</v>
      </c>
    </row>
    <row r="4152">
      <c r="A4152" s="24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5" t="n">
        <v>105.294277</v>
      </c>
    </row>
    <row r="4153">
      <c r="A4153" s="24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5" t="n">
        <v>106.949186</v>
      </c>
    </row>
    <row r="4154">
      <c r="A4154" s="24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5" t="n">
        <v>92.6571</v>
      </c>
    </row>
    <row r="4155">
      <c r="A4155" s="24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5" t="n">
        <v>72.038425</v>
      </c>
    </row>
    <row r="4156">
      <c r="A4156" s="24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5" t="n">
        <v>57.195879</v>
      </c>
    </row>
    <row r="4157">
      <c r="A4157" s="24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5" t="n">
        <v>47.638298</v>
      </c>
    </row>
    <row r="4158">
      <c r="A4158" s="24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5" t="n">
        <v>47.631047</v>
      </c>
    </row>
    <row r="4159">
      <c r="A4159" s="24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5" t="n">
        <v>52.622126</v>
      </c>
    </row>
    <row r="4160">
      <c r="A4160" s="24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5" t="n">
        <v>58.93853</v>
      </c>
    </row>
    <row r="4161">
      <c r="A4161" s="24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5" t="n">
        <v>49.965987</v>
      </c>
    </row>
    <row r="4162">
      <c r="A4162" s="24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5" t="n">
        <v>48.567041</v>
      </c>
    </row>
    <row r="4163">
      <c r="A4163" s="24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5" t="n">
        <v>39.648863</v>
      </c>
    </row>
    <row r="4164">
      <c r="A4164" s="24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5" t="n">
        <v>90.24941200000001</v>
      </c>
    </row>
    <row r="4165">
      <c r="A4165" s="24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5" t="n">
        <v>126.415844</v>
      </c>
    </row>
    <row r="4166">
      <c r="A4166" s="24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5" t="n">
        <v>132.98194</v>
      </c>
    </row>
    <row r="4167">
      <c r="A4167" s="24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5" t="n">
        <v>116.057007</v>
      </c>
    </row>
    <row r="4168">
      <c r="A4168" s="24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5" t="n">
        <v>113.698469</v>
      </c>
    </row>
    <row r="4169">
      <c r="A4169" s="24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5" t="n">
        <v>95.42171</v>
      </c>
    </row>
    <row r="4170">
      <c r="A4170" s="24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5" t="n">
        <v>103.283682</v>
      </c>
    </row>
    <row r="4171">
      <c r="A4171" s="24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5" t="n">
        <v>87.64290800000001</v>
      </c>
    </row>
    <row r="4172">
      <c r="A4172" s="24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5" t="n">
        <v>77.993251</v>
      </c>
    </row>
    <row r="4173">
      <c r="A4173" s="24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5" t="n">
        <v>61.844697</v>
      </c>
    </row>
    <row r="4174">
      <c r="A4174" s="24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5" t="n">
        <v>50.380259</v>
      </c>
    </row>
    <row r="4175">
      <c r="A4175" s="24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5" t="n">
        <v>43.219049</v>
      </c>
    </row>
    <row r="4176">
      <c r="A4176" s="24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5" t="n">
        <v>60.123911</v>
      </c>
    </row>
    <row r="4177">
      <c r="A4177" s="24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5" t="n">
        <v>115.958999</v>
      </c>
    </row>
    <row r="4178">
      <c r="A4178" s="24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5" t="n">
        <v>158.397432</v>
      </c>
    </row>
    <row r="4179">
      <c r="A4179" s="24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5" t="n">
        <v>164.002497</v>
      </c>
    </row>
    <row r="4180">
      <c r="A4180" s="24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5" t="n">
        <v>165.845503</v>
      </c>
    </row>
    <row r="4181">
      <c r="A4181" s="24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5" t="n">
        <v>143.687549</v>
      </c>
    </row>
    <row r="4182">
      <c r="A4182" s="24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5" t="n">
        <v>167.083027</v>
      </c>
    </row>
    <row r="4183">
      <c r="A4183" s="24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5" t="n">
        <v>153.014508</v>
      </c>
    </row>
    <row r="4184">
      <c r="A4184" s="24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5" t="n">
        <v>168.252296</v>
      </c>
    </row>
    <row r="4185">
      <c r="A4185" s="24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5" t="n">
        <v>132.341773</v>
      </c>
    </row>
    <row r="4186">
      <c r="A4186" s="24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5" t="n">
        <v>103.142368</v>
      </c>
    </row>
    <row r="4187">
      <c r="A4187" s="24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5" t="n">
        <v>83.469809</v>
      </c>
    </row>
    <row r="4188">
      <c r="A4188" s="24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5" t="n">
        <v>67.08836100000001</v>
      </c>
    </row>
    <row r="4189">
      <c r="A4189" s="24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5" t="n">
        <v>54.769521</v>
      </c>
    </row>
    <row r="4190">
      <c r="A4190" s="24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5" t="n">
        <v>48.276073</v>
      </c>
    </row>
    <row r="4191">
      <c r="A4191" s="24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5" t="n">
        <v>43.624958</v>
      </c>
    </row>
    <row r="4192">
      <c r="A4192" s="24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5" t="n">
        <v>45.44221</v>
      </c>
    </row>
    <row r="4193">
      <c r="A4193" s="24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5" t="n">
        <v>39.041051</v>
      </c>
    </row>
    <row r="4194">
      <c r="A4194" s="24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5" t="n">
        <v>56.121421</v>
      </c>
    </row>
    <row r="4195">
      <c r="A4195" s="24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5" t="n">
        <v>57.999293</v>
      </c>
    </row>
    <row r="4196">
      <c r="A4196" s="24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5" t="n">
        <v>47.309837</v>
      </c>
    </row>
    <row r="4197">
      <c r="A4197" s="24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5" t="n">
        <v>37.765764</v>
      </c>
    </row>
    <row r="4198">
      <c r="A4198" s="24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5" t="n">
        <v>32.921521</v>
      </c>
    </row>
    <row r="4199">
      <c r="A4199" s="24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5" t="n">
        <v>93.772144</v>
      </c>
    </row>
    <row r="4200">
      <c r="A4200" s="24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5" t="n">
        <v>126.263657</v>
      </c>
    </row>
    <row r="4201">
      <c r="A4201" s="24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5" t="n">
        <v>141.507026</v>
      </c>
    </row>
    <row r="4202">
      <c r="A4202" s="24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5" t="n">
        <v>108.968007</v>
      </c>
    </row>
    <row r="4203">
      <c r="A4203" s="24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5" t="n">
        <v>96.702938</v>
      </c>
    </row>
    <row r="4204">
      <c r="A4204" s="24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5" t="n">
        <v>76.172338</v>
      </c>
    </row>
    <row r="4205">
      <c r="A4205" s="24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5" t="n">
        <v>81.618067</v>
      </c>
    </row>
    <row r="4206">
      <c r="A4206" s="24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5" t="n">
        <v>65.03771399999999</v>
      </c>
    </row>
    <row r="4207">
      <c r="A4207" s="24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5" t="n">
        <v>55.532018</v>
      </c>
    </row>
    <row r="4208">
      <c r="A4208" s="24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5" t="n">
        <v>53.906105</v>
      </c>
    </row>
    <row r="4209">
      <c r="A4209" s="24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5" t="n">
        <v>57.14215</v>
      </c>
    </row>
    <row r="4210">
      <c r="A4210" s="24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5" t="n">
        <v>125.679766</v>
      </c>
    </row>
    <row r="4211">
      <c r="A4211" s="24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5" t="n">
        <v>516.655893</v>
      </c>
    </row>
    <row r="4212">
      <c r="A4212" s="24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5" t="n">
        <v>643.660154</v>
      </c>
    </row>
    <row r="4213">
      <c r="A4213" s="24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5" t="n">
        <v>348.939336</v>
      </c>
    </row>
    <row r="4214">
      <c r="A4214" s="24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5" t="n">
        <v>251.776377</v>
      </c>
    </row>
    <row r="4215">
      <c r="A4215" s="24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5" t="n">
        <v>222.427602</v>
      </c>
    </row>
    <row r="4216">
      <c r="A4216" s="24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5" t="n">
        <v>221.097794</v>
      </c>
    </row>
    <row r="4217">
      <c r="A4217" s="24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5" t="n">
        <v>215.053996</v>
      </c>
    </row>
    <row r="4218">
      <c r="A4218" s="24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5" t="n">
        <v>210.305309</v>
      </c>
    </row>
    <row r="4219">
      <c r="A4219" s="24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5" t="n">
        <v>221.596033</v>
      </c>
    </row>
    <row r="4220">
      <c r="A4220" s="24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5" t="n">
        <v>228.303565</v>
      </c>
    </row>
    <row r="4221">
      <c r="A4221" s="24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5" t="n">
        <v>227.918375</v>
      </c>
    </row>
    <row r="4222">
      <c r="A4222" s="24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5" t="n">
        <v>232.798527</v>
      </c>
    </row>
    <row r="4223">
      <c r="A4223" s="24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5" t="n">
        <v>267.388948</v>
      </c>
    </row>
    <row r="4224">
      <c r="A4224" s="24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5" t="n">
        <v>283.966455</v>
      </c>
    </row>
    <row r="4225">
      <c r="A4225" s="24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5" t="n">
        <v>256.64314</v>
      </c>
    </row>
    <row r="4226">
      <c r="A4226" s="24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5" t="n">
        <v>236.371714</v>
      </c>
    </row>
    <row r="4227">
      <c r="A4227" s="24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5" t="n">
        <v>227.775785</v>
      </c>
    </row>
    <row r="4228">
      <c r="A4228" s="24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5" t="n">
        <v>193.116087</v>
      </c>
    </row>
    <row r="4229">
      <c r="A4229" s="24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5" t="n">
        <v>152.899155</v>
      </c>
    </row>
    <row r="4230">
      <c r="A4230" s="24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5" t="n">
        <v>123.117057</v>
      </c>
    </row>
    <row r="4231">
      <c r="A4231" s="24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5" t="n">
        <v>103.012808</v>
      </c>
    </row>
    <row r="4232">
      <c r="A4232" s="24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5" t="n">
        <v>89.804585</v>
      </c>
    </row>
    <row r="4233">
      <c r="A4233" s="24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5" t="n">
        <v>141.511176</v>
      </c>
    </row>
    <row r="4234">
      <c r="A4234" s="24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5" t="n">
        <v>171.469776</v>
      </c>
    </row>
    <row r="4235">
      <c r="A4235" s="24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5" t="n">
        <v>182.685201</v>
      </c>
    </row>
    <row r="4236">
      <c r="A4236" s="24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5" t="n">
        <v>389.742446</v>
      </c>
    </row>
    <row r="4237">
      <c r="A4237" s="24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5" t="n">
        <v>451.579205</v>
      </c>
    </row>
    <row r="4238">
      <c r="A4238" s="24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5" t="n">
        <v>284.313439</v>
      </c>
    </row>
    <row r="4239">
      <c r="A4239" s="24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5" t="n">
        <v>212.452319</v>
      </c>
    </row>
    <row r="4240">
      <c r="A4240" s="24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5" t="n">
        <v>265.784642</v>
      </c>
    </row>
    <row r="4241">
      <c r="A4241" s="24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5" t="n">
        <v>272.801534</v>
      </c>
    </row>
    <row r="4242">
      <c r="A4242" s="24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5" t="n">
        <v>232.092148</v>
      </c>
    </row>
    <row r="4243">
      <c r="A4243" s="24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5" t="n">
        <v>228.232606</v>
      </c>
    </row>
    <row r="4244">
      <c r="A4244" s="24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5" t="n">
        <v>245.350763</v>
      </c>
    </row>
    <row r="4245">
      <c r="A4245" s="24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5" t="n">
        <v>236.769259</v>
      </c>
    </row>
    <row r="4246">
      <c r="A4246" s="24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5" t="n">
        <v>221.52944</v>
      </c>
    </row>
    <row r="4247">
      <c r="A4247" s="24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5" t="n">
        <v>186.052627</v>
      </c>
    </row>
    <row r="4248">
      <c r="A4248" s="24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5" t="n">
        <v>145.863203</v>
      </c>
    </row>
    <row r="4249">
      <c r="A4249" s="24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5" t="n">
        <v>116.246178</v>
      </c>
    </row>
    <row r="4250">
      <c r="A4250" s="24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5" t="n">
        <v>94.565375</v>
      </c>
    </row>
    <row r="4251">
      <c r="A4251" s="24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5" t="n">
        <v>78.446763</v>
      </c>
    </row>
    <row r="4252">
      <c r="A4252" s="24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5" t="n">
        <v>65.91887199999999</v>
      </c>
    </row>
    <row r="4253">
      <c r="A4253" s="24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5" t="n">
        <v>55.881764</v>
      </c>
    </row>
    <row r="4254">
      <c r="A4254" s="24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5" t="n">
        <v>47.877799</v>
      </c>
    </row>
    <row r="4255">
      <c r="A4255" s="24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5" t="n">
        <v>41.41098</v>
      </c>
    </row>
    <row r="4256">
      <c r="A4256" s="24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5" t="n">
        <v>36.087259</v>
      </c>
    </row>
    <row r="4257">
      <c r="A4257" s="24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5" t="n">
        <v>32.577492</v>
      </c>
    </row>
    <row r="4258">
      <c r="A4258" s="24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5" t="n">
        <v>28.589458</v>
      </c>
    </row>
    <row r="4259">
      <c r="A4259" s="24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5" t="n">
        <v>34.104612</v>
      </c>
    </row>
    <row r="4260">
      <c r="A4260" s="24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5" t="n">
        <v>85.021743</v>
      </c>
    </row>
    <row r="4261">
      <c r="A4261" s="24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5" t="n">
        <v>80.55832700000001</v>
      </c>
    </row>
    <row r="4262">
      <c r="A4262" s="24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5" t="n">
        <v>66.86572099999999</v>
      </c>
    </row>
    <row r="4263">
      <c r="A4263" s="24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5" t="n">
        <v>54.84275</v>
      </c>
    </row>
    <row r="4264">
      <c r="A4264" s="24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5" t="n">
        <v>66.307485</v>
      </c>
    </row>
    <row r="4265">
      <c r="A4265" s="24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5" t="n">
        <v>54.402363</v>
      </c>
    </row>
    <row r="4266">
      <c r="A4266" s="24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5" t="n">
        <v>42.414579</v>
      </c>
    </row>
    <row r="4267">
      <c r="A4267" s="24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5" t="n">
        <v>38.802031</v>
      </c>
    </row>
    <row r="4268">
      <c r="A4268" s="24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5" t="n">
        <v>36.389079</v>
      </c>
    </row>
    <row r="4269">
      <c r="A4269" s="24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5" t="n">
        <v>74.175977</v>
      </c>
    </row>
    <row r="4270">
      <c r="A4270" s="24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5" t="n">
        <v>63.979731</v>
      </c>
    </row>
    <row r="4271">
      <c r="A4271" s="24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5" t="n">
        <v>51.252533</v>
      </c>
    </row>
    <row r="4272">
      <c r="A4272" s="24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5" t="n">
        <v>125.40666</v>
      </c>
    </row>
    <row r="4273">
      <c r="A4273" s="24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5" t="n">
        <v>149.867284</v>
      </c>
    </row>
    <row r="4274">
      <c r="A4274" s="24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5" t="n">
        <v>147.024534</v>
      </c>
    </row>
    <row r="4275">
      <c r="A4275" s="24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5" t="n">
        <v>148.656925</v>
      </c>
    </row>
    <row r="4276">
      <c r="A4276" s="24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5" t="n">
        <v>115.670229</v>
      </c>
    </row>
    <row r="4277">
      <c r="A4277" s="24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5" t="n">
        <v>90.10766099999999</v>
      </c>
    </row>
    <row r="4278">
      <c r="A4278" s="24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5" t="n">
        <v>117.310869</v>
      </c>
    </row>
    <row r="4279">
      <c r="A4279" s="24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5" t="n">
        <v>100.010157</v>
      </c>
    </row>
    <row r="4280">
      <c r="A4280" s="24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5" t="n">
        <v>135.174516</v>
      </c>
    </row>
    <row r="4281">
      <c r="A4281" s="24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5" t="n">
        <v>126.064321</v>
      </c>
    </row>
    <row r="4282">
      <c r="A4282" s="24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5" t="n">
        <v>98.99916399999999</v>
      </c>
    </row>
    <row r="4283">
      <c r="A4283" s="24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5" t="n">
        <v>85.74338299999999</v>
      </c>
    </row>
    <row r="4284">
      <c r="A4284" s="24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5" t="n">
        <v>73.996954</v>
      </c>
    </row>
    <row r="4285">
      <c r="A4285" s="24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5" t="n">
        <v>59.023966</v>
      </c>
    </row>
    <row r="4286">
      <c r="A4286" s="24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5" t="n">
        <v>47.607148</v>
      </c>
    </row>
    <row r="4287">
      <c r="A4287" s="24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5" t="n">
        <v>39.261424</v>
      </c>
    </row>
    <row r="4288">
      <c r="A4288" s="24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5" t="n">
        <v>33.588461</v>
      </c>
    </row>
    <row r="4289">
      <c r="A4289" s="24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5" t="n">
        <v>28.439649</v>
      </c>
    </row>
    <row r="4290">
      <c r="A4290" s="24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5" t="n">
        <v>25.571821</v>
      </c>
    </row>
    <row r="4291">
      <c r="A4291" s="24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5" t="n">
        <v>41.577604</v>
      </c>
    </row>
    <row r="4292">
      <c r="A4292" s="24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5" t="n">
        <v>56.24167</v>
      </c>
    </row>
    <row r="4293">
      <c r="A4293" s="24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5" t="n">
        <v>54.924182</v>
      </c>
    </row>
    <row r="4294">
      <c r="A4294" s="24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5" t="n">
        <v>52.697398</v>
      </c>
    </row>
    <row r="4295">
      <c r="A4295" s="24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5" t="n">
        <v>46.222218</v>
      </c>
    </row>
    <row r="4296">
      <c r="A4296" s="24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5" t="n">
        <v>36.989296</v>
      </c>
    </row>
    <row r="4297">
      <c r="A4297" s="24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5" t="n">
        <v>29.420301</v>
      </c>
    </row>
    <row r="4298">
      <c r="A4298" s="24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5" t="n">
        <v>23.965782</v>
      </c>
    </row>
    <row r="4299">
      <c r="A4299" s="24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5" t="n">
        <v>19.928017</v>
      </c>
    </row>
    <row r="4300">
      <c r="A4300" s="24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5" t="n">
        <v>16.835237</v>
      </c>
    </row>
    <row r="4301">
      <c r="A4301" s="24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5" t="n">
        <v>14.501215</v>
      </c>
    </row>
    <row r="4302">
      <c r="A4302" s="24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5" t="n">
        <v>12.575336</v>
      </c>
    </row>
    <row r="4303">
      <c r="A4303" s="24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5" t="n">
        <v>10.931541</v>
      </c>
    </row>
    <row r="4304">
      <c r="A4304" s="24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5" t="n">
        <v>9.580171999999999</v>
      </c>
    </row>
    <row r="4305">
      <c r="A4305" s="24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5" t="n">
        <v>8.45866</v>
      </c>
    </row>
    <row r="4306">
      <c r="A4306" s="24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5" t="n">
        <v>7.508584</v>
      </c>
    </row>
    <row r="4307">
      <c r="A4307" s="24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5" t="n">
        <v>6.694809</v>
      </c>
    </row>
    <row r="4308">
      <c r="A4308" s="24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5" t="n">
        <v>5.991806</v>
      </c>
    </row>
    <row r="4309">
      <c r="A4309" s="24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5" t="n">
        <v>6.856065</v>
      </c>
    </row>
    <row r="4310">
      <c r="A4310" s="24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5" t="n">
        <v>25.9641</v>
      </c>
    </row>
    <row r="4311">
      <c r="A4311" s="24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5" t="n">
        <v>71.44410000000001</v>
      </c>
    </row>
    <row r="4312">
      <c r="A4312" s="24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5" t="n">
        <v>81.013294</v>
      </c>
    </row>
    <row r="4313">
      <c r="A4313" s="24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5" t="n">
        <v>75.63599000000001</v>
      </c>
    </row>
    <row r="4314">
      <c r="A4314" s="24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5" t="n">
        <v>80.15276799999999</v>
      </c>
    </row>
    <row r="4315">
      <c r="A4315" s="24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5" t="n">
        <v>61.280939</v>
      </c>
    </row>
    <row r="4316">
      <c r="A4316" s="24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5" t="n">
        <v>48.454875</v>
      </c>
    </row>
    <row r="4317">
      <c r="A4317" s="24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5" t="n">
        <v>39.369571</v>
      </c>
    </row>
    <row r="4318">
      <c r="A4318" s="24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5" t="n">
        <v>31.361549</v>
      </c>
    </row>
    <row r="4319">
      <c r="A4319" s="24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5" t="n">
        <v>25.153575</v>
      </c>
    </row>
    <row r="4320">
      <c r="A4320" s="24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5" t="n">
        <v>21.378463</v>
      </c>
    </row>
    <row r="4321">
      <c r="A4321" s="24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5" t="n">
        <v>33.112377</v>
      </c>
    </row>
    <row r="4322">
      <c r="A4322" s="24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5" t="n">
        <v>30.521603</v>
      </c>
    </row>
    <row r="4323">
      <c r="A4323" s="24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5" t="n">
        <v>55.775281</v>
      </c>
    </row>
    <row r="4324">
      <c r="A4324" s="24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5" t="n">
        <v>46.108633</v>
      </c>
    </row>
    <row r="4325">
      <c r="A4325" s="24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5" t="n">
        <v>39.116258</v>
      </c>
    </row>
    <row r="4326">
      <c r="A4326" s="24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5" t="n">
        <v>52.807081</v>
      </c>
    </row>
    <row r="4327">
      <c r="A4327" s="24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5" t="n">
        <v>41.994282</v>
      </c>
    </row>
    <row r="4328">
      <c r="A4328" s="24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5" t="n">
        <v>52.109997</v>
      </c>
    </row>
    <row r="4329">
      <c r="A4329" s="24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5" t="n">
        <v>101.314999</v>
      </c>
    </row>
    <row r="4330">
      <c r="A4330" s="24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5" t="n">
        <v>103.867017</v>
      </c>
    </row>
    <row r="4331">
      <c r="A4331" s="24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5" t="n">
        <v>92.93953</v>
      </c>
    </row>
    <row r="4332">
      <c r="A4332" s="24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5" t="n">
        <v>72.82970299999999</v>
      </c>
    </row>
    <row r="4333">
      <c r="A4333" s="24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5" t="n">
        <v>66.113034</v>
      </c>
    </row>
    <row r="4334">
      <c r="A4334" s="24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5" t="n">
        <v>55.542643</v>
      </c>
    </row>
    <row r="4335">
      <c r="A4335" s="24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5" t="n">
        <v>99.068309</v>
      </c>
    </row>
    <row r="4336">
      <c r="A4336" s="24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5" t="n">
        <v>80.20737099999999</v>
      </c>
    </row>
    <row r="4337">
      <c r="A4337" s="24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5" t="n">
        <v>60.701694</v>
      </c>
    </row>
    <row r="4338">
      <c r="A4338" s="24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5" t="n">
        <v>47.236998</v>
      </c>
    </row>
    <row r="4339">
      <c r="A4339" s="24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5" t="n">
        <v>40.591263</v>
      </c>
    </row>
    <row r="4340">
      <c r="A4340" s="24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5" t="n">
        <v>35.220212</v>
      </c>
    </row>
    <row r="4341">
      <c r="A4341" s="24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5" t="n">
        <v>36.85647</v>
      </c>
    </row>
    <row r="4342">
      <c r="A4342" s="24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5" t="n">
        <v>31.163241</v>
      </c>
    </row>
    <row r="4343">
      <c r="A4343" s="24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5" t="n">
        <v>29.944299</v>
      </c>
    </row>
    <row r="4344">
      <c r="A4344" s="24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5" t="n">
        <v>26.937227</v>
      </c>
    </row>
    <row r="4345">
      <c r="A4345" s="24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5" t="n">
        <v>28.566258</v>
      </c>
    </row>
    <row r="4346">
      <c r="A4346" s="24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5" t="n">
        <v>23.319466</v>
      </c>
    </row>
    <row r="4347">
      <c r="A4347" s="24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5" t="n">
        <v>19.912792</v>
      </c>
    </row>
    <row r="4348">
      <c r="A4348" s="24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5" t="n">
        <v>16.836063</v>
      </c>
    </row>
    <row r="4349">
      <c r="A4349" s="24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5" t="n">
        <v>14.989217</v>
      </c>
    </row>
    <row r="4350">
      <c r="A4350" s="24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5" t="n">
        <v>16.544573</v>
      </c>
    </row>
    <row r="4351">
      <c r="A4351" s="24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5" t="n">
        <v>24.993074</v>
      </c>
    </row>
    <row r="4352">
      <c r="A4352" s="24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5" t="n">
        <v>33.29458</v>
      </c>
    </row>
    <row r="4353">
      <c r="A4353" s="24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5" t="n">
        <v>31.785814</v>
      </c>
    </row>
    <row r="4354">
      <c r="A4354" s="24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5" t="n">
        <v>26.655643</v>
      </c>
    </row>
    <row r="4355">
      <c r="A4355" s="24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5" t="n">
        <v>40.081751</v>
      </c>
    </row>
    <row r="4356">
      <c r="A4356" s="24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5" t="n">
        <v>34.563432</v>
      </c>
    </row>
    <row r="4357">
      <c r="A4357" s="24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5" t="n">
        <v>26.776347</v>
      </c>
    </row>
    <row r="4358">
      <c r="A4358" s="24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5" t="n">
        <v>20.96433</v>
      </c>
    </row>
    <row r="4359">
      <c r="A4359" s="24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5" t="n">
        <v>18.323094</v>
      </c>
    </row>
    <row r="4360">
      <c r="A4360" s="24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5" t="n">
        <v>14.960547</v>
      </c>
    </row>
    <row r="4361">
      <c r="A4361" s="24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5" t="n">
        <v>12.529852</v>
      </c>
    </row>
    <row r="4362">
      <c r="A4362" s="24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5" t="n">
        <v>17.223408</v>
      </c>
    </row>
    <row r="4363">
      <c r="A4363" s="24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5" t="n">
        <v>17.705385</v>
      </c>
    </row>
    <row r="4364">
      <c r="A4364" s="24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5" t="n">
        <v>18.440843</v>
      </c>
    </row>
    <row r="4365">
      <c r="A4365" s="24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5" t="n">
        <v>21.957974</v>
      </c>
    </row>
    <row r="4366">
      <c r="A4366" s="24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5" t="n">
        <v>29.277902</v>
      </c>
    </row>
    <row r="4367">
      <c r="A4367" s="24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5" t="n">
        <v>28.357857</v>
      </c>
    </row>
    <row r="4368">
      <c r="A4368" s="24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5" t="n">
        <v>24.577583</v>
      </c>
    </row>
    <row r="4369">
      <c r="A4369" s="24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5" t="n">
        <v>28.647043</v>
      </c>
    </row>
    <row r="4370">
      <c r="A4370" s="24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5" t="n">
        <v>45.897536</v>
      </c>
    </row>
    <row r="4371">
      <c r="A4371" s="24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5" t="n">
        <v>37.383787</v>
      </c>
    </row>
    <row r="4372">
      <c r="A4372" s="24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5" t="n">
        <v>29.433248</v>
      </c>
    </row>
    <row r="4373">
      <c r="A4373" s="24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5" t="n">
        <v>25.205225</v>
      </c>
    </row>
    <row r="4374">
      <c r="A4374" s="24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5" t="n">
        <v>20.828104</v>
      </c>
    </row>
    <row r="4375">
      <c r="A4375" s="24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5" t="n">
        <v>18.966404</v>
      </c>
    </row>
    <row r="4376">
      <c r="A4376" s="24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5" t="n">
        <v>30.869422</v>
      </c>
    </row>
    <row r="4377">
      <c r="A4377" s="24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5" t="n">
        <v>24.82577</v>
      </c>
    </row>
    <row r="4378">
      <c r="A4378" s="24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5" t="n">
        <v>29.610422</v>
      </c>
    </row>
    <row r="4379">
      <c r="A4379" s="24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5" t="n">
        <v>37.20765</v>
      </c>
    </row>
    <row r="4380">
      <c r="A4380" s="24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5" t="n">
        <v>28.969302</v>
      </c>
    </row>
    <row r="4381">
      <c r="A4381" s="24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5" t="n">
        <v>33.486201</v>
      </c>
    </row>
    <row r="4382">
      <c r="A4382" s="24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5" t="n">
        <v>29.282592</v>
      </c>
    </row>
    <row r="4383">
      <c r="A4383" s="24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5" t="n">
        <v>25.2248</v>
      </c>
    </row>
    <row r="4384">
      <c r="A4384" s="24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5" t="n">
        <v>31.966108</v>
      </c>
    </row>
    <row r="4385">
      <c r="A4385" s="24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5" t="n">
        <v>28.065208</v>
      </c>
    </row>
    <row r="4386">
      <c r="A4386" s="24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5" t="n">
        <v>28.03613</v>
      </c>
    </row>
    <row r="4387">
      <c r="A4387" s="24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5" t="n">
        <v>24.191078</v>
      </c>
    </row>
    <row r="4388">
      <c r="A4388" s="24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5" t="n">
        <v>38.491427</v>
      </c>
    </row>
    <row r="4389">
      <c r="A4389" s="24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5" t="n">
        <v>36.1822</v>
      </c>
    </row>
    <row r="4390">
      <c r="A4390" s="24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5" t="n">
        <v>84.15288</v>
      </c>
    </row>
    <row r="4391">
      <c r="A4391" s="24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5" t="n">
        <v>111.866585</v>
      </c>
    </row>
    <row r="4392">
      <c r="A4392" s="24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5" t="n">
        <v>88.058061</v>
      </c>
    </row>
    <row r="4393">
      <c r="A4393" s="24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5" t="n">
        <v>82.024434</v>
      </c>
    </row>
    <row r="4394">
      <c r="A4394" s="24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5" t="n">
        <v>63.87232</v>
      </c>
    </row>
    <row r="4395">
      <c r="A4395" s="24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5" t="n">
        <v>106.633413</v>
      </c>
    </row>
    <row r="4396">
      <c r="A4396" s="24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5" t="n">
        <v>97.54400200000001</v>
      </c>
    </row>
    <row r="4397">
      <c r="A4397" s="24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5" t="n">
        <v>72.32213900000001</v>
      </c>
    </row>
    <row r="4398">
      <c r="A4398" s="24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5" t="n">
        <v>62.490093</v>
      </c>
    </row>
    <row r="4399">
      <c r="A4399" s="24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5" t="n">
        <v>51.970085</v>
      </c>
    </row>
    <row r="4400">
      <c r="A4400" s="24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5" t="n">
        <v>80.95693900000001</v>
      </c>
    </row>
    <row r="4401">
      <c r="A4401" s="24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5" t="n">
        <v>99.747928</v>
      </c>
    </row>
    <row r="4402">
      <c r="A4402" s="24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5" t="n">
        <v>79.384489</v>
      </c>
    </row>
    <row r="4403">
      <c r="A4403" s="24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5" t="n">
        <v>92.410754</v>
      </c>
    </row>
    <row r="4404">
      <c r="A4404" s="24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5" t="n">
        <v>75.698526</v>
      </c>
    </row>
    <row r="4405">
      <c r="A4405" s="24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5" t="n">
        <v>65.420773</v>
      </c>
    </row>
    <row r="4406">
      <c r="A4406" s="24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5" t="n">
        <v>80.683908</v>
      </c>
    </row>
    <row r="4407">
      <c r="A4407" s="24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5" t="n">
        <v>119.653529</v>
      </c>
    </row>
    <row r="4408">
      <c r="A4408" s="24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5" t="n">
        <v>94.982237</v>
      </c>
    </row>
    <row r="4409">
      <c r="A4409" s="24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5" t="n">
        <v>70.61674600000001</v>
      </c>
    </row>
    <row r="4410">
      <c r="A4410" s="24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5" t="n">
        <v>54.861422</v>
      </c>
    </row>
    <row r="4411">
      <c r="A4411" s="24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5" t="n">
        <v>43.778855</v>
      </c>
    </row>
    <row r="4412">
      <c r="A4412" s="24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5" t="n">
        <v>35.669382</v>
      </c>
    </row>
    <row r="4413">
      <c r="A4413" s="24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5" t="n">
        <v>29.551007</v>
      </c>
    </row>
    <row r="4414">
      <c r="A4414" s="24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5" t="n">
        <v>25.219051</v>
      </c>
    </row>
    <row r="4415">
      <c r="A4415" s="24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5" t="n">
        <v>21.601343</v>
      </c>
    </row>
    <row r="4416">
      <c r="A4416" s="24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5" t="n">
        <v>63.948624</v>
      </c>
    </row>
    <row r="4417">
      <c r="A4417" s="24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5" t="n">
        <v>85.407646</v>
      </c>
    </row>
    <row r="4418">
      <c r="A4418" s="24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5" t="n">
        <v>65.23880200000001</v>
      </c>
    </row>
    <row r="4419">
      <c r="A4419" s="24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5" t="n">
        <v>58.127198</v>
      </c>
    </row>
    <row r="4420">
      <c r="A4420" s="24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5" t="n">
        <v>92.114729</v>
      </c>
    </row>
    <row r="4421">
      <c r="A4421" s="24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5" t="n">
        <v>108.538266</v>
      </c>
    </row>
    <row r="4422">
      <c r="A4422" s="24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5" t="n">
        <v>82.391988</v>
      </c>
    </row>
    <row r="4423">
      <c r="A4423" s="24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5" t="n">
        <v>61.505179</v>
      </c>
    </row>
    <row r="4424">
      <c r="A4424" s="24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5" t="n">
        <v>47.874237</v>
      </c>
    </row>
    <row r="4425">
      <c r="A4425" s="24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5" t="n">
        <v>39.39408</v>
      </c>
    </row>
    <row r="4426">
      <c r="A4426" s="24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5" t="n">
        <v>33.857875</v>
      </c>
    </row>
    <row r="4427">
      <c r="A4427" s="24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5" t="n">
        <v>32.768424</v>
      </c>
    </row>
    <row r="4428">
      <c r="A4428" s="24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5" t="n">
        <v>28.252746</v>
      </c>
    </row>
    <row r="4429">
      <c r="A4429" s="24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5" t="n">
        <v>25.094399</v>
      </c>
    </row>
    <row r="4430">
      <c r="A4430" s="24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5" t="n">
        <v>21.130675</v>
      </c>
    </row>
    <row r="4431">
      <c r="A4431" s="24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5" t="n">
        <v>17.67081</v>
      </c>
    </row>
    <row r="4432">
      <c r="A4432" s="24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5" t="n">
        <v>15.185073</v>
      </c>
    </row>
    <row r="4433">
      <c r="A4433" s="24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5" t="n">
        <v>37.932005</v>
      </c>
    </row>
    <row r="4434">
      <c r="A4434" s="24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5" t="n">
        <v>67.339513</v>
      </c>
    </row>
    <row r="4435">
      <c r="A4435" s="24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5" t="n">
        <v>70.141169</v>
      </c>
    </row>
    <row r="4436">
      <c r="A4436" s="24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5" t="n">
        <v>57.342911</v>
      </c>
    </row>
    <row r="4437">
      <c r="A4437" s="24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5" t="n">
        <v>73.342617</v>
      </c>
    </row>
    <row r="4438">
      <c r="A4438" s="24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5" t="n">
        <v>108.476812</v>
      </c>
    </row>
    <row r="4439">
      <c r="A4439" s="24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5" t="n">
        <v>112.438184</v>
      </c>
    </row>
    <row r="4440">
      <c r="A4440" s="24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5" t="n">
        <v>139.895755</v>
      </c>
    </row>
    <row r="4441">
      <c r="A4441" s="24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5" t="n">
        <v>108.684779</v>
      </c>
    </row>
    <row r="4442">
      <c r="A4442" s="24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5" t="n">
        <v>80.69676200000001</v>
      </c>
    </row>
    <row r="4443">
      <c r="A4443" s="24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5" t="n">
        <v>103.908346</v>
      </c>
    </row>
    <row r="4444">
      <c r="A4444" s="24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5" t="n">
        <v>124.018342</v>
      </c>
    </row>
    <row r="4445">
      <c r="A4445" s="24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5" t="n">
        <v>107.52462</v>
      </c>
    </row>
    <row r="4446">
      <c r="A4446" s="24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5" t="n">
        <v>82.00260400000001</v>
      </c>
    </row>
    <row r="4447">
      <c r="A4447" s="24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5" t="n">
        <v>63.459239</v>
      </c>
    </row>
    <row r="4448">
      <c r="A4448" s="24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5" t="n">
        <v>50.529304</v>
      </c>
    </row>
    <row r="4449">
      <c r="A4449" s="24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5" t="n">
        <v>50.039686</v>
      </c>
    </row>
    <row r="4450">
      <c r="A4450" s="24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5" t="n">
        <v>41.246837</v>
      </c>
    </row>
    <row r="4451">
      <c r="A4451" s="24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5" t="n">
        <v>35.182834</v>
      </c>
    </row>
    <row r="4452">
      <c r="A4452" s="24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5" t="n">
        <v>43.60544</v>
      </c>
    </row>
    <row r="4453">
      <c r="A4453" s="24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5" t="n">
        <v>39.908312</v>
      </c>
    </row>
    <row r="4454">
      <c r="A4454" s="24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5" t="n">
        <v>38.235592</v>
      </c>
    </row>
    <row r="4455">
      <c r="A4455" s="24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5" t="n">
        <v>60.135111</v>
      </c>
    </row>
    <row r="4456">
      <c r="A4456" s="24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5" t="n">
        <v>57.55137</v>
      </c>
    </row>
    <row r="4457">
      <c r="A4457" s="24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5" t="n">
        <v>78.094577</v>
      </c>
    </row>
    <row r="4458">
      <c r="A4458" s="24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5" t="n">
        <v>106.194108</v>
      </c>
    </row>
    <row r="4459">
      <c r="A4459" s="24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5" t="n">
        <v>86.778413</v>
      </c>
    </row>
    <row r="4460">
      <c r="A4460" s="24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5" t="n">
        <v>65.70680400000001</v>
      </c>
    </row>
    <row r="4461">
      <c r="A4461" s="24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5" t="n">
        <v>50.804267</v>
      </c>
    </row>
    <row r="4462">
      <c r="A4462" s="24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5" t="n">
        <v>40.623544</v>
      </c>
    </row>
    <row r="4463">
      <c r="A4463" s="24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5" t="n">
        <v>33.140078</v>
      </c>
    </row>
    <row r="4464">
      <c r="A4464" s="24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5" t="n">
        <v>27.293819</v>
      </c>
    </row>
    <row r="4465">
      <c r="A4465" s="24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5" t="n">
        <v>23.625643</v>
      </c>
    </row>
    <row r="4466">
      <c r="A4466" s="24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5" t="n">
        <v>20.562168</v>
      </c>
    </row>
    <row r="4467">
      <c r="A4467" s="24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5" t="n">
        <v>18.396782</v>
      </c>
    </row>
    <row r="4468">
      <c r="A4468" s="24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5" t="n">
        <v>19.569359</v>
      </c>
    </row>
    <row r="4469">
      <c r="A4469" s="24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5" t="n">
        <v>23.724837</v>
      </c>
    </row>
    <row r="4470">
      <c r="A4470" s="24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5" t="n">
        <v>28.49862</v>
      </c>
    </row>
    <row r="4471">
      <c r="A4471" s="24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5" t="n">
        <v>85.05719000000001</v>
      </c>
    </row>
    <row r="4472">
      <c r="A4472" s="24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5" t="n">
        <v>100.598454</v>
      </c>
    </row>
    <row r="4473">
      <c r="A4473" s="24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5" t="n">
        <v>73.594669</v>
      </c>
    </row>
    <row r="4474">
      <c r="A4474" s="24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5" t="n">
        <v>63.512956</v>
      </c>
    </row>
    <row r="4475">
      <c r="A4475" s="24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5" t="n">
        <v>51.548272</v>
      </c>
    </row>
    <row r="4476">
      <c r="A4476" s="24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5" t="n">
        <v>41.058243</v>
      </c>
    </row>
    <row r="4477">
      <c r="A4477" s="24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5" t="n">
        <v>38.94592</v>
      </c>
    </row>
    <row r="4478">
      <c r="A4478" s="24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5" t="n">
        <v>66.260744</v>
      </c>
    </row>
    <row r="4479">
      <c r="A4479" s="24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5" t="n">
        <v>60.496889</v>
      </c>
    </row>
    <row r="4480">
      <c r="A4480" s="24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5" t="n">
        <v>48.823928</v>
      </c>
    </row>
    <row r="4481">
      <c r="A4481" s="24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5" t="n">
        <v>38.342761</v>
      </c>
    </row>
    <row r="4482">
      <c r="A4482" s="24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5" t="n">
        <v>32.836165</v>
      </c>
    </row>
    <row r="4483">
      <c r="A4483" s="24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5" t="n">
        <v>43.176587</v>
      </c>
    </row>
    <row r="4484">
      <c r="A4484" s="24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5" t="n">
        <v>43.175126</v>
      </c>
    </row>
    <row r="4485">
      <c r="A4485" s="24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5" t="n">
        <v>48.377974</v>
      </c>
    </row>
    <row r="4486">
      <c r="A4486" s="24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5" t="n">
        <v>51.612083</v>
      </c>
    </row>
    <row r="4487">
      <c r="A4487" s="24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5" t="n">
        <v>68.835359</v>
      </c>
    </row>
    <row r="4488">
      <c r="A4488" s="24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5" t="n">
        <v>72.26319700000001</v>
      </c>
    </row>
    <row r="4489">
      <c r="A4489" s="24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5" t="n">
        <v>55.482295</v>
      </c>
    </row>
    <row r="4490">
      <c r="A4490" s="24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5" t="n">
        <v>42.13966</v>
      </c>
    </row>
    <row r="4491">
      <c r="A4491" s="24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5" t="n">
        <v>55.620379</v>
      </c>
    </row>
    <row r="4492">
      <c r="A4492" s="24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5" t="n">
        <v>44.535828</v>
      </c>
    </row>
    <row r="4493">
      <c r="A4493" s="24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5" t="n">
        <v>35.769002</v>
      </c>
    </row>
    <row r="4494">
      <c r="A4494" s="24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5" t="n">
        <v>28.872517</v>
      </c>
    </row>
    <row r="4495">
      <c r="A4495" s="24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5" t="n">
        <v>25.768247</v>
      </c>
    </row>
    <row r="4496">
      <c r="A4496" s="24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5" t="n">
        <v>21.203284</v>
      </c>
    </row>
    <row r="4497">
      <c r="A4497" s="24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5" t="n">
        <v>17.556975</v>
      </c>
    </row>
    <row r="4498">
      <c r="A4498" s="24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5" t="n">
        <v>27.348264</v>
      </c>
    </row>
    <row r="4499">
      <c r="A4499" s="24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5" t="n">
        <v>28.151476</v>
      </c>
    </row>
    <row r="4500">
      <c r="A4500" s="24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5" t="n">
        <v>22.278378</v>
      </c>
    </row>
    <row r="4501">
      <c r="A4501" s="24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5" t="n">
        <v>19.201849</v>
      </c>
    </row>
    <row r="4502">
      <c r="A4502" s="24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5" t="n">
        <v>78.86580499999999</v>
      </c>
    </row>
    <row r="4503">
      <c r="A4503" s="24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5" t="n">
        <v>215.825805</v>
      </c>
    </row>
    <row r="4504">
      <c r="A4504" s="24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5" t="n">
        <v>251.030326</v>
      </c>
    </row>
    <row r="4505">
      <c r="A4505" s="24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5" t="n">
        <v>183.851431</v>
      </c>
    </row>
    <row r="4506">
      <c r="A4506" s="24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5" t="n">
        <v>152.205451</v>
      </c>
    </row>
    <row r="4507">
      <c r="A4507" s="24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5" t="n">
        <v>111.68484</v>
      </c>
    </row>
    <row r="4508">
      <c r="A4508" s="24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5" t="n">
        <v>83.89987600000001</v>
      </c>
    </row>
    <row r="4509">
      <c r="A4509" s="24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5" t="n">
        <v>65.392374</v>
      </c>
    </row>
    <row r="4510">
      <c r="A4510" s="24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5" t="n">
        <v>52.63969</v>
      </c>
    </row>
    <row r="4511">
      <c r="A4511" s="24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5" t="n">
        <v>42.478317</v>
      </c>
    </row>
    <row r="4512">
      <c r="A4512" s="24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5" t="n">
        <v>35.162221</v>
      </c>
    </row>
    <row r="4513">
      <c r="A4513" s="24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5" t="n">
        <v>30.751059</v>
      </c>
    </row>
    <row r="4514">
      <c r="A4514" s="24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5" t="n">
        <v>26.254043</v>
      </c>
    </row>
    <row r="4515">
      <c r="A4515" s="24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5" t="n">
        <v>68.590322</v>
      </c>
    </row>
    <row r="4516">
      <c r="A4516" s="24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5" t="n">
        <v>111.155832</v>
      </c>
    </row>
    <row r="4517">
      <c r="A4517" s="24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5" t="n">
        <v>102.748489</v>
      </c>
    </row>
    <row r="4518">
      <c r="A4518" s="24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5" t="n">
        <v>134.955675</v>
      </c>
    </row>
    <row r="4519">
      <c r="A4519" s="24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5" t="n">
        <v>121.07869</v>
      </c>
    </row>
    <row r="4520">
      <c r="A4520" s="24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5" t="n">
        <v>93.300338</v>
      </c>
    </row>
    <row r="4521">
      <c r="A4521" s="24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5" t="n">
        <v>88.99705400000001</v>
      </c>
    </row>
    <row r="4522">
      <c r="A4522" s="24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5" t="n">
        <v>136.648457</v>
      </c>
    </row>
    <row r="4523">
      <c r="A4523" s="24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5" t="n">
        <v>154.740229</v>
      </c>
    </row>
    <row r="4524">
      <c r="A4524" s="24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5" t="n">
        <v>135.340361</v>
      </c>
    </row>
    <row r="4525">
      <c r="A4525" s="24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5" t="n">
        <v>104.044195</v>
      </c>
    </row>
    <row r="4526">
      <c r="A4526" s="24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5" t="n">
        <v>88.338741</v>
      </c>
    </row>
    <row r="4527">
      <c r="A4527" s="24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5" t="n">
        <v>79.823516</v>
      </c>
    </row>
    <row r="4528">
      <c r="A4528" s="24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5" t="n">
        <v>92.76966899999999</v>
      </c>
    </row>
    <row r="4529">
      <c r="A4529" s="24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5" t="n">
        <v>83.328294</v>
      </c>
    </row>
    <row r="4530">
      <c r="A4530" s="24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5" t="n">
        <v>68.358271</v>
      </c>
    </row>
    <row r="4531">
      <c r="A4531" s="24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5" t="n">
        <v>66.6647</v>
      </c>
    </row>
    <row r="4532">
      <c r="A4532" s="24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5" t="n">
        <v>53.866392</v>
      </c>
    </row>
    <row r="4533">
      <c r="A4533" s="24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5" t="n">
        <v>61.12164</v>
      </c>
    </row>
    <row r="4534">
      <c r="A4534" s="24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5" t="n">
        <v>49.938288</v>
      </c>
    </row>
    <row r="4535">
      <c r="A4535" s="24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5" t="n">
        <v>42.045086</v>
      </c>
    </row>
    <row r="4536">
      <c r="A4536" s="24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5" t="n">
        <v>34.807758</v>
      </c>
    </row>
    <row r="4537">
      <c r="A4537" s="24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5" t="n">
        <v>64.57256700000001</v>
      </c>
    </row>
    <row r="4538">
      <c r="A4538" s="24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5" t="n">
        <v>59.465759</v>
      </c>
    </row>
    <row r="4539">
      <c r="A4539" s="24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5" t="n">
        <v>52.427747</v>
      </c>
    </row>
    <row r="4540">
      <c r="A4540" s="24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5" t="n">
        <v>91.016587</v>
      </c>
    </row>
    <row r="4541">
      <c r="A4541" s="24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5" t="n">
        <v>85.414165</v>
      </c>
    </row>
    <row r="4542">
      <c r="A4542" s="24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5" t="n">
        <v>68.41045200000001</v>
      </c>
    </row>
    <row r="4543">
      <c r="A4543" s="24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5" t="n">
        <v>113.385453</v>
      </c>
    </row>
    <row r="4544">
      <c r="A4544" s="24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5" t="n">
        <v>143.60764</v>
      </c>
    </row>
    <row r="4545">
      <c r="A4545" s="24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5" t="n">
        <v>129.837475</v>
      </c>
    </row>
    <row r="4546">
      <c r="A4546" s="24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5" t="n">
        <v>104.447631</v>
      </c>
    </row>
    <row r="4547">
      <c r="A4547" s="24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5" t="n">
        <v>82.48903199999999</v>
      </c>
    </row>
    <row r="4548">
      <c r="A4548" s="24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5" t="n">
        <v>74.47863</v>
      </c>
    </row>
    <row r="4549">
      <c r="A4549" s="24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5" t="n">
        <v>69.301149</v>
      </c>
    </row>
    <row r="4550">
      <c r="A4550" s="24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5" t="n">
        <v>98.77278099999999</v>
      </c>
    </row>
    <row r="4551">
      <c r="A4551" s="24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5" t="n">
        <v>102.322771</v>
      </c>
    </row>
    <row r="4552">
      <c r="A4552" s="24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5" t="n">
        <v>99.16204999999999</v>
      </c>
    </row>
    <row r="4553">
      <c r="A4553" s="24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5" t="n">
        <v>131.558374</v>
      </c>
    </row>
    <row r="4554">
      <c r="A4554" s="24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5" t="n">
        <v>103.107701</v>
      </c>
    </row>
    <row r="4555">
      <c r="A4555" s="24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5" t="n">
        <v>142.170935</v>
      </c>
    </row>
    <row r="4556">
      <c r="A4556" s="24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5" t="n">
        <v>158.640343</v>
      </c>
    </row>
    <row r="4557">
      <c r="A4557" s="24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5" t="n">
        <v>118.348584</v>
      </c>
    </row>
    <row r="4558">
      <c r="A4558" s="24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5" t="n">
        <v>90.149215</v>
      </c>
    </row>
    <row r="4559">
      <c r="A4559" s="24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5" t="n">
        <v>70.75437700000001</v>
      </c>
    </row>
    <row r="4560">
      <c r="A4560" s="24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5" t="n">
        <v>56.84765</v>
      </c>
    </row>
    <row r="4561">
      <c r="A4561" s="24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5" t="n">
        <v>46.536559</v>
      </c>
    </row>
    <row r="4562">
      <c r="A4562" s="24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5" t="n">
        <v>38.70399</v>
      </c>
    </row>
    <row r="4563">
      <c r="A4563" s="24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5" t="n">
        <v>32.620934</v>
      </c>
    </row>
    <row r="4564">
      <c r="A4564" s="24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5" t="n">
        <v>27.868773</v>
      </c>
    </row>
    <row r="4565">
      <c r="A4565" s="24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5" t="n">
        <v>24.331887</v>
      </c>
    </row>
    <row r="4566">
      <c r="A4566" s="24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5" t="n">
        <v>31.518852</v>
      </c>
    </row>
    <row r="4567">
      <c r="A4567" s="24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5" t="n">
        <v>32.525003</v>
      </c>
    </row>
    <row r="4568">
      <c r="A4568" s="24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5" t="n">
        <v>31.585368</v>
      </c>
    </row>
    <row r="4569">
      <c r="A4569" s="24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5" t="n">
        <v>29.513969</v>
      </c>
    </row>
    <row r="4570">
      <c r="A4570" s="24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5" t="n">
        <v>32.909354</v>
      </c>
    </row>
    <row r="4571">
      <c r="A4571" s="24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5" t="n">
        <v>86.518749</v>
      </c>
    </row>
    <row r="4572">
      <c r="A4572" s="24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5" t="n">
        <v>101.03979</v>
      </c>
    </row>
    <row r="4573">
      <c r="A4573" s="24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5" t="n">
        <v>83.200745</v>
      </c>
    </row>
    <row r="4574">
      <c r="A4574" s="24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5" t="n">
        <v>66.157189</v>
      </c>
    </row>
    <row r="4575">
      <c r="A4575" s="24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5" t="n">
        <v>52.401721</v>
      </c>
    </row>
    <row r="4576">
      <c r="A4576" s="24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5" t="n">
        <v>46.07099</v>
      </c>
    </row>
    <row r="4577">
      <c r="A4577" s="24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5" t="n">
        <v>75.114043</v>
      </c>
    </row>
    <row r="4578">
      <c r="A4578" s="24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5" t="n">
        <v>88.631927</v>
      </c>
    </row>
    <row r="4579">
      <c r="A4579" s="24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5" t="n">
        <v>75.78665599999999</v>
      </c>
    </row>
    <row r="4580">
      <c r="A4580" s="24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5" t="n">
        <v>116.941593</v>
      </c>
    </row>
    <row r="4581">
      <c r="A4581" s="24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5" t="n">
        <v>145.141454</v>
      </c>
    </row>
    <row r="4582">
      <c r="A4582" s="24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5" t="n">
        <v>129.338915</v>
      </c>
    </row>
    <row r="4583">
      <c r="A4583" s="24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5" t="n">
        <v>104.421195</v>
      </c>
    </row>
    <row r="4584">
      <c r="A4584" s="24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5" t="n">
        <v>90.53838399999999</v>
      </c>
    </row>
    <row r="4585">
      <c r="A4585" s="24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5" t="n">
        <v>130.004895</v>
      </c>
    </row>
    <row r="4586">
      <c r="A4586" s="24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5" t="n">
        <v>139.840566</v>
      </c>
    </row>
    <row r="4587">
      <c r="A4587" s="24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5" t="n">
        <v>110.113102</v>
      </c>
    </row>
    <row r="4588">
      <c r="A4588" s="24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5" t="n">
        <v>88.86472500000001</v>
      </c>
    </row>
    <row r="4589">
      <c r="A4589" s="24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5" t="n">
        <v>128.338172</v>
      </c>
    </row>
    <row r="4590">
      <c r="A4590" s="24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5" t="n">
        <v>158.87736</v>
      </c>
    </row>
    <row r="4591">
      <c r="A4591" s="24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5" t="n">
        <v>146.534211</v>
      </c>
    </row>
    <row r="4592">
      <c r="A4592" s="24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5" t="n">
        <v>124.085534</v>
      </c>
    </row>
    <row r="4593">
      <c r="A4593" s="24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5" t="n">
        <v>151.38822</v>
      </c>
    </row>
    <row r="4594">
      <c r="A4594" s="24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5" t="n">
        <v>175.698308</v>
      </c>
    </row>
    <row r="4595">
      <c r="A4595" s="24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5" t="n">
        <v>262.844638</v>
      </c>
    </row>
    <row r="4596">
      <c r="A4596" s="24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5" t="n">
        <v>380.919489</v>
      </c>
    </row>
    <row r="4597">
      <c r="A4597" s="24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5" t="n">
        <v>354.324389</v>
      </c>
    </row>
    <row r="4598">
      <c r="A4598" s="24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5" t="n">
        <v>262.992941</v>
      </c>
    </row>
    <row r="4599">
      <c r="A4599" s="24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5" t="n">
        <v>236.603845</v>
      </c>
    </row>
    <row r="4600">
      <c r="A4600" s="24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5" t="n">
        <v>222.389676</v>
      </c>
    </row>
    <row r="4601">
      <c r="A4601" s="24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5" t="n">
        <v>228.362491</v>
      </c>
    </row>
    <row r="4602">
      <c r="A4602" s="24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5" t="n">
        <v>230.780995</v>
      </c>
    </row>
    <row r="4603">
      <c r="A4603" s="24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5" t="n">
        <v>231.757114</v>
      </c>
    </row>
    <row r="4604">
      <c r="A4604" s="24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5" t="n">
        <v>231.283613</v>
      </c>
    </row>
    <row r="4605">
      <c r="A4605" s="24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5" t="n">
        <v>235.150904</v>
      </c>
    </row>
    <row r="4606">
      <c r="A4606" s="24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5" t="n">
        <v>236.536293</v>
      </c>
    </row>
    <row r="4607">
      <c r="A4607" s="24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5" t="n">
        <v>218.712562</v>
      </c>
    </row>
    <row r="4608">
      <c r="A4608" s="24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5" t="n">
        <v>168.963547</v>
      </c>
    </row>
    <row r="4609">
      <c r="A4609" s="24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5" t="n">
        <v>132.491813</v>
      </c>
    </row>
    <row r="4610">
      <c r="A4610" s="24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5" t="n">
        <v>109.91313</v>
      </c>
    </row>
    <row r="4611">
      <c r="A4611" s="24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5" t="n">
        <v>137.259964</v>
      </c>
    </row>
    <row r="4612">
      <c r="A4612" s="24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5" t="n">
        <v>116.244071</v>
      </c>
    </row>
    <row r="4613">
      <c r="A4613" s="24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5" t="n">
        <v>107.560547</v>
      </c>
    </row>
    <row r="4614">
      <c r="A4614" s="24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5" t="n">
        <v>97.48555399999999</v>
      </c>
    </row>
    <row r="4615">
      <c r="A4615" s="24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5" t="n">
        <v>101.569526</v>
      </c>
    </row>
    <row r="4616">
      <c r="A4616" s="24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5" t="n">
        <v>86.419712</v>
      </c>
    </row>
    <row r="4617">
      <c r="A4617" s="24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5" t="n">
        <v>69.156847</v>
      </c>
    </row>
    <row r="4618">
      <c r="A4618" s="24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5" t="n">
        <v>119.108928</v>
      </c>
    </row>
    <row r="4619">
      <c r="A4619" s="24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5" t="n">
        <v>134.212613</v>
      </c>
    </row>
    <row r="4620">
      <c r="A4620" s="24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5" t="n">
        <v>102.296528</v>
      </c>
    </row>
    <row r="4621">
      <c r="A4621" s="24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5" t="n">
        <v>93.94303499999999</v>
      </c>
    </row>
    <row r="4622">
      <c r="A4622" s="24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5" t="n">
        <v>77.389381</v>
      </c>
    </row>
    <row r="4623">
      <c r="A4623" s="24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5" t="n">
        <v>71.60121700000001</v>
      </c>
    </row>
    <row r="4624">
      <c r="A4624" s="24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5" t="n">
        <v>61.597502</v>
      </c>
    </row>
    <row r="4625">
      <c r="A4625" s="24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5" t="n">
        <v>94.819881</v>
      </c>
    </row>
    <row r="4626">
      <c r="A4626" s="24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5" t="n">
        <v>89.516204</v>
      </c>
    </row>
    <row r="4627">
      <c r="A4627" s="24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5" t="n">
        <v>82.677077</v>
      </c>
    </row>
    <row r="4628">
      <c r="A4628" s="24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5" t="n">
        <v>80.549713</v>
      </c>
    </row>
    <row r="4629">
      <c r="A4629" s="24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5" t="n">
        <v>65.984731</v>
      </c>
    </row>
    <row r="4630">
      <c r="A4630" s="24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5" t="n">
        <v>75.632492</v>
      </c>
    </row>
    <row r="4631">
      <c r="A4631" s="24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5" t="n">
        <v>118.24956</v>
      </c>
    </row>
    <row r="4632">
      <c r="A4632" s="24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5" t="n">
        <v>147.949569</v>
      </c>
    </row>
    <row r="4633">
      <c r="A4633" s="24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5" t="n">
        <v>167.598023</v>
      </c>
    </row>
    <row r="4634">
      <c r="A4634" s="24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5" t="n">
        <v>164.354322</v>
      </c>
    </row>
    <row r="4635">
      <c r="A4635" s="24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5" t="n">
        <v>125.175713</v>
      </c>
    </row>
    <row r="4636">
      <c r="A4636" s="24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5" t="n">
        <v>97.586961</v>
      </c>
    </row>
    <row r="4637">
      <c r="A4637" s="24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5" t="n">
        <v>76.769937</v>
      </c>
    </row>
    <row r="4638">
      <c r="A4638" s="24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5" t="n">
        <v>61.598102</v>
      </c>
    </row>
    <row r="4639">
      <c r="A4639" s="24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5" t="n">
        <v>55.395657</v>
      </c>
    </row>
    <row r="4640">
      <c r="A4640" s="24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5" t="n">
        <v>62.826201</v>
      </c>
    </row>
    <row r="4641">
      <c r="A4641" s="24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5" t="n">
        <v>129.415225</v>
      </c>
    </row>
    <row r="4642">
      <c r="A4642" s="24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5" t="n">
        <v>151.662629</v>
      </c>
    </row>
    <row r="4643">
      <c r="A4643" s="24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5" t="n">
        <v>154.489821</v>
      </c>
    </row>
    <row r="4644">
      <c r="A4644" s="24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5" t="n">
        <v>152.686882</v>
      </c>
    </row>
    <row r="4645">
      <c r="A4645" s="24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5" t="n">
        <v>143.514327</v>
      </c>
    </row>
    <row r="4646">
      <c r="A4646" s="24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5" t="n">
        <v>111.809133</v>
      </c>
    </row>
    <row r="4647">
      <c r="A4647" s="24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5" t="n">
        <v>99.68603899999999</v>
      </c>
    </row>
    <row r="4648">
      <c r="A4648" s="24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5" t="n">
        <v>80.22973500000001</v>
      </c>
    </row>
    <row r="4649">
      <c r="A4649" s="24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5" t="n">
        <v>68.79255499999999</v>
      </c>
    </row>
    <row r="4650">
      <c r="A4650" s="24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5" t="n">
        <v>56.597011</v>
      </c>
    </row>
    <row r="4651">
      <c r="A4651" s="24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5" t="n">
        <v>52.073114</v>
      </c>
    </row>
    <row r="4652">
      <c r="A4652" s="24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5" t="n">
        <v>102.54775</v>
      </c>
    </row>
    <row r="4653">
      <c r="A4653" s="24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5" t="n">
        <v>106.573826</v>
      </c>
    </row>
    <row r="4654">
      <c r="A4654" s="24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5" t="n">
        <v>80.45424</v>
      </c>
    </row>
    <row r="4655">
      <c r="A4655" s="24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5" t="n">
        <v>62.395286</v>
      </c>
    </row>
    <row r="4656">
      <c r="A4656" s="24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5" t="n">
        <v>50.038616</v>
      </c>
    </row>
    <row r="4657">
      <c r="A4657" s="24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5" t="n">
        <v>42.012499</v>
      </c>
    </row>
    <row r="4658">
      <c r="A4658" s="24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5" t="n">
        <v>63.679805</v>
      </c>
    </row>
    <row r="4659">
      <c r="A4659" s="24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5" t="n">
        <v>52.638358</v>
      </c>
    </row>
    <row r="4660">
      <c r="A4660" s="24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5" t="n">
        <v>40.914268</v>
      </c>
    </row>
    <row r="4661">
      <c r="A4661" s="24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5" t="n">
        <v>33.068042</v>
      </c>
    </row>
    <row r="4662">
      <c r="A4662" s="24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5" t="n">
        <v>28.081969</v>
      </c>
    </row>
    <row r="4663">
      <c r="A4663" s="24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5" t="n">
        <v>44.192522</v>
      </c>
    </row>
    <row r="4664">
      <c r="A4664" s="24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5" t="n">
        <v>37.463954</v>
      </c>
    </row>
    <row r="4665">
      <c r="A4665" s="24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5" t="n">
        <v>29.331624</v>
      </c>
    </row>
    <row r="4666">
      <c r="A4666" s="24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5" t="n">
        <v>23.791135</v>
      </c>
    </row>
    <row r="4667">
      <c r="A4667" s="24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5" t="n">
        <v>19.75736</v>
      </c>
    </row>
    <row r="4668">
      <c r="A4668" s="24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5" t="n">
        <v>16.699814</v>
      </c>
    </row>
    <row r="4669">
      <c r="A4669" s="24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5" t="n">
        <v>14.307865</v>
      </c>
    </row>
    <row r="4670">
      <c r="A4670" s="24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5" t="n">
        <v>12.392673</v>
      </c>
    </row>
    <row r="4671">
      <c r="A4671" s="24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5" t="n">
        <v>10.967973</v>
      </c>
    </row>
    <row r="4672">
      <c r="A4672" s="24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5" t="n">
        <v>9.642868999999999</v>
      </c>
    </row>
    <row r="4673">
      <c r="A4673" s="24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5" t="n">
        <v>8.569708</v>
      </c>
    </row>
    <row r="4674">
      <c r="A4674" s="24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5" t="n">
        <v>8.181018</v>
      </c>
    </row>
    <row r="4675">
      <c r="A4675" s="24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5" t="n">
        <v>11.718574</v>
      </c>
    </row>
    <row r="4676">
      <c r="A4676" s="24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5" t="n">
        <v>13.246845</v>
      </c>
    </row>
    <row r="4677">
      <c r="A4677" s="24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5" t="n">
        <v>11.219207</v>
      </c>
    </row>
    <row r="4678">
      <c r="A4678" s="24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5" t="n">
        <v>9.121549</v>
      </c>
    </row>
    <row r="4679">
      <c r="A4679" s="24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5" t="n">
        <v>7.557868</v>
      </c>
    </row>
    <row r="4680">
      <c r="A4680" s="24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5" t="n">
        <v>6.706169</v>
      </c>
    </row>
    <row r="4681">
      <c r="A4681" s="24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5" t="n">
        <v>69.610012</v>
      </c>
    </row>
    <row r="4682">
      <c r="A4682" s="24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5" t="n">
        <v>106.219226</v>
      </c>
    </row>
    <row r="4683">
      <c r="A4683" s="24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5" t="n">
        <v>103.016735</v>
      </c>
    </row>
    <row r="4684">
      <c r="A4684" s="24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5" t="n">
        <v>93.20222099999999</v>
      </c>
    </row>
    <row r="4685">
      <c r="A4685" s="24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5" t="n">
        <v>86.372609</v>
      </c>
    </row>
    <row r="4686">
      <c r="A4686" s="24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5" t="n">
        <v>109.789662</v>
      </c>
    </row>
    <row r="4687">
      <c r="A4687" s="24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5" t="n">
        <v>97.41668199999999</v>
      </c>
    </row>
    <row r="4688">
      <c r="A4688" s="24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5" t="n">
        <v>79.977823</v>
      </c>
    </row>
    <row r="4689">
      <c r="A4689" s="24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5" t="n">
        <v>62.393183</v>
      </c>
    </row>
    <row r="4690">
      <c r="A4690" s="24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5" t="n">
        <v>57.528737</v>
      </c>
    </row>
    <row r="4691">
      <c r="A4691" s="24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5" t="n">
        <v>48.547017</v>
      </c>
    </row>
    <row r="4692">
      <c r="A4692" s="24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5" t="n">
        <v>38.832404</v>
      </c>
    </row>
    <row r="4693">
      <c r="A4693" s="24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5" t="n">
        <v>37.874238</v>
      </c>
    </row>
    <row r="4694">
      <c r="A4694" s="24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5" t="n">
        <v>31.468916</v>
      </c>
    </row>
    <row r="4695">
      <c r="A4695" s="24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5" t="n">
        <v>26.400087</v>
      </c>
    </row>
    <row r="4696">
      <c r="A4696" s="24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5" t="n">
        <v>21.915765</v>
      </c>
    </row>
    <row r="4697">
      <c r="A4697" s="24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5" t="n">
        <v>28.604487</v>
      </c>
    </row>
    <row r="4698">
      <c r="A4698" s="24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5" t="n">
        <v>30.876019</v>
      </c>
    </row>
    <row r="4699">
      <c r="A4699" s="24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5" t="n">
        <v>24.838202</v>
      </c>
    </row>
    <row r="4700">
      <c r="A4700" s="24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5" t="n">
        <v>19.737344</v>
      </c>
    </row>
    <row r="4701">
      <c r="A4701" s="24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5" t="n">
        <v>80.56711199999999</v>
      </c>
    </row>
    <row r="4702">
      <c r="A4702" s="24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5" t="n">
        <v>104.993693</v>
      </c>
    </row>
    <row r="4703">
      <c r="A4703" s="24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5" t="n">
        <v>76.026011</v>
      </c>
    </row>
    <row r="4704">
      <c r="A4704" s="24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5" t="n">
        <v>56.510756</v>
      </c>
    </row>
    <row r="4705">
      <c r="A4705" s="24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5" t="n">
        <v>44.349049</v>
      </c>
    </row>
    <row r="4706">
      <c r="A4706" s="24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5" t="n">
        <v>47.911719</v>
      </c>
    </row>
    <row r="4707">
      <c r="A4707" s="24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5" t="n">
        <v>38.475748</v>
      </c>
    </row>
    <row r="4708">
      <c r="A4708" s="24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5" t="n">
        <v>30.909</v>
      </c>
    </row>
    <row r="4709">
      <c r="A4709" s="24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5" t="n">
        <v>28.954675</v>
      </c>
    </row>
    <row r="4710">
      <c r="A4710" s="24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5" t="n">
        <v>24.53592</v>
      </c>
    </row>
    <row r="4711">
      <c r="A4711" s="24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5" t="n">
        <v>29.005177</v>
      </c>
    </row>
    <row r="4712">
      <c r="A4712" s="24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5" t="n">
        <v>24.104559</v>
      </c>
    </row>
    <row r="4713">
      <c r="A4713" s="24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5" t="n">
        <v>19.799029</v>
      </c>
    </row>
    <row r="4714">
      <c r="A4714" s="24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5" t="n">
        <v>16.749016</v>
      </c>
    </row>
    <row r="4715">
      <c r="A4715" s="24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5" t="n">
        <v>27.595752</v>
      </c>
    </row>
    <row r="4716">
      <c r="A4716" s="24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5" t="n">
        <v>27.241449</v>
      </c>
    </row>
    <row r="4717">
      <c r="A4717" s="24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5" t="n">
        <v>21.299305</v>
      </c>
    </row>
    <row r="4718">
      <c r="A4718" s="24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5" t="n">
        <v>18.05403</v>
      </c>
    </row>
    <row r="4719">
      <c r="A4719" s="24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5" t="n">
        <v>21.322244</v>
      </c>
    </row>
    <row r="4720">
      <c r="A4720" s="24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5" t="n">
        <v>17.456518</v>
      </c>
    </row>
    <row r="4721">
      <c r="A4721" s="24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5" t="n">
        <v>16.410978</v>
      </c>
    </row>
    <row r="4722">
      <c r="A4722" s="24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5" t="n">
        <v>17.424406</v>
      </c>
    </row>
    <row r="4723">
      <c r="A4723" s="24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5" t="n">
        <v>14.73369</v>
      </c>
    </row>
    <row r="4724">
      <c r="A4724" s="24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5" t="n">
        <v>12.447118</v>
      </c>
    </row>
    <row r="4725">
      <c r="A4725" s="24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5" t="n">
        <v>76.988731</v>
      </c>
    </row>
    <row r="4726">
      <c r="A4726" s="24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5" t="n">
        <v>107.558437</v>
      </c>
    </row>
    <row r="4727">
      <c r="A4727" s="24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5" t="n">
        <v>78.02079000000001</v>
      </c>
    </row>
    <row r="4728">
      <c r="A4728" s="24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5" t="n">
        <v>77.679569</v>
      </c>
    </row>
    <row r="4729">
      <c r="A4729" s="24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5" t="n">
        <v>67.13702600000001</v>
      </c>
    </row>
    <row r="4730">
      <c r="A4730" s="24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5" t="n">
        <v>59.001033</v>
      </c>
    </row>
    <row r="4731">
      <c r="A4731" s="24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5" t="n">
        <v>47.896849</v>
      </c>
    </row>
    <row r="4732">
      <c r="A4732" s="24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5" t="n">
        <v>85.381151</v>
      </c>
    </row>
    <row r="4733">
      <c r="A4733" s="24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5" t="n">
        <v>70.437358</v>
      </c>
    </row>
    <row r="4734">
      <c r="A4734" s="24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5" t="n">
        <v>106.688681</v>
      </c>
    </row>
    <row r="4735">
      <c r="A4735" s="24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5" t="n">
        <v>88.22898600000001</v>
      </c>
    </row>
    <row r="4736">
      <c r="A4736" s="24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5" t="n">
        <v>77.32621399999999</v>
      </c>
    </row>
    <row r="4737">
      <c r="A4737" s="24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5" t="n">
        <v>84.342771</v>
      </c>
    </row>
    <row r="4738">
      <c r="A4738" s="24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5" t="n">
        <v>80.936223</v>
      </c>
    </row>
    <row r="4739">
      <c r="A4739" s="24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5" t="n">
        <v>109.71269</v>
      </c>
    </row>
    <row r="4740">
      <c r="A4740" s="24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5" t="n">
        <v>144.016291</v>
      </c>
    </row>
    <row r="4741">
      <c r="A4741" s="24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5" t="n">
        <v>129.205532</v>
      </c>
    </row>
    <row r="4742">
      <c r="A4742" s="24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5" t="n">
        <v>106.201979</v>
      </c>
    </row>
    <row r="4743">
      <c r="A4743" s="24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5" t="n">
        <v>83.978101</v>
      </c>
    </row>
    <row r="4744">
      <c r="A4744" s="24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5" t="n">
        <v>94.56461</v>
      </c>
    </row>
    <row r="4745">
      <c r="A4745" s="24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5" t="n">
        <v>80.918626</v>
      </c>
    </row>
    <row r="4746">
      <c r="A4746" s="24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5" t="n">
        <v>63.140088</v>
      </c>
    </row>
    <row r="4747">
      <c r="A4747" s="24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5" t="n">
        <v>50.001568</v>
      </c>
    </row>
    <row r="4748">
      <c r="A4748" s="24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5" t="n">
        <v>40.788113</v>
      </c>
    </row>
    <row r="4749">
      <c r="A4749" s="24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5" t="n">
        <v>34.480531</v>
      </c>
    </row>
    <row r="4750">
      <c r="A4750" s="24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5" t="n">
        <v>33.666978</v>
      </c>
    </row>
    <row r="4751">
      <c r="A4751" s="24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5" t="n">
        <v>28.266978</v>
      </c>
    </row>
    <row r="4752">
      <c r="A4752" s="24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5" t="n">
        <v>24.032267</v>
      </c>
    </row>
    <row r="4753">
      <c r="A4753" s="24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5" t="n">
        <v>25.615457</v>
      </c>
    </row>
    <row r="4754">
      <c r="A4754" s="24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5" t="n">
        <v>100.221996</v>
      </c>
    </row>
    <row r="4755">
      <c r="A4755" s="24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5" t="n">
        <v>142.196203</v>
      </c>
    </row>
    <row r="4756">
      <c r="A4756" s="24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5" t="n">
        <v>219.047683</v>
      </c>
    </row>
    <row r="4757">
      <c r="A4757" s="24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5" t="n">
        <v>240.148872</v>
      </c>
    </row>
    <row r="4758">
      <c r="A4758" s="24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5" t="n">
        <v>193.382857</v>
      </c>
    </row>
    <row r="4759">
      <c r="A4759" s="24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5" t="n">
        <v>184.908998</v>
      </c>
    </row>
    <row r="4760">
      <c r="A4760" s="24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5" t="n">
        <v>194.986014</v>
      </c>
    </row>
    <row r="4761">
      <c r="A4761" s="24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5" t="n">
        <v>168.082861</v>
      </c>
    </row>
    <row r="4762">
      <c r="A4762" s="24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5" t="n">
        <v>135.883558</v>
      </c>
    </row>
    <row r="4763">
      <c r="A4763" s="24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5" t="n">
        <v>111.881463</v>
      </c>
    </row>
    <row r="4764">
      <c r="A4764" s="24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5" t="n">
        <v>90.609977</v>
      </c>
    </row>
    <row r="4765">
      <c r="A4765" s="24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5" t="n">
        <v>79.49262400000001</v>
      </c>
    </row>
    <row r="4766">
      <c r="A4766" s="24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5" t="n">
        <v>80.107072</v>
      </c>
    </row>
    <row r="4767">
      <c r="A4767" s="24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5" t="n">
        <v>65.512202</v>
      </c>
    </row>
    <row r="4768">
      <c r="A4768" s="24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5" t="n">
        <v>58.5428</v>
      </c>
    </row>
    <row r="4769">
      <c r="A4769" s="24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5" t="n">
        <v>73.94846200000001</v>
      </c>
    </row>
    <row r="4770">
      <c r="A4770" s="24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5" t="n">
        <v>72.56354399999999</v>
      </c>
    </row>
    <row r="4771">
      <c r="A4771" s="24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5" t="n">
        <v>64.986007</v>
      </c>
    </row>
    <row r="4772">
      <c r="A4772" s="24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5" t="n">
        <v>59.092105</v>
      </c>
    </row>
    <row r="4773">
      <c r="A4773" s="24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5" t="n">
        <v>52.280154</v>
      </c>
    </row>
    <row r="4774">
      <c r="A4774" s="24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5" t="n">
        <v>54.716033</v>
      </c>
    </row>
    <row r="4775">
      <c r="A4775" s="24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5" t="n">
        <v>107.360525</v>
      </c>
    </row>
    <row r="4776">
      <c r="A4776" s="24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5" t="n">
        <v>125.106458</v>
      </c>
    </row>
    <row r="4777">
      <c r="A4777" s="24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5" t="n">
        <v>106.681092</v>
      </c>
    </row>
    <row r="4778">
      <c r="A4778" s="24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5" t="n">
        <v>115.494083</v>
      </c>
    </row>
    <row r="4779">
      <c r="A4779" s="24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5" t="n">
        <v>148.269698</v>
      </c>
    </row>
    <row r="4780">
      <c r="A4780" s="24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5" t="n">
        <v>136.240249</v>
      </c>
    </row>
    <row r="4781">
      <c r="A4781" s="24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5" t="n">
        <v>103.079383</v>
      </c>
    </row>
    <row r="4782">
      <c r="A4782" s="24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5" t="n">
        <v>86.978098</v>
      </c>
    </row>
    <row r="4783">
      <c r="A4783" s="24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5" t="n">
        <v>74.712936</v>
      </c>
    </row>
    <row r="4784">
      <c r="A4784" s="24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5" t="n">
        <v>61.680872</v>
      </c>
    </row>
    <row r="4785">
      <c r="A4785" s="24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5" t="n">
        <v>49.851005</v>
      </c>
    </row>
    <row r="4786">
      <c r="A4786" s="24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5" t="n">
        <v>41.108694</v>
      </c>
    </row>
    <row r="4787">
      <c r="A4787" s="24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5" t="n">
        <v>34.318948</v>
      </c>
    </row>
    <row r="4788">
      <c r="A4788" s="24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5" t="n">
        <v>29.214574</v>
      </c>
    </row>
    <row r="4789">
      <c r="A4789" s="24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5" t="n">
        <v>25.024236</v>
      </c>
    </row>
    <row r="4790">
      <c r="A4790" s="24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5" t="n">
        <v>25.417569</v>
      </c>
    </row>
    <row r="4791">
      <c r="A4791" s="24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5" t="n">
        <v>23.905273</v>
      </c>
    </row>
    <row r="4792">
      <c r="A4792" s="24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5" t="n">
        <v>26.131364</v>
      </c>
    </row>
    <row r="4793">
      <c r="A4793" s="24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5" t="n">
        <v>38.34387</v>
      </c>
    </row>
    <row r="4794">
      <c r="A4794" s="24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5" t="n">
        <v>34.248644</v>
      </c>
    </row>
    <row r="4795">
      <c r="A4795" s="24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5" t="n">
        <v>31.246996</v>
      </c>
    </row>
    <row r="4796">
      <c r="A4796" s="24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5" t="n">
        <v>34.307205</v>
      </c>
    </row>
    <row r="4797">
      <c r="A4797" s="24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5" t="n">
        <v>38.976782</v>
      </c>
    </row>
    <row r="4798">
      <c r="A4798" s="24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5" t="n">
        <v>63.41194</v>
      </c>
    </row>
    <row r="4799">
      <c r="A4799" s="24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5" t="n">
        <v>56.478276</v>
      </c>
    </row>
    <row r="4800">
      <c r="A4800" s="24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5" t="n">
        <v>44.314683</v>
      </c>
    </row>
    <row r="4801">
      <c r="A4801" s="24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5" t="n">
        <v>42.203161</v>
      </c>
    </row>
    <row r="4802">
      <c r="A4802" s="24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5" t="n">
        <v>34.013067</v>
      </c>
    </row>
    <row r="4803">
      <c r="A4803" s="24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5" t="n">
        <v>29.045503</v>
      </c>
    </row>
    <row r="4804">
      <c r="A4804" s="24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5" t="n">
        <v>52.487764</v>
      </c>
    </row>
    <row r="4805">
      <c r="A4805" s="24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5" t="n">
        <v>43.926235</v>
      </c>
    </row>
    <row r="4806">
      <c r="A4806" s="24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5" t="n">
        <v>37.846854</v>
      </c>
    </row>
    <row r="4807">
      <c r="A4807" s="24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5" t="n">
        <v>30.971173</v>
      </c>
    </row>
    <row r="4808">
      <c r="A4808" s="24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5" t="n">
        <v>28.545191</v>
      </c>
    </row>
    <row r="4809">
      <c r="A4809" s="24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5" t="n">
        <v>24.083233</v>
      </c>
    </row>
    <row r="4810">
      <c r="A4810" s="24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5" t="n">
        <v>20.167045</v>
      </c>
    </row>
    <row r="4811">
      <c r="A4811" s="24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5" t="n">
        <v>31.437437</v>
      </c>
    </row>
    <row r="4812">
      <c r="A4812" s="24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5" t="n">
        <v>28.747436</v>
      </c>
    </row>
    <row r="4813">
      <c r="A4813" s="24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5" t="n">
        <v>26.279603</v>
      </c>
    </row>
    <row r="4814">
      <c r="A4814" s="24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5" t="n">
        <v>20.951491</v>
      </c>
    </row>
    <row r="4815">
      <c r="A4815" s="24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5" t="n">
        <v>16.775741</v>
      </c>
    </row>
    <row r="4816">
      <c r="A4816" s="24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5" t="n">
        <v>15.101633</v>
      </c>
    </row>
    <row r="4817">
      <c r="A4817" s="24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5" t="n">
        <v>14.711158</v>
      </c>
    </row>
    <row r="4818">
      <c r="A4818" s="24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5" t="n">
        <v>51.491745</v>
      </c>
    </row>
    <row r="4819">
      <c r="A4819" s="24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5" t="n">
        <v>41.698159</v>
      </c>
    </row>
    <row r="4820">
      <c r="A4820" s="24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5" t="n">
        <v>31.245151</v>
      </c>
    </row>
    <row r="4821">
      <c r="A4821" s="24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5" t="n">
        <v>24.228529</v>
      </c>
    </row>
    <row r="4822">
      <c r="A4822" s="24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5" t="n">
        <v>19.603723</v>
      </c>
    </row>
    <row r="4823">
      <c r="A4823" s="24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5" t="n">
        <v>16.557907</v>
      </c>
    </row>
    <row r="4824">
      <c r="A4824" s="24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5" t="n">
        <v>17.545755</v>
      </c>
    </row>
    <row r="4825">
      <c r="A4825" s="24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5" t="n">
        <v>21.897102</v>
      </c>
    </row>
    <row r="4826">
      <c r="A4826" s="24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5" t="n">
        <v>21.517014</v>
      </c>
    </row>
    <row r="4827">
      <c r="A4827" s="24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5" t="n">
        <v>30.654205</v>
      </c>
    </row>
    <row r="4828">
      <c r="A4828" s="24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5" t="n">
        <v>30.076525</v>
      </c>
    </row>
    <row r="4829">
      <c r="A4829" s="24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5" t="n">
        <v>41.430292</v>
      </c>
    </row>
    <row r="4830">
      <c r="A4830" s="24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5" t="n">
        <v>37.208147</v>
      </c>
    </row>
    <row r="4831">
      <c r="A4831" s="24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5" t="n">
        <v>35.945408</v>
      </c>
    </row>
    <row r="4832">
      <c r="A4832" s="24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5" t="n">
        <v>39.108228</v>
      </c>
    </row>
    <row r="4833">
      <c r="A4833" s="24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5" t="n">
        <v>48.77225</v>
      </c>
    </row>
    <row r="4834">
      <c r="A4834" s="24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5" t="n">
        <v>42.55737</v>
      </c>
    </row>
    <row r="4835">
      <c r="A4835" s="24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5" t="n">
        <v>67.41081800000001</v>
      </c>
    </row>
    <row r="4836">
      <c r="A4836" s="24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5" t="n">
        <v>54.005419</v>
      </c>
    </row>
    <row r="4837">
      <c r="A4837" s="24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5" t="n">
        <v>42.391785</v>
      </c>
    </row>
    <row r="4838">
      <c r="A4838" s="24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5" t="n">
        <v>41.332323</v>
      </c>
    </row>
    <row r="4839">
      <c r="A4839" s="24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5" t="n">
        <v>36.366238</v>
      </c>
    </row>
    <row r="4840">
      <c r="A4840" s="24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5" t="n">
        <v>37.691895</v>
      </c>
    </row>
    <row r="4841">
      <c r="A4841" s="24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5" t="n">
        <v>110.702912</v>
      </c>
    </row>
    <row r="4842">
      <c r="A4842" s="24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5" t="n">
        <v>140.098898</v>
      </c>
    </row>
    <row r="4843">
      <c r="A4843" s="24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5" t="n">
        <v>142.140083</v>
      </c>
    </row>
    <row r="4844">
      <c r="A4844" s="24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5" t="n">
        <v>142.952415</v>
      </c>
    </row>
    <row r="4845">
      <c r="A4845" s="24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5" t="n">
        <v>145.381299</v>
      </c>
    </row>
    <row r="4846">
      <c r="A4846" s="24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5" t="n">
        <v>127.236955</v>
      </c>
    </row>
    <row r="4847">
      <c r="A4847" s="24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5" t="n">
        <v>100.526733</v>
      </c>
    </row>
    <row r="4848">
      <c r="A4848" s="24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5" t="n">
        <v>133.923084</v>
      </c>
    </row>
    <row r="4849">
      <c r="A4849" s="24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5" t="n">
        <v>164.77917</v>
      </c>
    </row>
    <row r="4850">
      <c r="A4850" s="24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5" t="n">
        <v>158.27523</v>
      </c>
    </row>
    <row r="4851">
      <c r="A4851" s="24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5" t="n">
        <v>127.668753</v>
      </c>
    </row>
    <row r="4852">
      <c r="A4852" s="24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5" t="n">
        <v>99.908463</v>
      </c>
    </row>
    <row r="4853">
      <c r="A4853" s="24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5" t="n">
        <v>94.739328</v>
      </c>
    </row>
    <row r="4854">
      <c r="A4854" s="24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5" t="n">
        <v>80.47106700000001</v>
      </c>
    </row>
    <row r="4855">
      <c r="A4855" s="24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5" t="n">
        <v>66.915689</v>
      </c>
    </row>
    <row r="4856">
      <c r="A4856" s="24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5" t="n">
        <v>63.396795</v>
      </c>
    </row>
    <row r="4857">
      <c r="A4857" s="24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5" t="n">
        <v>52.69275</v>
      </c>
    </row>
    <row r="4858">
      <c r="A4858" s="24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5" t="n">
        <v>43.596082</v>
      </c>
    </row>
    <row r="4859">
      <c r="A4859" s="24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5" t="n">
        <v>105.618579</v>
      </c>
    </row>
    <row r="4860">
      <c r="A4860" s="24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5" t="n">
        <v>134.857914</v>
      </c>
    </row>
    <row r="4861">
      <c r="A4861" s="24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5" t="n">
        <v>129.688281</v>
      </c>
    </row>
    <row r="4862">
      <c r="A4862" s="24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5" t="n">
        <v>100.550868</v>
      </c>
    </row>
    <row r="4863">
      <c r="A4863" s="24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5" t="n">
        <v>81.07044500000001</v>
      </c>
    </row>
    <row r="4864">
      <c r="A4864" s="24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5" t="n">
        <v>69.21693</v>
      </c>
    </row>
    <row r="4865">
      <c r="A4865" s="24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5" t="n">
        <v>58.713292</v>
      </c>
    </row>
    <row r="4866">
      <c r="A4866" s="24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5" t="n">
        <v>64.43603</v>
      </c>
    </row>
    <row r="4867">
      <c r="A4867" s="24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5" t="n">
        <v>53.287934</v>
      </c>
    </row>
    <row r="4868">
      <c r="A4868" s="24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5" t="n">
        <v>45.347358</v>
      </c>
    </row>
    <row r="4869">
      <c r="A4869" s="24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5" t="n">
        <v>37.329794</v>
      </c>
    </row>
    <row r="4870">
      <c r="A4870" s="24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5" t="n">
        <v>30.696469</v>
      </c>
    </row>
    <row r="4871">
      <c r="A4871" s="24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5" t="n">
        <v>25.707512</v>
      </c>
    </row>
    <row r="4872">
      <c r="A4872" s="24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5" t="n">
        <v>22.082509</v>
      </c>
    </row>
    <row r="4873">
      <c r="A4873" s="24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5" t="n">
        <v>26.389774</v>
      </c>
    </row>
    <row r="4874">
      <c r="A4874" s="24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5" t="n">
        <v>25.777994</v>
      </c>
    </row>
    <row r="4875">
      <c r="A4875" s="24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5" t="n">
        <v>22.241334</v>
      </c>
    </row>
    <row r="4876">
      <c r="A4876" s="24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5" t="n">
        <v>18.518826</v>
      </c>
    </row>
    <row r="4877">
      <c r="A4877" s="24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5" t="n">
        <v>16.307217</v>
      </c>
    </row>
    <row r="4878">
      <c r="A4878" s="24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5" t="n">
        <v>34.32706</v>
      </c>
    </row>
    <row r="4879">
      <c r="A4879" s="24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5" t="n">
        <v>28.835823</v>
      </c>
    </row>
    <row r="4880">
      <c r="A4880" s="24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5" t="n">
        <v>22.322829</v>
      </c>
    </row>
    <row r="4881">
      <c r="A4881" s="24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5" t="n">
        <v>18.140383</v>
      </c>
    </row>
    <row r="4882">
      <c r="A4882" s="24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5" t="n">
        <v>15.921114</v>
      </c>
    </row>
    <row r="4883">
      <c r="A4883" s="24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5" t="n">
        <v>27.750481</v>
      </c>
    </row>
    <row r="4884">
      <c r="A4884" s="24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5" t="n">
        <v>27.872142</v>
      </c>
    </row>
    <row r="4885">
      <c r="A4885" s="24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5" t="n">
        <v>27.954513</v>
      </c>
    </row>
    <row r="4886">
      <c r="A4886" s="24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5" t="n">
        <v>22.466582</v>
      </c>
    </row>
    <row r="4887">
      <c r="A4887" s="24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5" t="n">
        <v>91.844039</v>
      </c>
    </row>
    <row r="4888">
      <c r="A4888" s="24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5" t="n">
        <v>123.017968</v>
      </c>
    </row>
    <row r="4889">
      <c r="A4889" s="24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5" t="n">
        <v>132.231545</v>
      </c>
    </row>
    <row r="4890">
      <c r="A4890" s="24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5" t="n">
        <v>103.491976</v>
      </c>
    </row>
    <row r="4891">
      <c r="A4891" s="24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5" t="n">
        <v>80.910932</v>
      </c>
    </row>
    <row r="4892">
      <c r="A4892" s="24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5" t="n">
        <v>62.477158</v>
      </c>
    </row>
    <row r="4893">
      <c r="A4893" s="24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5" t="n">
        <v>49.463877</v>
      </c>
    </row>
    <row r="4894">
      <c r="A4894" s="24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5" t="n">
        <v>55.678853</v>
      </c>
    </row>
    <row r="4895">
      <c r="A4895" s="24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5" t="n">
        <v>58.144241</v>
      </c>
    </row>
    <row r="4896">
      <c r="A4896" s="24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5" t="n">
        <v>49.086464</v>
      </c>
    </row>
    <row r="4897">
      <c r="A4897" s="24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5" t="n">
        <v>38.700311</v>
      </c>
    </row>
    <row r="4898">
      <c r="A4898" s="24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5" t="n">
        <v>31.436283</v>
      </c>
    </row>
    <row r="4899">
      <c r="A4899" s="24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5" t="n">
        <v>25.897361</v>
      </c>
    </row>
    <row r="4900">
      <c r="A4900" s="24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5" t="n">
        <v>21.597165</v>
      </c>
    </row>
    <row r="4901">
      <c r="A4901" s="24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5" t="n">
        <v>22.317261</v>
      </c>
    </row>
    <row r="4902">
      <c r="A4902" s="24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5" t="n">
        <v>38.237445</v>
      </c>
    </row>
    <row r="4903">
      <c r="A4903" s="24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5" t="n">
        <v>32.466982</v>
      </c>
    </row>
    <row r="4904">
      <c r="A4904" s="24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5" t="n">
        <v>25.705172</v>
      </c>
    </row>
    <row r="4905">
      <c r="A4905" s="24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5" t="n">
        <v>70.045843</v>
      </c>
    </row>
    <row r="4906">
      <c r="A4906" s="24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5" t="n">
        <v>75.850705</v>
      </c>
    </row>
    <row r="4907">
      <c r="A4907" s="24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5" t="n">
        <v>84.171611</v>
      </c>
    </row>
    <row r="4908">
      <c r="A4908" s="24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5" t="n">
        <v>74.776252</v>
      </c>
    </row>
    <row r="4909">
      <c r="A4909" s="24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5" t="n">
        <v>64.233054</v>
      </c>
    </row>
    <row r="4910">
      <c r="A4910" s="24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5" t="n">
        <v>58.231621</v>
      </c>
    </row>
    <row r="4911">
      <c r="A4911" s="24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5" t="n">
        <v>67.847199</v>
      </c>
    </row>
    <row r="4912">
      <c r="A4912" s="24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5" t="n">
        <v>55.111833</v>
      </c>
    </row>
    <row r="4913">
      <c r="A4913" s="24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5" t="n">
        <v>72.874684</v>
      </c>
    </row>
    <row r="4914">
      <c r="A4914" s="24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5" t="n">
        <v>97.851691</v>
      </c>
    </row>
    <row r="4915">
      <c r="A4915" s="24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5" t="n">
        <v>263.059216</v>
      </c>
    </row>
    <row r="4916">
      <c r="A4916" s="24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5" t="n">
        <v>323.806913</v>
      </c>
    </row>
    <row r="4917">
      <c r="A4917" s="24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5" t="n">
        <v>222.360536</v>
      </c>
    </row>
    <row r="4918">
      <c r="A4918" s="24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5" t="n">
        <v>203.991219</v>
      </c>
    </row>
    <row r="4919">
      <c r="A4919" s="24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5" t="n">
        <v>195.254683</v>
      </c>
    </row>
    <row r="4920">
      <c r="A4920" s="24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5" t="n">
        <v>297.631946</v>
      </c>
    </row>
    <row r="4921">
      <c r="A4921" s="24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5" t="n">
        <v>391.984135</v>
      </c>
    </row>
    <row r="4922">
      <c r="A4922" s="24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5" t="n">
        <v>329.595356</v>
      </c>
    </row>
    <row r="4923">
      <c r="A4923" s="24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5" t="n">
        <v>250.174075</v>
      </c>
    </row>
    <row r="4924">
      <c r="A4924" s="24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5" t="n">
        <v>223.850065</v>
      </c>
    </row>
    <row r="4925">
      <c r="A4925" s="24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5" t="n">
        <v>183.839132</v>
      </c>
    </row>
    <row r="4926">
      <c r="A4926" s="24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5" t="n">
        <v>169.276157</v>
      </c>
    </row>
    <row r="4927">
      <c r="A4927" s="24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5" t="n">
        <v>150.978372</v>
      </c>
    </row>
    <row r="4928">
      <c r="A4928" s="24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5" t="n">
        <v>117.939864</v>
      </c>
    </row>
    <row r="4929">
      <c r="A4929" s="24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5" t="n">
        <v>95.212636</v>
      </c>
    </row>
    <row r="4930">
      <c r="A4930" s="24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5" t="n">
        <v>77.441625</v>
      </c>
    </row>
    <row r="4931">
      <c r="A4931" s="24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5" t="n">
        <v>63.963218</v>
      </c>
    </row>
    <row r="4932">
      <c r="A4932" s="24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5" t="n">
        <v>82.00707</v>
      </c>
    </row>
    <row r="4933">
      <c r="A4933" s="24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5" t="n">
        <v>75.08325499999999</v>
      </c>
    </row>
    <row r="4934">
      <c r="A4934" s="24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5" t="n">
        <v>63.973985</v>
      </c>
    </row>
    <row r="4935">
      <c r="A4935" s="24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5" t="n">
        <v>97.82249299999999</v>
      </c>
    </row>
    <row r="4936">
      <c r="A4936" s="24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5" t="n">
        <v>82.49770100000001</v>
      </c>
    </row>
    <row r="4937">
      <c r="A4937" s="24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5" t="n">
        <v>74.16547799999999</v>
      </c>
    </row>
    <row r="4938">
      <c r="A4938" s="24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5" t="n">
        <v>59.159116</v>
      </c>
    </row>
    <row r="4939">
      <c r="A4939" s="24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5" t="n">
        <v>47.964353</v>
      </c>
    </row>
    <row r="4940">
      <c r="A4940" s="24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5" t="n">
        <v>64.00949</v>
      </c>
    </row>
    <row r="4941">
      <c r="A4941" s="24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5" t="n">
        <v>117.013905</v>
      </c>
    </row>
    <row r="4942">
      <c r="A4942" s="24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5" t="n">
        <v>132.060358</v>
      </c>
    </row>
    <row r="4943">
      <c r="A4943" s="24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5" t="n">
        <v>102.522905</v>
      </c>
    </row>
    <row r="4944">
      <c r="A4944" s="24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5" t="n">
        <v>112.053038</v>
      </c>
    </row>
    <row r="4945">
      <c r="A4945" s="24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5" t="n">
        <v>88.276292</v>
      </c>
    </row>
    <row r="4946">
      <c r="A4946" s="24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5" t="n">
        <v>67.71363599999999</v>
      </c>
    </row>
    <row r="4947">
      <c r="A4947" s="24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5" t="n">
        <v>53.829063</v>
      </c>
    </row>
    <row r="4948">
      <c r="A4948" s="24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5" t="n">
        <v>68.354068</v>
      </c>
    </row>
    <row r="4949">
      <c r="A4949" s="24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5" t="n">
        <v>59.337243</v>
      </c>
    </row>
    <row r="4950">
      <c r="A4950" s="24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5" t="n">
        <v>50.771574</v>
      </c>
    </row>
    <row r="4951">
      <c r="A4951" s="24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5" t="n">
        <v>101.07945</v>
      </c>
    </row>
    <row r="4952">
      <c r="A4952" s="24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5" t="n">
        <v>105.895099</v>
      </c>
    </row>
    <row r="4953">
      <c r="A4953" s="24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5" t="n">
        <v>84.26417600000001</v>
      </c>
    </row>
    <row r="4954">
      <c r="A4954" s="24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5" t="n">
        <v>102.244049</v>
      </c>
    </row>
    <row r="4955">
      <c r="A4955" s="24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5" t="n">
        <v>80.569693</v>
      </c>
    </row>
    <row r="4956">
      <c r="A4956" s="24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5" t="n">
        <v>63.488559</v>
      </c>
    </row>
    <row r="4957">
      <c r="A4957" s="24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5" t="n">
        <v>50.308106</v>
      </c>
    </row>
    <row r="4958">
      <c r="A4958" s="24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5" t="n">
        <v>40.600982</v>
      </c>
    </row>
    <row r="4959">
      <c r="A4959" s="24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5" t="n">
        <v>33.983747</v>
      </c>
    </row>
    <row r="4960">
      <c r="A4960" s="24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5" t="n">
        <v>28.454496</v>
      </c>
    </row>
    <row r="4961">
      <c r="A4961" s="24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5" t="n">
        <v>24.06764</v>
      </c>
    </row>
    <row r="4962">
      <c r="A4962" s="24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5" t="n">
        <v>20.600219</v>
      </c>
    </row>
    <row r="4963">
      <c r="A4963" s="24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5" t="n">
        <v>17.982546</v>
      </c>
    </row>
    <row r="4964">
      <c r="A4964" s="24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5" t="n">
        <v>15.751924</v>
      </c>
    </row>
    <row r="4965">
      <c r="A4965" s="24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5" t="n">
        <v>29.445311</v>
      </c>
    </row>
    <row r="4966">
      <c r="A4966" s="24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5" t="n">
        <v>24.875862</v>
      </c>
    </row>
    <row r="4967">
      <c r="A4967" s="24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5" t="n">
        <v>19.962365</v>
      </c>
    </row>
    <row r="4968">
      <c r="A4968" s="24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5" t="n">
        <v>25.353023</v>
      </c>
    </row>
    <row r="4969">
      <c r="A4969" s="24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5" t="n">
        <v>21.480619</v>
      </c>
    </row>
    <row r="4970">
      <c r="A4970" s="24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5" t="n">
        <v>17.116363</v>
      </c>
    </row>
    <row r="4971">
      <c r="A4971" s="24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5" t="n">
        <v>14.234516</v>
      </c>
    </row>
    <row r="4972">
      <c r="A4972" s="24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5" t="n">
        <v>26.582141</v>
      </c>
    </row>
    <row r="4973">
      <c r="A4973" s="24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5" t="n">
        <v>27.410851</v>
      </c>
    </row>
    <row r="4974">
      <c r="A4974" s="24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5" t="n">
        <v>22.680308</v>
      </c>
    </row>
    <row r="4975">
      <c r="A4975" s="24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5" t="n">
        <v>25.401717</v>
      </c>
    </row>
    <row r="4976">
      <c r="A4976" s="24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5" t="n">
        <v>20.462506</v>
      </c>
    </row>
    <row r="4977">
      <c r="A4977" s="24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5" t="n">
        <v>16.14783</v>
      </c>
    </row>
    <row r="4978">
      <c r="A4978" s="24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5" t="n">
        <v>14.912811</v>
      </c>
    </row>
    <row r="4979">
      <c r="A4979" s="24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5" t="n">
        <v>34.197435</v>
      </c>
    </row>
    <row r="4980">
      <c r="A4980" s="24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5" t="n">
        <v>37.824063</v>
      </c>
    </row>
    <row r="4981">
      <c r="A4981" s="24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5" t="n">
        <v>29.116624</v>
      </c>
    </row>
    <row r="4982">
      <c r="A4982" s="24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5" t="n">
        <v>23.52168</v>
      </c>
    </row>
    <row r="4983">
      <c r="A4983" s="24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5" t="n">
        <v>31.361622</v>
      </c>
    </row>
    <row r="4984">
      <c r="A4984" s="24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5" t="n">
        <v>25.339694</v>
      </c>
    </row>
    <row r="4985">
      <c r="A4985" s="24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5" t="n">
        <v>19.465501</v>
      </c>
    </row>
    <row r="4986">
      <c r="A4986" s="24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5" t="n">
        <v>15.470552</v>
      </c>
    </row>
    <row r="4987">
      <c r="A4987" s="24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5" t="n">
        <v>12.822019</v>
      </c>
    </row>
    <row r="4988">
      <c r="A4988" s="24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5" t="n">
        <v>11.981937</v>
      </c>
    </row>
    <row r="4989">
      <c r="A4989" s="24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5" t="n">
        <v>14.105814</v>
      </c>
    </row>
    <row r="4990">
      <c r="A4990" s="24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5" t="n">
        <v>42.378494</v>
      </c>
    </row>
    <row r="4991">
      <c r="A4991" s="24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5" t="n">
        <v>42.873368</v>
      </c>
    </row>
    <row r="4992">
      <c r="A4992" s="24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5" t="n">
        <v>33.352608</v>
      </c>
    </row>
    <row r="4993">
      <c r="A4993" s="24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5" t="n">
        <v>28.027496</v>
      </c>
    </row>
    <row r="4994">
      <c r="A4994" s="24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5" t="n">
        <v>24.905504</v>
      </c>
    </row>
    <row r="4995">
      <c r="A4995" s="24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5" t="n">
        <v>29.129721</v>
      </c>
    </row>
    <row r="4996">
      <c r="A4996" s="24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5" t="n">
        <v>23.241629</v>
      </c>
    </row>
    <row r="4997">
      <c r="A4997" s="24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5" t="n">
        <v>18.562054</v>
      </c>
    </row>
    <row r="4998">
      <c r="A4998" s="24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5" t="n">
        <v>17.746408</v>
      </c>
    </row>
    <row r="4999">
      <c r="A4999" s="24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5" t="n">
        <v>19.911568</v>
      </c>
    </row>
    <row r="5000">
      <c r="A5000" s="24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5" t="n">
        <v>17.246559</v>
      </c>
    </row>
    <row r="5001">
      <c r="A5001" s="24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5" t="n">
        <v>13.836261</v>
      </c>
    </row>
    <row r="5002">
      <c r="A5002" s="24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5" t="n">
        <v>15.960973</v>
      </c>
    </row>
    <row r="5003">
      <c r="A5003" s="24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5" t="n">
        <v>13.754128</v>
      </c>
    </row>
    <row r="5004">
      <c r="A5004" s="24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5" t="n">
        <v>12.013359</v>
      </c>
    </row>
    <row r="5005">
      <c r="A5005" s="24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5" t="n">
        <v>13.007533</v>
      </c>
    </row>
    <row r="5006">
      <c r="A5006" s="24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5" t="n">
        <v>25.963021</v>
      </c>
    </row>
    <row r="5007">
      <c r="A5007" s="24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5" t="n">
        <v>21.209067</v>
      </c>
    </row>
    <row r="5008">
      <c r="A5008" s="24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5" t="n">
        <v>15.758389</v>
      </c>
    </row>
    <row r="5009">
      <c r="A5009" s="24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5" t="n">
        <v>12.257276</v>
      </c>
    </row>
    <row r="5010">
      <c r="A5010" s="24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5" t="n">
        <v>9.820005999999999</v>
      </c>
    </row>
    <row r="5011">
      <c r="A5011" s="24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5" t="n">
        <v>8.042277</v>
      </c>
    </row>
    <row r="5012">
      <c r="A5012" s="24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5" t="n">
        <v>6.756064</v>
      </c>
    </row>
    <row r="5013">
      <c r="A5013" s="24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5" t="n">
        <v>5.708565</v>
      </c>
    </row>
    <row r="5014">
      <c r="A5014" s="24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5" t="n">
        <v>4.872703</v>
      </c>
    </row>
    <row r="5015">
      <c r="A5015" s="24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5" t="n">
        <v>4.264947</v>
      </c>
    </row>
    <row r="5016">
      <c r="A5016" s="24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5" t="n">
        <v>3.928046</v>
      </c>
    </row>
    <row r="5017">
      <c r="A5017" s="24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5" t="n">
        <v>3.708409</v>
      </c>
    </row>
    <row r="5018">
      <c r="A5018" s="24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5" t="n">
        <v>3.149831</v>
      </c>
    </row>
    <row r="5019">
      <c r="A5019" s="24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5" t="n">
        <v>2.675417</v>
      </c>
    </row>
    <row r="5020">
      <c r="A5020" s="24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5" t="n">
        <v>2.349314</v>
      </c>
    </row>
    <row r="5021">
      <c r="A5021" s="24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5" t="n">
        <v>2.125092</v>
      </c>
    </row>
    <row r="5022">
      <c r="A5022" s="24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5" t="n">
        <v>40.20929</v>
      </c>
    </row>
    <row r="5023">
      <c r="A5023" s="24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5" t="n">
        <v>49.838474</v>
      </c>
    </row>
    <row r="5024">
      <c r="A5024" s="24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5" t="n">
        <v>36.358264</v>
      </c>
    </row>
    <row r="5025">
      <c r="A5025" s="24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5" t="n">
        <v>26.223915</v>
      </c>
    </row>
    <row r="5026">
      <c r="A5026" s="24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5" t="n">
        <v>19.787611</v>
      </c>
    </row>
    <row r="5027">
      <c r="A5027" s="24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5" t="n">
        <v>15.37361</v>
      </c>
    </row>
    <row r="5028">
      <c r="A5028" s="24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5" t="n">
        <v>12.222271</v>
      </c>
    </row>
    <row r="5029">
      <c r="A5029" s="24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5" t="n">
        <v>9.904604000000001</v>
      </c>
    </row>
    <row r="5030">
      <c r="A5030" s="24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5" t="n">
        <v>8.159117999999999</v>
      </c>
    </row>
    <row r="5031">
      <c r="A5031" s="24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5" t="n">
        <v>6.81634</v>
      </c>
    </row>
    <row r="5032">
      <c r="A5032" s="24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5" t="n">
        <v>5.762824</v>
      </c>
    </row>
    <row r="5033">
      <c r="A5033" s="24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5" t="n">
        <v>4.974912</v>
      </c>
    </row>
    <row r="5034">
      <c r="A5034" s="24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5" t="n">
        <v>4.278152</v>
      </c>
    </row>
    <row r="5035">
      <c r="A5035" s="24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5" t="n">
        <v>3.696095</v>
      </c>
    </row>
    <row r="5036">
      <c r="A5036" s="24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5" t="n">
        <v>3.223542</v>
      </c>
    </row>
    <row r="5037">
      <c r="A5037" s="24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5" t="n">
        <v>2.828389</v>
      </c>
    </row>
    <row r="5038">
      <c r="A5038" s="24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5" t="n">
        <v>2.494128</v>
      </c>
    </row>
    <row r="5039">
      <c r="A5039" s="24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5" t="n">
        <v>2.26237</v>
      </c>
    </row>
    <row r="5040">
      <c r="A5040" s="24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5" t="n">
        <v>2.198742</v>
      </c>
    </row>
    <row r="5041">
      <c r="A5041" s="24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5" t="n">
        <v>1.917417</v>
      </c>
    </row>
    <row r="5042">
      <c r="A5042" s="24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5" t="n">
        <v>1.831561</v>
      </c>
    </row>
    <row r="5043">
      <c r="A5043" s="24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5" t="n">
        <v>1.780934</v>
      </c>
    </row>
    <row r="5044">
      <c r="A5044" s="24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5" t="n">
        <v>1.61191</v>
      </c>
    </row>
    <row r="5045">
      <c r="A5045" s="24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5" t="n">
        <v>1.399516</v>
      </c>
    </row>
    <row r="5046">
      <c r="A5046" s="24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5" t="n">
        <v>1.197724</v>
      </c>
    </row>
    <row r="5047">
      <c r="A5047" s="24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5" t="n">
        <v>1.347212</v>
      </c>
    </row>
    <row r="5048">
      <c r="A5048" s="24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5" t="n">
        <v>1.494935</v>
      </c>
    </row>
    <row r="5049">
      <c r="A5049" s="24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5" t="n">
        <v>3.73439</v>
      </c>
    </row>
    <row r="5050">
      <c r="A5050" s="24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5" t="n">
        <v>3.10525</v>
      </c>
    </row>
    <row r="5051">
      <c r="A5051" s="24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5" t="n">
        <v>2.897214</v>
      </c>
    </row>
    <row r="5052">
      <c r="A5052" s="24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5" t="n">
        <v>3.604291</v>
      </c>
    </row>
    <row r="5053">
      <c r="A5053" s="24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5" t="n">
        <v>9.192028000000001</v>
      </c>
    </row>
    <row r="5054">
      <c r="A5054" s="24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5" t="n">
        <v>7.303101</v>
      </c>
    </row>
    <row r="5055">
      <c r="A5055" s="24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5" t="n">
        <v>5.255339</v>
      </c>
    </row>
    <row r="5056">
      <c r="A5056" s="24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5" t="n">
        <v>3.990593</v>
      </c>
    </row>
    <row r="5057">
      <c r="A5057" s="24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5" t="n">
        <v>3.126492</v>
      </c>
    </row>
    <row r="5058">
      <c r="A5058" s="24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5" t="n">
        <v>2.509151</v>
      </c>
    </row>
    <row r="5059">
      <c r="A5059" s="24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5" t="n">
        <v>2.052847</v>
      </c>
    </row>
    <row r="5060">
      <c r="A5060" s="24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5" t="n">
        <v>1.93296</v>
      </c>
    </row>
    <row r="5061">
      <c r="A5061" s="24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5" t="n">
        <v>2.323972</v>
      </c>
    </row>
    <row r="5062">
      <c r="A5062" s="24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5" t="n">
        <v>14.028794</v>
      </c>
    </row>
    <row r="5063">
      <c r="A5063" s="24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5" t="n">
        <v>16.814744</v>
      </c>
    </row>
    <row r="5064">
      <c r="A5064" s="24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5" t="n">
        <v>15.6244</v>
      </c>
    </row>
    <row r="5065">
      <c r="A5065" s="24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5" t="n">
        <v>12.056942</v>
      </c>
    </row>
    <row r="5066">
      <c r="A5066" s="24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5" t="n">
        <v>9.155354000000001</v>
      </c>
    </row>
    <row r="5067">
      <c r="A5067" s="24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5" t="n">
        <v>7.029114</v>
      </c>
    </row>
    <row r="5068">
      <c r="A5068" s="24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5" t="n">
        <v>5.525277</v>
      </c>
    </row>
    <row r="5069">
      <c r="A5069" s="24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5" t="n">
        <v>4.439744</v>
      </c>
    </row>
    <row r="5070">
      <c r="A5070" s="24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5" t="n">
        <v>3.631605</v>
      </c>
    </row>
    <row r="5071">
      <c r="A5071" s="24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5" t="n">
        <v>3.037629</v>
      </c>
    </row>
    <row r="5072">
      <c r="A5072" s="24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5" t="n">
        <v>2.588572</v>
      </c>
    </row>
    <row r="5073">
      <c r="A5073" s="24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5" t="n">
        <v>2.234112</v>
      </c>
    </row>
    <row r="5074">
      <c r="A5074" s="24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5" t="n">
        <v>1.912494</v>
      </c>
    </row>
    <row r="5075">
      <c r="A5075" s="24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5" t="n">
        <v>1.749674</v>
      </c>
    </row>
    <row r="5076">
      <c r="A5076" s="24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5" t="n">
        <v>1.599046</v>
      </c>
    </row>
    <row r="5077">
      <c r="A5077" s="24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5" t="n">
        <v>1.848906</v>
      </c>
    </row>
    <row r="5078">
      <c r="A5078" s="24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5" t="n">
        <v>6.555099</v>
      </c>
    </row>
    <row r="5079">
      <c r="A5079" s="24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5" t="n">
        <v>12.822097</v>
      </c>
    </row>
    <row r="5080">
      <c r="A5080" s="24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5" t="n">
        <v>15.089743</v>
      </c>
    </row>
    <row r="5081">
      <c r="A5081" s="24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5" t="n">
        <v>11.567941</v>
      </c>
    </row>
    <row r="5082">
      <c r="A5082" s="24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5" t="n">
        <v>12.691475</v>
      </c>
    </row>
    <row r="5083">
      <c r="A5083" s="24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5" t="n">
        <v>21.930046</v>
      </c>
    </row>
    <row r="5084">
      <c r="A5084" s="24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5" t="n">
        <v>17.474607</v>
      </c>
    </row>
    <row r="5085">
      <c r="A5085" s="24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5" t="n">
        <v>16.93983</v>
      </c>
    </row>
    <row r="5086">
      <c r="A5086" s="24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5" t="n">
        <v>14.246232</v>
      </c>
    </row>
    <row r="5087">
      <c r="A5087" s="24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5" t="n">
        <v>15.081818</v>
      </c>
    </row>
    <row r="5088">
      <c r="A5088" s="24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5" t="n">
        <v>16.987419</v>
      </c>
    </row>
    <row r="5089">
      <c r="A5089" s="24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5" t="n">
        <v>13.508091</v>
      </c>
    </row>
    <row r="5090">
      <c r="A5090" s="24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5" t="n">
        <v>13.335219</v>
      </c>
    </row>
    <row r="5091">
      <c r="A5091" s="24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5" t="n">
        <v>13.040122</v>
      </c>
    </row>
    <row r="5092">
      <c r="A5092" s="24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5" t="n">
        <v>16.882835</v>
      </c>
    </row>
    <row r="5093">
      <c r="A5093" s="24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5" t="n">
        <v>16.958434</v>
      </c>
    </row>
    <row r="5094">
      <c r="A5094" s="24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5" t="n">
        <v>14.121405</v>
      </c>
    </row>
    <row r="5095">
      <c r="A5095" s="24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5" t="n">
        <v>12.007804</v>
      </c>
    </row>
    <row r="5096">
      <c r="A5096" s="24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5" t="n">
        <v>9.829292000000001</v>
      </c>
    </row>
    <row r="5097">
      <c r="A5097" s="24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5" t="n">
        <v>7.812693</v>
      </c>
    </row>
    <row r="5098">
      <c r="A5098" s="24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5" t="n">
        <v>7.720276</v>
      </c>
    </row>
    <row r="5099">
      <c r="A5099" s="24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5" t="n">
        <v>8.582599999999999</v>
      </c>
    </row>
    <row r="5100">
      <c r="A5100" s="24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5" t="n">
        <v>9.286757</v>
      </c>
    </row>
    <row r="5101">
      <c r="A5101" s="24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5" t="n">
        <v>8.034810999999999</v>
      </c>
    </row>
    <row r="5102">
      <c r="A5102" s="24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5" t="n">
        <v>8.546609</v>
      </c>
    </row>
    <row r="5103">
      <c r="A5103" s="24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5" t="n">
        <v>10.591933</v>
      </c>
    </row>
    <row r="5104">
      <c r="A5104" s="24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5" t="n">
        <v>9.049279</v>
      </c>
    </row>
    <row r="5105">
      <c r="A5105" s="24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5" t="n">
        <v>7.383202</v>
      </c>
    </row>
    <row r="5106">
      <c r="A5106" s="24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5" t="n">
        <v>9.078374</v>
      </c>
    </row>
    <row r="5107">
      <c r="A5107" s="24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5" t="n">
        <v>12.557737</v>
      </c>
    </row>
    <row r="5108">
      <c r="A5108" s="24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5" t="n">
        <v>12.450742</v>
      </c>
    </row>
    <row r="5109">
      <c r="A5109" s="24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5" t="n">
        <v>15.865911</v>
      </c>
    </row>
    <row r="5110">
      <c r="A5110" s="24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5" t="n">
        <v>15.353939</v>
      </c>
    </row>
    <row r="5111">
      <c r="A5111" s="24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5" t="n">
        <v>14.336147</v>
      </c>
    </row>
    <row r="5112">
      <c r="A5112" s="24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5" t="n">
        <v>14.525954</v>
      </c>
    </row>
    <row r="5113">
      <c r="A5113" s="24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5" t="n">
        <v>11.562901</v>
      </c>
    </row>
    <row r="5114">
      <c r="A5114" s="24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5" t="n">
        <v>9.93783</v>
      </c>
    </row>
    <row r="5115">
      <c r="A5115" s="24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5" t="n">
        <v>8.5497</v>
      </c>
    </row>
    <row r="5116">
      <c r="A5116" s="24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5" t="n">
        <v>9.841132</v>
      </c>
    </row>
    <row r="5117">
      <c r="A5117" s="24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5" t="n">
        <v>10.595678</v>
      </c>
    </row>
    <row r="5118">
      <c r="A5118" s="24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5" t="n">
        <v>12.411675</v>
      </c>
    </row>
    <row r="5119">
      <c r="A5119" s="24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5" t="n">
        <v>11.621374</v>
      </c>
    </row>
    <row r="5120">
      <c r="A5120" s="24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5" t="n">
        <v>20.747484</v>
      </c>
    </row>
    <row r="5121">
      <c r="A5121" s="24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5" t="n">
        <v>30.061613</v>
      </c>
    </row>
    <row r="5122">
      <c r="A5122" s="24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5" t="n">
        <v>28.802828</v>
      </c>
    </row>
    <row r="5123">
      <c r="A5123" s="24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5" t="n">
        <v>21.79333</v>
      </c>
    </row>
    <row r="5124">
      <c r="A5124" s="24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5" t="n">
        <v>18.534284</v>
      </c>
    </row>
    <row r="5125">
      <c r="A5125" s="24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5" t="n">
        <v>22.93451</v>
      </c>
    </row>
    <row r="5126">
      <c r="A5126" s="24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5" t="n">
        <v>23.518522</v>
      </c>
    </row>
    <row r="5127">
      <c r="A5127" s="24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5" t="n">
        <v>19.067611</v>
      </c>
    </row>
    <row r="5128">
      <c r="A5128" s="24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5" t="n">
        <v>15.037928</v>
      </c>
    </row>
    <row r="5129">
      <c r="A5129" s="24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5" t="n">
        <v>15.161844</v>
      </c>
    </row>
    <row r="5130">
      <c r="A5130" s="24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5" t="n">
        <v>20.420833</v>
      </c>
    </row>
    <row r="5131">
      <c r="A5131" s="24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5" t="n">
        <v>20.551362</v>
      </c>
    </row>
    <row r="5132">
      <c r="A5132" s="24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5" t="n">
        <v>16.410192</v>
      </c>
    </row>
    <row r="5133">
      <c r="A5133" s="24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5" t="n">
        <v>12.730903</v>
      </c>
    </row>
    <row r="5134">
      <c r="A5134" s="24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5" t="n">
        <v>40.993663</v>
      </c>
    </row>
    <row r="5135">
      <c r="A5135" s="24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5" t="n">
        <v>41.819925</v>
      </c>
    </row>
    <row r="5136">
      <c r="A5136" s="24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5" t="n">
        <v>77.265674</v>
      </c>
    </row>
    <row r="5137">
      <c r="A5137" s="24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5" t="n">
        <v>79.695498</v>
      </c>
    </row>
    <row r="5138">
      <c r="A5138" s="24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5" t="n">
        <v>87.43374300000001</v>
      </c>
    </row>
    <row r="5139">
      <c r="A5139" s="24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5" t="n">
        <v>78.71879300000001</v>
      </c>
    </row>
    <row r="5140">
      <c r="A5140" s="24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5" t="n">
        <v>66.683369</v>
      </c>
    </row>
    <row r="5141">
      <c r="A5141" s="24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5" t="n">
        <v>50.821847</v>
      </c>
    </row>
    <row r="5142">
      <c r="A5142" s="24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5" t="n">
        <v>39.118335</v>
      </c>
    </row>
    <row r="5143">
      <c r="A5143" s="24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5" t="n">
        <v>31.03645</v>
      </c>
    </row>
    <row r="5144">
      <c r="A5144" s="24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5" t="n">
        <v>26.600323</v>
      </c>
    </row>
    <row r="5145">
      <c r="A5145" s="24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5" t="n">
        <v>59.423549</v>
      </c>
    </row>
    <row r="5146">
      <c r="A5146" s="24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5" t="n">
        <v>48.276334</v>
      </c>
    </row>
    <row r="5147">
      <c r="A5147" s="24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5" t="n">
        <v>36.169735</v>
      </c>
    </row>
    <row r="5148">
      <c r="A5148" s="24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5" t="n">
        <v>28.609318</v>
      </c>
    </row>
    <row r="5149">
      <c r="A5149" s="24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5" t="n">
        <v>83.268649</v>
      </c>
    </row>
    <row r="5150">
      <c r="A5150" s="24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5" t="n">
        <v>111.551711</v>
      </c>
    </row>
    <row r="5151">
      <c r="A5151" s="24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5" t="n">
        <v>83.631156</v>
      </c>
    </row>
    <row r="5152">
      <c r="A5152" s="24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5" t="n">
        <v>69.293978</v>
      </c>
    </row>
    <row r="5153">
      <c r="A5153" s="24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5" t="n">
        <v>114.3514</v>
      </c>
    </row>
    <row r="5154">
      <c r="A5154" s="24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5" t="n">
        <v>122.69319</v>
      </c>
    </row>
    <row r="5155">
      <c r="A5155" s="24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5" t="n">
        <v>127.780761</v>
      </c>
    </row>
    <row r="5156">
      <c r="A5156" s="24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5" t="n">
        <v>129.539453</v>
      </c>
    </row>
    <row r="5157">
      <c r="A5157" s="24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5" t="n">
        <v>105.409488</v>
      </c>
    </row>
    <row r="5158">
      <c r="A5158" s="24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5" t="n">
        <v>82.61707699999999</v>
      </c>
    </row>
    <row r="5159">
      <c r="A5159" s="24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5" t="n">
        <v>66.666585</v>
      </c>
    </row>
    <row r="5160">
      <c r="A5160" s="24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5" t="n">
        <v>53.034675</v>
      </c>
    </row>
    <row r="5161">
      <c r="A5161" s="24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5" t="n">
        <v>49.052845</v>
      </c>
    </row>
    <row r="5162">
      <c r="A5162" s="24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5" t="n">
        <v>83.250224</v>
      </c>
    </row>
    <row r="5163">
      <c r="A5163" s="24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5" t="n">
        <v>84.675718</v>
      </c>
    </row>
    <row r="5164">
      <c r="A5164" s="24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5" t="n">
        <v>64.8129</v>
      </c>
    </row>
    <row r="5165">
      <c r="A5165" s="24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5" t="n">
        <v>49.941009</v>
      </c>
    </row>
    <row r="5166">
      <c r="A5166" s="24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5" t="n">
        <v>47.844675</v>
      </c>
    </row>
    <row r="5167">
      <c r="A5167" s="24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5" t="n">
        <v>49.227471</v>
      </c>
    </row>
    <row r="5168">
      <c r="A5168" s="24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5" t="n">
        <v>97.689931</v>
      </c>
    </row>
    <row r="5169">
      <c r="A5169" s="24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5" t="n">
        <v>134.308929</v>
      </c>
    </row>
    <row r="5170">
      <c r="A5170" s="24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5" t="n">
        <v>199.931511</v>
      </c>
    </row>
    <row r="5171">
      <c r="A5171" s="24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5" t="n">
        <v>211.122246</v>
      </c>
    </row>
    <row r="5172">
      <c r="A5172" s="24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5" t="n">
        <v>185.629118</v>
      </c>
    </row>
    <row r="5173">
      <c r="A5173" s="24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5" t="n">
        <v>174.93854</v>
      </c>
    </row>
    <row r="5174">
      <c r="A5174" s="24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5" t="n">
        <v>160.216188</v>
      </c>
    </row>
    <row r="5175">
      <c r="A5175" s="24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5" t="n">
        <v>124.248032</v>
      </c>
    </row>
    <row r="5176">
      <c r="A5176" s="24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5" t="n">
        <v>100.552641</v>
      </c>
    </row>
    <row r="5177">
      <c r="A5177" s="24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5" t="n">
        <v>81.713246</v>
      </c>
    </row>
    <row r="5178">
      <c r="A5178" s="24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5" t="n">
        <v>78.45061</v>
      </c>
    </row>
    <row r="5179">
      <c r="A5179" s="24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5" t="n">
        <v>119.760701</v>
      </c>
    </row>
    <row r="5180">
      <c r="A5180" s="24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5" t="n">
        <v>116.783787</v>
      </c>
    </row>
    <row r="5181">
      <c r="A5181" s="24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5" t="n">
        <v>165.066949</v>
      </c>
    </row>
    <row r="5182">
      <c r="A5182" s="24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5" t="n">
        <v>185.396637</v>
      </c>
    </row>
    <row r="5183">
      <c r="A5183" s="24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5" t="n">
        <v>181.913872</v>
      </c>
    </row>
    <row r="5184">
      <c r="A5184" s="24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5" t="n">
        <v>182.28083</v>
      </c>
    </row>
    <row r="5185">
      <c r="A5185" s="24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5" t="n">
        <v>140.911977</v>
      </c>
    </row>
    <row r="5186">
      <c r="A5186" s="24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5" t="n">
        <v>108.854672</v>
      </c>
    </row>
    <row r="5187">
      <c r="A5187" s="24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5" t="n">
        <v>87.78559300000001</v>
      </c>
    </row>
    <row r="5188">
      <c r="A5188" s="24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5" t="n">
        <v>72.548483</v>
      </c>
    </row>
    <row r="5189">
      <c r="A5189" s="24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5" t="n">
        <v>61.426774</v>
      </c>
    </row>
    <row r="5190">
      <c r="A5190" s="24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5" t="n">
        <v>51.092702</v>
      </c>
    </row>
    <row r="5191">
      <c r="A5191" s="24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5" t="n">
        <v>47.516591</v>
      </c>
    </row>
    <row r="5192">
      <c r="A5192" s="24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5" t="n">
        <v>40.204831</v>
      </c>
    </row>
    <row r="5193">
      <c r="A5193" s="24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5" t="n">
        <v>33.776855</v>
      </c>
    </row>
    <row r="5194">
      <c r="A5194" s="24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5" t="n">
        <v>28.822726</v>
      </c>
    </row>
    <row r="5195">
      <c r="A5195" s="24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5" t="n">
        <v>24.869903</v>
      </c>
    </row>
    <row r="5196">
      <c r="A5196" s="24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5" t="n">
        <v>28.668698</v>
      </c>
    </row>
    <row r="5197">
      <c r="A5197" s="24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5" t="n">
        <v>32.601006</v>
      </c>
    </row>
    <row r="5198">
      <c r="A5198" s="24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5" t="n">
        <v>91.981043</v>
      </c>
    </row>
    <row r="5199">
      <c r="A5199" s="24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5" t="n">
        <v>126.790581</v>
      </c>
    </row>
    <row r="5200">
      <c r="A5200" s="24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5" t="n">
        <v>141.738108</v>
      </c>
    </row>
    <row r="5201">
      <c r="A5201" s="24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5" t="n">
        <v>108.14158</v>
      </c>
    </row>
    <row r="5202">
      <c r="A5202" s="24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5" t="n">
        <v>81.980311</v>
      </c>
    </row>
    <row r="5203">
      <c r="A5203" s="24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5" t="n">
        <v>66.021931</v>
      </c>
    </row>
    <row r="5204">
      <c r="A5204" s="24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5" t="n">
        <v>57.245858</v>
      </c>
    </row>
    <row r="5205">
      <c r="A5205" s="24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5" t="n">
        <v>56.498416</v>
      </c>
    </row>
    <row r="5206">
      <c r="A5206" s="24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5" t="n">
        <v>45.689425</v>
      </c>
    </row>
    <row r="5207">
      <c r="A5207" s="24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5" t="n">
        <v>99.256388</v>
      </c>
    </row>
    <row r="5208">
      <c r="A5208" s="24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5" t="n">
        <v>135.723643</v>
      </c>
    </row>
    <row r="5209">
      <c r="A5209" s="24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5" t="n">
        <v>135.710422</v>
      </c>
    </row>
    <row r="5210">
      <c r="A5210" s="24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5" t="n">
        <v>114.284361</v>
      </c>
    </row>
    <row r="5211">
      <c r="A5211" s="24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5" t="n">
        <v>106.365103</v>
      </c>
    </row>
    <row r="5212">
      <c r="A5212" s="24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5" t="n">
        <v>94.988619</v>
      </c>
    </row>
    <row r="5213">
      <c r="A5213" s="24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5" t="n">
        <v>85.543826</v>
      </c>
    </row>
    <row r="5214">
      <c r="A5214" s="24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5" t="n">
        <v>67.553949</v>
      </c>
    </row>
    <row r="5215">
      <c r="A5215" s="24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5" t="n">
        <v>53.317126</v>
      </c>
    </row>
    <row r="5216">
      <c r="A5216" s="24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5" t="n">
        <v>43.202936</v>
      </c>
    </row>
    <row r="5217">
      <c r="A5217" s="24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5" t="n">
        <v>36.227186</v>
      </c>
    </row>
    <row r="5218">
      <c r="A5218" s="24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5" t="n">
        <v>38.966887</v>
      </c>
    </row>
    <row r="5219">
      <c r="A5219" s="24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5" t="n">
        <v>35.327207</v>
      </c>
    </row>
    <row r="5220">
      <c r="A5220" s="24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5" t="n">
        <v>29.836913</v>
      </c>
    </row>
    <row r="5221">
      <c r="A5221" s="24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5" t="n">
        <v>75.99598899999999</v>
      </c>
    </row>
    <row r="5222">
      <c r="A5222" s="24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5" t="n">
        <v>106.069875</v>
      </c>
    </row>
    <row r="5223">
      <c r="A5223" s="24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5" t="n">
        <v>81.015595</v>
      </c>
    </row>
    <row r="5224">
      <c r="A5224" s="24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5" t="n">
        <v>59.999439</v>
      </c>
    </row>
    <row r="5225">
      <c r="A5225" s="24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5" t="n">
        <v>99.44005</v>
      </c>
    </row>
    <row r="5226">
      <c r="A5226" s="24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5" t="n">
        <v>84.39185500000001</v>
      </c>
    </row>
    <row r="5227">
      <c r="A5227" s="24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5" t="n">
        <v>63.881349</v>
      </c>
    </row>
    <row r="5228">
      <c r="A5228" s="24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5" t="n">
        <v>109.384299</v>
      </c>
    </row>
    <row r="5229">
      <c r="A5229" s="24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5" t="n">
        <v>118.165202</v>
      </c>
    </row>
    <row r="5230">
      <c r="A5230" s="24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5" t="n">
        <v>89.56725299999999</v>
      </c>
    </row>
    <row r="5231">
      <c r="A5231" s="24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5" t="n">
        <v>68.232519</v>
      </c>
    </row>
    <row r="5232">
      <c r="A5232" s="24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5" t="n">
        <v>67.86815199999999</v>
      </c>
    </row>
    <row r="5233">
      <c r="A5233" s="24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5" t="n">
        <v>58.048394</v>
      </c>
    </row>
    <row r="5234">
      <c r="A5234" s="24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5" t="n">
        <v>83.43834200000001</v>
      </c>
    </row>
    <row r="5235">
      <c r="A5235" s="24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5" t="n">
        <v>80.876352</v>
      </c>
    </row>
    <row r="5236">
      <c r="A5236" s="24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5" t="n">
        <v>78.884776</v>
      </c>
    </row>
    <row r="5237">
      <c r="A5237" s="24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5" t="n">
        <v>117.467606</v>
      </c>
    </row>
    <row r="5238">
      <c r="A5238" s="24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5" t="n">
        <v>134.995168</v>
      </c>
    </row>
    <row r="5239">
      <c r="A5239" s="24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5" t="n">
        <v>103.500363</v>
      </c>
    </row>
    <row r="5240">
      <c r="A5240" s="24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5" t="n">
        <v>136.111605</v>
      </c>
    </row>
    <row r="5241">
      <c r="A5241" s="24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5" t="n">
        <v>125.64675</v>
      </c>
    </row>
    <row r="5242">
      <c r="A5242" s="24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5" t="n">
        <v>94.67730400000001</v>
      </c>
    </row>
    <row r="5243">
      <c r="A5243" s="24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5" t="n">
        <v>90.42215299999999</v>
      </c>
    </row>
    <row r="5244">
      <c r="A5244" s="24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5" t="n">
        <v>71.76379</v>
      </c>
    </row>
    <row r="5245">
      <c r="A5245" s="24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5" t="n">
        <v>56.479342</v>
      </c>
    </row>
    <row r="5246">
      <c r="A5246" s="24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5" t="n">
        <v>45.722553</v>
      </c>
    </row>
    <row r="5247">
      <c r="A5247" s="24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5" t="n">
        <v>37.728443</v>
      </c>
    </row>
    <row r="5248">
      <c r="A5248" s="24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5" t="n">
        <v>31.761623</v>
      </c>
    </row>
    <row r="5249">
      <c r="A5249" s="24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5" t="n">
        <v>27.889072</v>
      </c>
    </row>
    <row r="5250">
      <c r="A5250" s="24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5" t="n">
        <v>82.02794</v>
      </c>
    </row>
    <row r="5251">
      <c r="A5251" s="24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5" t="n">
        <v>81.43243</v>
      </c>
    </row>
    <row r="5252">
      <c r="A5252" s="24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5" t="n">
        <v>60.496311</v>
      </c>
    </row>
    <row r="5253">
      <c r="A5253" s="24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5" t="n">
        <v>46.621639</v>
      </c>
    </row>
    <row r="5254">
      <c r="A5254" s="24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5" t="n">
        <v>37.026998</v>
      </c>
    </row>
    <row r="5255">
      <c r="A5255" s="24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5" t="n">
        <v>30.106536</v>
      </c>
    </row>
    <row r="5256">
      <c r="A5256" s="24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5" t="n">
        <v>24.935394</v>
      </c>
    </row>
    <row r="5257">
      <c r="A5257" s="24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5" t="n">
        <v>20.97273</v>
      </c>
    </row>
    <row r="5258">
      <c r="A5258" s="24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5" t="n">
        <v>21.612827</v>
      </c>
    </row>
    <row r="5259">
      <c r="A5259" s="24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5" t="n">
        <v>47.573835</v>
      </c>
    </row>
    <row r="5260">
      <c r="A5260" s="24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5" t="n">
        <v>38.462104</v>
      </c>
    </row>
    <row r="5261">
      <c r="A5261" s="24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5" t="n">
        <v>28.952442</v>
      </c>
    </row>
    <row r="5262">
      <c r="A5262" s="24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5" t="n">
        <v>22.946294</v>
      </c>
    </row>
    <row r="5263">
      <c r="A5263" s="24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5" t="n">
        <v>18.70014</v>
      </c>
    </row>
    <row r="5264">
      <c r="A5264" s="24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5" t="n">
        <v>15.556461</v>
      </c>
    </row>
    <row r="5265">
      <c r="A5265" s="24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5" t="n">
        <v>47.666537</v>
      </c>
    </row>
    <row r="5266">
      <c r="A5266" s="24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5" t="n">
        <v>51.634682</v>
      </c>
    </row>
    <row r="5267">
      <c r="A5267" s="24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5" t="n">
        <v>45.815003</v>
      </c>
    </row>
    <row r="5268">
      <c r="A5268" s="24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5" t="n">
        <v>37.139407</v>
      </c>
    </row>
    <row r="5269">
      <c r="A5269" s="24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5" t="n">
        <v>28.639911</v>
      </c>
    </row>
    <row r="5270">
      <c r="A5270" s="24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5" t="n">
        <v>22.597567</v>
      </c>
    </row>
    <row r="5271">
      <c r="A5271" s="24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5" t="n">
        <v>18.304295</v>
      </c>
    </row>
    <row r="5272">
      <c r="A5272" s="24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5" t="n">
        <v>22.318898</v>
      </c>
    </row>
    <row r="5273">
      <c r="A5273" s="24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5" t="n">
        <v>79.04567</v>
      </c>
    </row>
    <row r="5274">
      <c r="A5274" s="24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5" t="n">
        <v>95.895022</v>
      </c>
    </row>
    <row r="5275">
      <c r="A5275" s="24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5" t="n">
        <v>70.681119</v>
      </c>
    </row>
    <row r="5276">
      <c r="A5276" s="24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5" t="n">
        <v>64.92747799999999</v>
      </c>
    </row>
    <row r="5277">
      <c r="A5277" s="24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5" t="n">
        <v>72.66170099999999</v>
      </c>
    </row>
    <row r="5278">
      <c r="A5278" s="24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5" t="n">
        <v>95.12886399999999</v>
      </c>
    </row>
    <row r="5279">
      <c r="A5279" s="24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5" t="n">
        <v>129.444965</v>
      </c>
    </row>
    <row r="5280">
      <c r="A5280" s="24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5" t="n">
        <v>101.969042</v>
      </c>
    </row>
    <row r="5281">
      <c r="A5281" s="24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5" t="n">
        <v>75.136219</v>
      </c>
    </row>
    <row r="5282">
      <c r="A5282" s="24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5" t="n">
        <v>57.773472</v>
      </c>
    </row>
    <row r="5283">
      <c r="A5283" s="24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5" t="n">
        <v>46.470583</v>
      </c>
    </row>
    <row r="5284">
      <c r="A5284" s="24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5" t="n">
        <v>37.488004</v>
      </c>
    </row>
    <row r="5285">
      <c r="A5285" s="24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5" t="n">
        <v>35.108715</v>
      </c>
    </row>
    <row r="5286">
      <c r="A5286" s="24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5" t="n">
        <v>83.860671</v>
      </c>
    </row>
    <row r="5287">
      <c r="A5287" s="24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5" t="n">
        <v>133.797473</v>
      </c>
    </row>
    <row r="5288">
      <c r="A5288" s="24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5" t="n">
        <v>224.189313</v>
      </c>
    </row>
    <row r="5289">
      <c r="A5289" s="24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5" t="n">
        <v>395.155745</v>
      </c>
    </row>
    <row r="5290">
      <c r="A5290" s="24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5" t="n">
        <v>457.763113</v>
      </c>
    </row>
    <row r="5291">
      <c r="A5291" s="24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5" t="n">
        <v>344.741349</v>
      </c>
    </row>
    <row r="5292">
      <c r="A5292" s="24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5" t="n">
        <v>247.312097</v>
      </c>
    </row>
    <row r="5293">
      <c r="A5293" s="24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5" t="n">
        <v>214.380628</v>
      </c>
    </row>
    <row r="5294">
      <c r="A5294" s="24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5" t="n">
        <v>177.568857</v>
      </c>
    </row>
    <row r="5295">
      <c r="A5295" s="24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5" t="n">
        <v>134.613304</v>
      </c>
    </row>
    <row r="5296">
      <c r="A5296" s="24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5" t="n">
        <v>104.157496</v>
      </c>
    </row>
    <row r="5297">
      <c r="A5297" s="24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5" t="n">
        <v>83.06340299999999</v>
      </c>
    </row>
    <row r="5298">
      <c r="A5298" s="24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5" t="n">
        <v>67.304075</v>
      </c>
    </row>
    <row r="5299">
      <c r="A5299" s="24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5" t="n">
        <v>55.456429</v>
      </c>
    </row>
    <row r="5300">
      <c r="A5300" s="24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5" t="n">
        <v>60.296573</v>
      </c>
    </row>
    <row r="5301">
      <c r="A5301" s="24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5" t="n">
        <v>50.299232</v>
      </c>
    </row>
    <row r="5302">
      <c r="A5302" s="24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5" t="n">
        <v>45.241871</v>
      </c>
    </row>
    <row r="5303">
      <c r="A5303" s="24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5" t="n">
        <v>37.749601</v>
      </c>
    </row>
    <row r="5304">
      <c r="A5304" s="24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5" t="n">
        <v>31.567646</v>
      </c>
    </row>
    <row r="5305">
      <c r="A5305" s="24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5" t="n">
        <v>26.865749</v>
      </c>
    </row>
    <row r="5306">
      <c r="A5306" s="24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5" t="n">
        <v>23.129847</v>
      </c>
    </row>
    <row r="5307">
      <c r="A5307" s="24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5" t="n">
        <v>20.094725</v>
      </c>
    </row>
    <row r="5308">
      <c r="A5308" s="24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5" t="n">
        <v>17.682642</v>
      </c>
    </row>
    <row r="5309">
      <c r="A5309" s="24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5" t="n">
        <v>15.55815</v>
      </c>
    </row>
    <row r="5310">
      <c r="A5310" s="24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5" t="n">
        <v>13.739968</v>
      </c>
    </row>
    <row r="5311">
      <c r="A5311" s="24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5" t="n">
        <v>12.206784</v>
      </c>
    </row>
    <row r="5312">
      <c r="A5312" s="24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5" t="n">
        <v>10.889499</v>
      </c>
    </row>
    <row r="5313">
      <c r="A5313" s="24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5" t="n">
        <v>9.747790999999999</v>
      </c>
    </row>
    <row r="5314">
      <c r="A5314" s="24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5" t="n">
        <v>8.751834000000001</v>
      </c>
    </row>
    <row r="5315">
      <c r="A5315" s="24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5" t="n">
        <v>8.343382999999999</v>
      </c>
    </row>
    <row r="5316">
      <c r="A5316" s="24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5" t="n">
        <v>7.449137</v>
      </c>
    </row>
    <row r="5317">
      <c r="A5317" s="24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5" t="n">
        <v>6.585337</v>
      </c>
    </row>
    <row r="5318">
      <c r="A5318" s="24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5" t="n">
        <v>5.929058</v>
      </c>
    </row>
    <row r="5319">
      <c r="A5319" s="24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5" t="n">
        <v>5.363167</v>
      </c>
    </row>
    <row r="5320">
      <c r="A5320" s="24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5" t="n">
        <v>4.8645</v>
      </c>
    </row>
    <row r="5321">
      <c r="A5321" s="24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5" t="n">
        <v>51.653923</v>
      </c>
    </row>
    <row r="5322">
      <c r="A5322" s="24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5" t="n">
        <v>58.993519</v>
      </c>
    </row>
    <row r="5323">
      <c r="A5323" s="24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5" t="n">
        <v>46.658045</v>
      </c>
    </row>
    <row r="5324">
      <c r="A5324" s="24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5" t="n">
        <v>38.367533</v>
      </c>
    </row>
    <row r="5325">
      <c r="A5325" s="24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5" t="n">
        <v>87.31370200000001</v>
      </c>
    </row>
    <row r="5326">
      <c r="A5326" s="24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5" t="n">
        <v>131.9509</v>
      </c>
    </row>
    <row r="5327">
      <c r="A5327" s="24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5" t="n">
        <v>142.743331</v>
      </c>
    </row>
    <row r="5328">
      <c r="A5328" s="24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5" t="n">
        <v>103.593833</v>
      </c>
    </row>
    <row r="5329">
      <c r="A5329" s="24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5" t="n">
        <v>77.46215599999999</v>
      </c>
    </row>
    <row r="5330">
      <c r="A5330" s="24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5" t="n">
        <v>59.546698</v>
      </c>
    </row>
    <row r="5331">
      <c r="A5331" s="24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5" t="n">
        <v>46.885102</v>
      </c>
    </row>
    <row r="5332">
      <c r="A5332" s="24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5" t="n">
        <v>37.864463</v>
      </c>
    </row>
    <row r="5333">
      <c r="A5333" s="24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5" t="n">
        <v>31.029179</v>
      </c>
    </row>
    <row r="5334">
      <c r="A5334" s="24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5" t="n">
        <v>25.791297</v>
      </c>
    </row>
    <row r="5335">
      <c r="A5335" s="24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5" t="n">
        <v>21.700422</v>
      </c>
    </row>
    <row r="5336">
      <c r="A5336" s="24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5" t="n">
        <v>18.401553</v>
      </c>
    </row>
    <row r="5337">
      <c r="A5337" s="24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5" t="n">
        <v>15.756907</v>
      </c>
    </row>
    <row r="5338">
      <c r="A5338" s="24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5" t="n">
        <v>13.612927</v>
      </c>
    </row>
    <row r="5339">
      <c r="A5339" s="24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5" t="n">
        <v>11.843188</v>
      </c>
    </row>
    <row r="5340">
      <c r="A5340" s="24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5" t="n">
        <v>10.64239</v>
      </c>
    </row>
    <row r="5341">
      <c r="A5341" s="24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5" t="n">
        <v>9.322466</v>
      </c>
    </row>
    <row r="5342">
      <c r="A5342" s="24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5" t="n">
        <v>8.153136999999999</v>
      </c>
    </row>
    <row r="5343">
      <c r="A5343" s="24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5" t="n">
        <v>7.213957</v>
      </c>
    </row>
    <row r="5344">
      <c r="A5344" s="24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5" t="n">
        <v>6.414784</v>
      </c>
    </row>
    <row r="5345">
      <c r="A5345" s="24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5" t="n">
        <v>5.7256</v>
      </c>
    </row>
    <row r="5346">
      <c r="A5346" s="24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5" t="n">
        <v>5.126648</v>
      </c>
    </row>
    <row r="5347">
      <c r="A5347" s="24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5" t="n">
        <v>4.603224</v>
      </c>
    </row>
    <row r="5348">
      <c r="A5348" s="24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5" t="n">
        <v>4.14363</v>
      </c>
    </row>
    <row r="5349">
      <c r="A5349" s="24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5" t="n">
        <v>3.738388</v>
      </c>
    </row>
    <row r="5350">
      <c r="A5350" s="24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5" t="n">
        <v>3.379727</v>
      </c>
    </row>
    <row r="5351">
      <c r="A5351" s="24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5" t="n">
        <v>3.061214</v>
      </c>
    </row>
    <row r="5352">
      <c r="A5352" s="24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5" t="n">
        <v>3.275039</v>
      </c>
    </row>
    <row r="5353">
      <c r="A5353" s="24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5" t="n">
        <v>3.064388</v>
      </c>
    </row>
    <row r="5354">
      <c r="A5354" s="24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5" t="n">
        <v>3.025208</v>
      </c>
    </row>
    <row r="5355">
      <c r="A5355" s="24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5" t="n">
        <v>12.637699</v>
      </c>
    </row>
    <row r="5356">
      <c r="A5356" s="24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5" t="n">
        <v>11.481762</v>
      </c>
    </row>
    <row r="5357">
      <c r="A5357" s="24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5" t="n">
        <v>8.460595</v>
      </c>
    </row>
    <row r="5358">
      <c r="A5358" s="24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5" t="n">
        <v>6.46752</v>
      </c>
    </row>
    <row r="5359">
      <c r="A5359" s="24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5" t="n">
        <v>5.132624</v>
      </c>
    </row>
    <row r="5360">
      <c r="A5360" s="24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5" t="n">
        <v>4.181315</v>
      </c>
    </row>
    <row r="5361">
      <c r="A5361" s="24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5" t="n">
        <v>3.475749</v>
      </c>
    </row>
    <row r="5362">
      <c r="A5362" s="24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5" t="n">
        <v>2.937343</v>
      </c>
    </row>
    <row r="5363">
      <c r="A5363" s="24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5" t="n">
        <v>2.516212</v>
      </c>
    </row>
    <row r="5364">
      <c r="A5364" s="24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5" t="n">
        <v>2.179689</v>
      </c>
    </row>
    <row r="5365">
      <c r="A5365" s="24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5" t="n">
        <v>1.905471</v>
      </c>
    </row>
    <row r="5366">
      <c r="A5366" s="24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5" t="n">
        <v>1.678266</v>
      </c>
    </row>
    <row r="5367">
      <c r="A5367" s="24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5" t="n">
        <v>1.487337</v>
      </c>
    </row>
    <row r="5368">
      <c r="A5368" s="24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5" t="n">
        <v>1.324966</v>
      </c>
    </row>
    <row r="5369">
      <c r="A5369" s="24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5" t="n">
        <v>1.185483</v>
      </c>
    </row>
    <row r="5370">
      <c r="A5370" s="24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5" t="n">
        <v>1.064636</v>
      </c>
    </row>
    <row r="5371">
      <c r="A5371" s="24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5" t="n">
        <v>1.944698</v>
      </c>
    </row>
    <row r="5372">
      <c r="A5372" s="24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5" t="n">
        <v>1.591285</v>
      </c>
    </row>
    <row r="5373">
      <c r="A5373" s="24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5" t="n">
        <v>1.170282</v>
      </c>
    </row>
    <row r="5374">
      <c r="A5374" s="24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5" t="n">
        <v>0.973442</v>
      </c>
    </row>
    <row r="5375">
      <c r="A5375" s="24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5" t="n">
        <v>0.830915</v>
      </c>
    </row>
    <row r="5376">
      <c r="A5376" s="24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5" t="n">
        <v>0.730195</v>
      </c>
    </row>
    <row r="5377">
      <c r="A5377" s="24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5" t="n">
        <v>0.9528219999999999</v>
      </c>
    </row>
    <row r="5378">
      <c r="A5378" s="24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5" t="n">
        <v>42.398576</v>
      </c>
    </row>
    <row r="5379">
      <c r="A5379" s="24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5" t="n">
        <v>53.011996</v>
      </c>
    </row>
    <row r="5380">
      <c r="A5380" s="24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5" t="n">
        <v>67.769143</v>
      </c>
    </row>
    <row r="5381">
      <c r="A5381" s="24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5" t="n">
        <v>50.735786</v>
      </c>
    </row>
    <row r="5382">
      <c r="A5382" s="24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5" t="n">
        <v>36.516887</v>
      </c>
    </row>
    <row r="5383">
      <c r="A5383" s="24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5" t="n">
        <v>27.535114</v>
      </c>
    </row>
    <row r="5384">
      <c r="A5384" s="24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5" t="n">
        <v>21.352324</v>
      </c>
    </row>
    <row r="5385">
      <c r="A5385" s="24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5" t="n">
        <v>16.932205</v>
      </c>
    </row>
    <row r="5386">
      <c r="A5386" s="24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5" t="n">
        <v>13.678164</v>
      </c>
    </row>
    <row r="5387">
      <c r="A5387" s="24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5" t="n">
        <v>11.228058</v>
      </c>
    </row>
    <row r="5388">
      <c r="A5388" s="24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5" t="n">
        <v>9.344061999999999</v>
      </c>
    </row>
    <row r="5389">
      <c r="A5389" s="24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5" t="n">
        <v>7.867974</v>
      </c>
    </row>
    <row r="5390">
      <c r="A5390" s="24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5" t="n">
        <v>6.765408</v>
      </c>
    </row>
    <row r="5391">
      <c r="A5391" s="24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5" t="n">
        <v>5.793681</v>
      </c>
    </row>
    <row r="5392">
      <c r="A5392" s="24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5" t="n">
        <v>4.984327</v>
      </c>
    </row>
    <row r="5393">
      <c r="A5393" s="24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5" t="n">
        <v>4.329264</v>
      </c>
    </row>
    <row r="5394">
      <c r="A5394" s="24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5" t="n">
        <v>4.345861</v>
      </c>
    </row>
    <row r="5395">
      <c r="A5395" s="24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5" t="n">
        <v>3.756749</v>
      </c>
    </row>
    <row r="5396">
      <c r="A5396" s="24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5" t="n">
        <v>3.14119</v>
      </c>
    </row>
    <row r="5397">
      <c r="A5397" s="24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5" t="n">
        <v>2.734476</v>
      </c>
    </row>
    <row r="5398">
      <c r="A5398" s="24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5" t="n">
        <v>2.409498</v>
      </c>
    </row>
    <row r="5399">
      <c r="A5399" s="24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5" t="n">
        <v>2.136945</v>
      </c>
    </row>
    <row r="5400">
      <c r="A5400" s="24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5" t="n">
        <v>1.903475</v>
      </c>
    </row>
    <row r="5401">
      <c r="A5401" s="24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5" t="n">
        <v>1.701517</v>
      </c>
    </row>
    <row r="5402">
      <c r="A5402" s="24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5" t="n">
        <v>1.525586</v>
      </c>
    </row>
    <row r="5403">
      <c r="A5403" s="24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5" t="n">
        <v>1.371464</v>
      </c>
    </row>
    <row r="5404">
      <c r="A5404" s="24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5" t="n">
        <v>1.235813</v>
      </c>
    </row>
    <row r="5405">
      <c r="A5405" s="24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5" t="n">
        <v>1.115935</v>
      </c>
    </row>
    <row r="5406">
      <c r="A5406" s="24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5" t="n">
        <v>1.009618</v>
      </c>
    </row>
    <row r="5407">
      <c r="A5407" s="24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5" t="n">
        <v>0.915028</v>
      </c>
    </row>
    <row r="5408">
      <c r="A5408" s="24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5" t="n">
        <v>0.83063</v>
      </c>
    </row>
    <row r="5409">
      <c r="A5409" s="24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5" t="n">
        <v>0.755128</v>
      </c>
    </row>
    <row r="5410">
      <c r="A5410" s="24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5" t="n">
        <v>0.687422</v>
      </c>
    </row>
    <row r="5411">
      <c r="A5411" s="24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5" t="n">
        <v>0.626572</v>
      </c>
    </row>
    <row r="5412">
      <c r="A5412" s="24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5" t="n">
        <v>0.571773</v>
      </c>
    </row>
    <row r="5413">
      <c r="A5413" s="24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5" t="n">
        <v>0.522329</v>
      </c>
    </row>
    <row r="5414">
      <c r="A5414" s="24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5" t="n">
        <v>0.477638</v>
      </c>
    </row>
    <row r="5415">
      <c r="A5415" s="24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5" t="n">
        <v>1.125324</v>
      </c>
    </row>
    <row r="5416">
      <c r="A5416" s="24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5" t="n">
        <v>1.108563</v>
      </c>
    </row>
    <row r="5417">
      <c r="A5417" s="24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5" t="n">
        <v>0.817287</v>
      </c>
    </row>
    <row r="5418">
      <c r="A5418" s="24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5" t="n">
        <v>0.67232</v>
      </c>
    </row>
    <row r="5419">
      <c r="A5419" s="24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5" t="n">
        <v>0.594035</v>
      </c>
    </row>
    <row r="5420">
      <c r="A5420" s="24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5" t="n">
        <v>11.659722</v>
      </c>
    </row>
    <row r="5421">
      <c r="A5421" s="24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5" t="n">
        <v>18.21529</v>
      </c>
    </row>
    <row r="5422">
      <c r="A5422" s="24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5" t="n">
        <v>15.383804</v>
      </c>
    </row>
    <row r="5423">
      <c r="A5423" s="24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5" t="n">
        <v>11.137194</v>
      </c>
    </row>
    <row r="5424">
      <c r="A5424" s="24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5" t="n">
        <v>8.29236</v>
      </c>
    </row>
    <row r="5425">
      <c r="A5425" s="24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5" t="n">
        <v>27.477859</v>
      </c>
    </row>
    <row r="5426">
      <c r="A5426" s="24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5" t="n">
        <v>43.559231</v>
      </c>
    </row>
    <row r="5427">
      <c r="A5427" s="24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5" t="n">
        <v>38.120241</v>
      </c>
    </row>
    <row r="5428">
      <c r="A5428" s="24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5" t="n">
        <v>27.797233</v>
      </c>
    </row>
    <row r="5429">
      <c r="A5429" s="24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5" t="n">
        <v>32.51939</v>
      </c>
    </row>
    <row r="5430">
      <c r="A5430" s="24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5" t="n">
        <v>57.421418</v>
      </c>
    </row>
    <row r="5431">
      <c r="A5431" s="24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5" t="n">
        <v>44.498929</v>
      </c>
    </row>
    <row r="5432">
      <c r="A5432" s="24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5" t="n">
        <v>34.250657</v>
      </c>
    </row>
    <row r="5433">
      <c r="A5433" s="24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5" t="n">
        <v>26.8368</v>
      </c>
    </row>
    <row r="5434">
      <c r="A5434" s="24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5" t="n">
        <v>26.422703</v>
      </c>
    </row>
    <row r="5435">
      <c r="A5435" s="24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5" t="n">
        <v>21.03905</v>
      </c>
    </row>
    <row r="5436">
      <c r="A5436" s="24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5" t="n">
        <v>45.381973</v>
      </c>
    </row>
    <row r="5437">
      <c r="A5437" s="24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5" t="n">
        <v>41.486625</v>
      </c>
    </row>
    <row r="5438">
      <c r="A5438" s="24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5" t="n">
        <v>31.301788</v>
      </c>
    </row>
    <row r="5439">
      <c r="A5439" s="24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5" t="n">
        <v>23.946032</v>
      </c>
    </row>
    <row r="5440">
      <c r="A5440" s="24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5" t="n">
        <v>31.234301</v>
      </c>
    </row>
    <row r="5441">
      <c r="A5441" s="24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5" t="n">
        <v>30.845819</v>
      </c>
    </row>
    <row r="5442">
      <c r="A5442" s="24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5" t="n">
        <v>25.149684</v>
      </c>
    </row>
    <row r="5443">
      <c r="A5443" s="24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5" t="n">
        <v>20.347695</v>
      </c>
    </row>
    <row r="5444">
      <c r="A5444" s="24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5" t="n">
        <v>16.174963</v>
      </c>
    </row>
    <row r="5445">
      <c r="A5445" s="24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5" t="n">
        <v>13.087899</v>
      </c>
    </row>
    <row r="5446">
      <c r="A5446" s="24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5" t="n">
        <v>11.249078</v>
      </c>
    </row>
    <row r="5447">
      <c r="A5447" s="24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5" t="n">
        <v>21.364076</v>
      </c>
    </row>
    <row r="5448">
      <c r="A5448" s="24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5" t="n">
        <v>32.558818</v>
      </c>
    </row>
    <row r="5449">
      <c r="A5449" s="24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5" t="n">
        <v>25.549873</v>
      </c>
    </row>
    <row r="5450">
      <c r="A5450" s="24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5" t="n">
        <v>28.879711</v>
      </c>
    </row>
    <row r="5451">
      <c r="A5451" s="24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5" t="n">
        <v>23.754931</v>
      </c>
    </row>
    <row r="5452">
      <c r="A5452" s="24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5" t="n">
        <v>18.13373</v>
      </c>
    </row>
    <row r="5453">
      <c r="A5453" s="24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5" t="n">
        <v>14.287515</v>
      </c>
    </row>
    <row r="5454">
      <c r="A5454" s="24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5" t="n">
        <v>11.752272</v>
      </c>
    </row>
    <row r="5455">
      <c r="A5455" s="24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5" t="n">
        <v>9.953175999999999</v>
      </c>
    </row>
    <row r="5456">
      <c r="A5456" s="24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5" t="n">
        <v>8.371426</v>
      </c>
    </row>
    <row r="5457">
      <c r="A5457" s="24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5" t="n">
        <v>8.280927</v>
      </c>
    </row>
    <row r="5458">
      <c r="A5458" s="24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5" t="n">
        <v>22.458829</v>
      </c>
    </row>
    <row r="5459">
      <c r="A5459" s="24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5" t="n">
        <v>29.239855</v>
      </c>
    </row>
    <row r="5460">
      <c r="A5460" s="24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5" t="n">
        <v>22.23897</v>
      </c>
    </row>
    <row r="5461">
      <c r="A5461" s="24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5" t="n">
        <v>16.511676</v>
      </c>
    </row>
    <row r="5462">
      <c r="A5462" s="24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5" t="n">
        <v>12.954285</v>
      </c>
    </row>
    <row r="5463">
      <c r="A5463" s="24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5" t="n">
        <v>10.998521</v>
      </c>
    </row>
    <row r="5464">
      <c r="A5464" s="24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5" t="n">
        <v>10.792323</v>
      </c>
    </row>
    <row r="5465">
      <c r="A5465" s="24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5" t="n">
        <v>9.404225</v>
      </c>
    </row>
    <row r="5466">
      <c r="A5466" s="24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5" t="n">
        <v>34.300741</v>
      </c>
    </row>
    <row r="5467">
      <c r="A5467" s="24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5" t="n">
        <v>44.298358</v>
      </c>
    </row>
    <row r="5468">
      <c r="A5468" s="24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5" t="n">
        <v>58.444343</v>
      </c>
    </row>
    <row r="5469">
      <c r="A5469" s="24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5" t="n">
        <v>63.283126</v>
      </c>
    </row>
    <row r="5470">
      <c r="A5470" s="24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5" t="n">
        <v>48.905675</v>
      </c>
    </row>
    <row r="5471">
      <c r="A5471" s="24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5" t="n">
        <v>47.103429</v>
      </c>
    </row>
    <row r="5472">
      <c r="A5472" s="24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5" t="n">
        <v>67.084423</v>
      </c>
    </row>
    <row r="5473">
      <c r="A5473" s="24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5" t="n">
        <v>59.423151</v>
      </c>
    </row>
    <row r="5474">
      <c r="A5474" s="24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5" t="n">
        <v>75.377251</v>
      </c>
    </row>
    <row r="5475">
      <c r="A5475" s="24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5" t="n">
        <v>58.427485</v>
      </c>
    </row>
    <row r="5476">
      <c r="A5476" s="24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5" t="n">
        <v>43.498896</v>
      </c>
    </row>
    <row r="5477">
      <c r="A5477" s="24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5" t="n">
        <v>33.795215</v>
      </c>
    </row>
    <row r="5478">
      <c r="A5478" s="24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5" t="n">
        <v>26.933265</v>
      </c>
    </row>
    <row r="5479">
      <c r="A5479" s="24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5" t="n">
        <v>21.898769</v>
      </c>
    </row>
    <row r="5480">
      <c r="A5480" s="24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5" t="n">
        <v>18.09689</v>
      </c>
    </row>
    <row r="5481">
      <c r="A5481" s="24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5" t="n">
        <v>15.162264</v>
      </c>
    </row>
    <row r="5482">
      <c r="A5482" s="24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5" t="n">
        <v>12.851522</v>
      </c>
    </row>
    <row r="5483">
      <c r="A5483" s="24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5" t="n">
        <v>11.000458</v>
      </c>
    </row>
    <row r="5484">
      <c r="A5484" s="24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5" t="n">
        <v>9.494448999999999</v>
      </c>
    </row>
    <row r="5485">
      <c r="A5485" s="24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5" t="n">
        <v>8.252805</v>
      </c>
    </row>
    <row r="5486">
      <c r="A5486" s="24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5" t="n">
        <v>7.582496</v>
      </c>
    </row>
    <row r="5487">
      <c r="A5487" s="24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5" t="n">
        <v>6.61251</v>
      </c>
    </row>
    <row r="5488">
      <c r="A5488" s="24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5" t="n">
        <v>5.727963</v>
      </c>
    </row>
    <row r="5489">
      <c r="A5489" s="24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5" t="n">
        <v>5.053204</v>
      </c>
    </row>
    <row r="5490">
      <c r="A5490" s="24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5" t="n">
        <v>4.485407</v>
      </c>
    </row>
    <row r="5491">
      <c r="A5491" s="24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5" t="n">
        <v>3.998238</v>
      </c>
    </row>
    <row r="5492">
      <c r="A5492" s="24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5" t="n">
        <v>3.576059</v>
      </c>
    </row>
    <row r="5493">
      <c r="A5493" s="24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5" t="n">
        <v>3.207882</v>
      </c>
    </row>
    <row r="5494">
      <c r="A5494" s="24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5" t="n">
        <v>2.891625</v>
      </c>
    </row>
    <row r="5495">
      <c r="A5495" s="24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5" t="n">
        <v>3.363085</v>
      </c>
    </row>
    <row r="5496">
      <c r="A5496" s="24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5" t="n">
        <v>3.094692</v>
      </c>
    </row>
    <row r="5497">
      <c r="A5497" s="24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5" t="n">
        <v>5.242466</v>
      </c>
    </row>
    <row r="5498">
      <c r="A5498" s="24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5" t="n">
        <v>7.415081</v>
      </c>
    </row>
    <row r="5499">
      <c r="A5499" s="24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5" t="n">
        <v>28.267001</v>
      </c>
    </row>
    <row r="5500">
      <c r="A5500" s="24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5" t="n">
        <v>48.708921</v>
      </c>
    </row>
    <row r="5501">
      <c r="A5501" s="24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5" t="n">
        <v>45.97645</v>
      </c>
    </row>
    <row r="5502">
      <c r="A5502" s="24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5" t="n">
        <v>77.681473</v>
      </c>
    </row>
    <row r="5503">
      <c r="A5503" s="24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5" t="n">
        <v>60.276013</v>
      </c>
    </row>
    <row r="5504">
      <c r="A5504" s="24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5" t="n">
        <v>68.42983599999999</v>
      </c>
    </row>
    <row r="5505">
      <c r="A5505" s="24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5" t="n">
        <v>84.60323</v>
      </c>
    </row>
    <row r="5506">
      <c r="A5506" s="24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5" t="n">
        <v>89.500508</v>
      </c>
    </row>
    <row r="5507">
      <c r="A5507" s="24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5" t="n">
        <v>68.103041</v>
      </c>
    </row>
    <row r="5508">
      <c r="A5508" s="24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5" t="n">
        <v>52.367092</v>
      </c>
    </row>
    <row r="5509">
      <c r="A5509" s="24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5" t="n">
        <v>51.811378</v>
      </c>
    </row>
    <row r="5510">
      <c r="A5510" s="24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5" t="n">
        <v>41.183327</v>
      </c>
    </row>
    <row r="5511">
      <c r="A5511" s="24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5" t="n">
        <v>40.266988</v>
      </c>
    </row>
    <row r="5512">
      <c r="A5512" s="24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5" t="n">
        <v>32.312583</v>
      </c>
    </row>
    <row r="5513">
      <c r="A5513" s="24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5" t="n">
        <v>27.194359</v>
      </c>
    </row>
    <row r="5514">
      <c r="A5514" s="24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5" t="n">
        <v>22.973788</v>
      </c>
    </row>
    <row r="5515">
      <c r="A5515" s="24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5" t="n">
        <v>18.905698</v>
      </c>
    </row>
    <row r="5516">
      <c r="A5516" s="24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5" t="n">
        <v>16.290171</v>
      </c>
    </row>
    <row r="5517">
      <c r="A5517" s="24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5" t="n">
        <v>30.993171</v>
      </c>
    </row>
    <row r="5518">
      <c r="A5518" s="24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5" t="n">
        <v>38.006855</v>
      </c>
    </row>
    <row r="5519">
      <c r="A5519" s="24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5" t="n">
        <v>34.740315</v>
      </c>
    </row>
    <row r="5520">
      <c r="A5520" s="24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5" t="n">
        <v>53.037734</v>
      </c>
    </row>
    <row r="5521">
      <c r="A5521" s="24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5" t="n">
        <v>43.922337</v>
      </c>
    </row>
    <row r="5522">
      <c r="A5522" s="24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5" t="n">
        <v>33.269112</v>
      </c>
    </row>
    <row r="5523">
      <c r="A5523" s="24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5" t="n">
        <v>26.089341</v>
      </c>
    </row>
    <row r="5524">
      <c r="A5524" s="24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5" t="n">
        <v>23.137777</v>
      </c>
    </row>
    <row r="5525">
      <c r="A5525" s="24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5" t="n">
        <v>22.296434</v>
      </c>
    </row>
    <row r="5526">
      <c r="A5526" s="24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5" t="n">
        <v>27.467599</v>
      </c>
    </row>
    <row r="5527">
      <c r="A5527" s="24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5" t="n">
        <v>23.450842</v>
      </c>
    </row>
    <row r="5528">
      <c r="A5528" s="24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5" t="n">
        <v>21.371097</v>
      </c>
    </row>
    <row r="5529">
      <c r="A5529" s="24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5" t="n">
        <v>69.92583999999999</v>
      </c>
    </row>
    <row r="5530">
      <c r="A5530" s="24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5" t="n">
        <v>77.470282</v>
      </c>
    </row>
    <row r="5531">
      <c r="A5531" s="24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5" t="n">
        <v>85.056515</v>
      </c>
    </row>
    <row r="5532">
      <c r="A5532" s="24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5" t="n">
        <v>65.672495</v>
      </c>
    </row>
    <row r="5533">
      <c r="A5533" s="24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5" t="n">
        <v>49.304346</v>
      </c>
    </row>
    <row r="5534">
      <c r="A5534" s="24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5" t="n">
        <v>38.015238</v>
      </c>
    </row>
    <row r="5535">
      <c r="A5535" s="24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5" t="n">
        <v>30.090255</v>
      </c>
    </row>
    <row r="5536">
      <c r="A5536" s="24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5" t="n">
        <v>24.660446</v>
      </c>
    </row>
    <row r="5537">
      <c r="A5537" s="24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5" t="n">
        <v>20.543643</v>
      </c>
    </row>
    <row r="5538">
      <c r="A5538" s="24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5" t="n">
        <v>17.758291</v>
      </c>
    </row>
    <row r="5539">
      <c r="A5539" s="24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5" t="n">
        <v>21.022418</v>
      </c>
    </row>
    <row r="5540">
      <c r="A5540" s="24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5" t="n">
        <v>22.512046</v>
      </c>
    </row>
    <row r="5541">
      <c r="A5541" s="24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5" t="n">
        <v>23.348325</v>
      </c>
    </row>
    <row r="5542">
      <c r="A5542" s="24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5" t="n">
        <v>38.675007</v>
      </c>
    </row>
    <row r="5543">
      <c r="A5543" s="24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5" t="n">
        <v>37.060697</v>
      </c>
    </row>
    <row r="5544">
      <c r="A5544" s="24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5" t="n">
        <v>86.895045</v>
      </c>
    </row>
    <row r="5545">
      <c r="A5545" s="24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5" t="n">
        <v>110.393011</v>
      </c>
    </row>
    <row r="5546">
      <c r="A5546" s="24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5" t="n">
        <v>102.937644</v>
      </c>
    </row>
    <row r="5547">
      <c r="A5547" s="24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5" t="n">
        <v>82.729989</v>
      </c>
    </row>
    <row r="5548">
      <c r="A5548" s="24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5" t="n">
        <v>63.200442</v>
      </c>
    </row>
    <row r="5549">
      <c r="A5549" s="24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5" t="n">
        <v>53.763806</v>
      </c>
    </row>
    <row r="5550">
      <c r="A5550" s="24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5" t="n">
        <v>94.552628</v>
      </c>
    </row>
    <row r="5551">
      <c r="A5551" s="24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5" t="n">
        <v>83.925051</v>
      </c>
    </row>
    <row r="5552">
      <c r="A5552" s="24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5" t="n">
        <v>76.344972</v>
      </c>
    </row>
    <row r="5553">
      <c r="A5553" s="24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5" t="n">
        <v>77.809636</v>
      </c>
    </row>
    <row r="5554">
      <c r="A5554" s="24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5" t="n">
        <v>68.234917</v>
      </c>
    </row>
    <row r="5555">
      <c r="A5555" s="24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5" t="n">
        <v>110.037802</v>
      </c>
    </row>
    <row r="5556">
      <c r="A5556" s="24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5" t="n">
        <v>113.305447</v>
      </c>
    </row>
    <row r="5557">
      <c r="A5557" s="24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5" t="n">
        <v>121.575927</v>
      </c>
    </row>
    <row r="5558">
      <c r="A5558" s="24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5" t="n">
        <v>125.184292</v>
      </c>
    </row>
    <row r="5559">
      <c r="A5559" s="24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5" t="n">
        <v>96.840436</v>
      </c>
    </row>
    <row r="5560">
      <c r="A5560" s="24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5" t="n">
        <v>121.665514</v>
      </c>
    </row>
    <row r="5561">
      <c r="A5561" s="24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5" t="n">
        <v>119.713193</v>
      </c>
    </row>
    <row r="5562">
      <c r="A5562" s="24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5" t="n">
        <v>101.502116</v>
      </c>
    </row>
    <row r="5563">
      <c r="A5563" s="24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5" t="n">
        <v>85.83763500000001</v>
      </c>
    </row>
    <row r="5564">
      <c r="A5564" s="24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5" t="n">
        <v>71.993528</v>
      </c>
    </row>
    <row r="5565">
      <c r="A5565" s="24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5" t="n">
        <v>57.779842</v>
      </c>
    </row>
    <row r="5566">
      <c r="A5566" s="24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5" t="n">
        <v>47.094622</v>
      </c>
    </row>
    <row r="5567">
      <c r="A5567" s="24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5" t="n">
        <v>82.77174100000001</v>
      </c>
    </row>
    <row r="5568">
      <c r="A5568" s="24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5" t="n">
        <v>124.498525</v>
      </c>
    </row>
    <row r="5569">
      <c r="A5569" s="24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5" t="n">
        <v>109.053371</v>
      </c>
    </row>
    <row r="5570">
      <c r="A5570" s="24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5" t="n">
        <v>87.868973</v>
      </c>
    </row>
    <row r="5571">
      <c r="A5571" s="24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5" t="n">
        <v>68.68111</v>
      </c>
    </row>
    <row r="5572">
      <c r="A5572" s="24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5" t="n">
        <v>59.635467</v>
      </c>
    </row>
    <row r="5573">
      <c r="A5573" s="24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5" t="n">
        <v>109.238863</v>
      </c>
    </row>
    <row r="5574">
      <c r="A5574" s="24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5" t="n">
        <v>144.327357</v>
      </c>
    </row>
    <row r="5575">
      <c r="A5575" s="24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5" t="n">
        <v>148.080675</v>
      </c>
    </row>
    <row r="5576">
      <c r="A5576" s="24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5" t="n">
        <v>119.270338</v>
      </c>
    </row>
    <row r="5577">
      <c r="A5577" s="24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5" t="n">
        <v>150.738111</v>
      </c>
    </row>
    <row r="5578">
      <c r="A5578" s="24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5" t="n">
        <v>170.586192</v>
      </c>
    </row>
    <row r="5579">
      <c r="A5579" s="24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5" t="n">
        <v>137.078275</v>
      </c>
    </row>
    <row r="5580">
      <c r="A5580" s="24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5" t="n">
        <v>104.145936</v>
      </c>
    </row>
    <row r="5581">
      <c r="A5581" s="24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5" t="n">
        <v>81.731139</v>
      </c>
    </row>
    <row r="5582">
      <c r="A5582" s="24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5" t="n">
        <v>73.100026</v>
      </c>
    </row>
    <row r="5583">
      <c r="A5583" s="24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5" t="n">
        <v>82.522364</v>
      </c>
    </row>
    <row r="5584">
      <c r="A5584" s="24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5" t="n">
        <v>82.937051</v>
      </c>
    </row>
    <row r="5585">
      <c r="A5585" s="24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5" t="n">
        <v>110.176753</v>
      </c>
    </row>
    <row r="5586">
      <c r="A5586" s="24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5" t="n">
        <v>87.517539</v>
      </c>
    </row>
    <row r="5587">
      <c r="A5587" s="24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5" t="n">
        <v>78.000246</v>
      </c>
    </row>
    <row r="5588">
      <c r="A5588" s="24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5" t="n">
        <v>100.474083</v>
      </c>
    </row>
    <row r="5589">
      <c r="A5589" s="24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5" t="n">
        <v>89.27448099999999</v>
      </c>
    </row>
    <row r="5590">
      <c r="A5590" s="24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5" t="n">
        <v>98.270549</v>
      </c>
    </row>
    <row r="5591">
      <c r="A5591" s="24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5" t="n">
        <v>86.611666</v>
      </c>
    </row>
    <row r="5592">
      <c r="A5592" s="24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5" t="n">
        <v>90.52718</v>
      </c>
    </row>
    <row r="5593">
      <c r="A5593" s="24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5" t="n">
        <v>101.217023</v>
      </c>
    </row>
    <row r="5594">
      <c r="A5594" s="24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5" t="n">
        <v>79.859325</v>
      </c>
    </row>
    <row r="5595">
      <c r="A5595" s="24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5" t="n">
        <v>61.635479</v>
      </c>
    </row>
    <row r="5596">
      <c r="A5596" s="24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5" t="n">
        <v>50.381992</v>
      </c>
    </row>
    <row r="5597">
      <c r="A5597" s="24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5" t="n">
        <v>47.225146</v>
      </c>
    </row>
    <row r="5598">
      <c r="A5598" s="24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5" t="n">
        <v>96.737292</v>
      </c>
    </row>
    <row r="5599">
      <c r="A5599" s="24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5" t="n">
        <v>106.256418</v>
      </c>
    </row>
    <row r="5600">
      <c r="A5600" s="24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5" t="n">
        <v>84.733737</v>
      </c>
    </row>
    <row r="5601">
      <c r="A5601" s="24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5" t="n">
        <v>65.85589</v>
      </c>
    </row>
    <row r="5602">
      <c r="A5602" s="24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5" t="n">
        <v>69.159474</v>
      </c>
    </row>
    <row r="5603">
      <c r="A5603" s="24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5" t="n">
        <v>65.437656</v>
      </c>
    </row>
    <row r="5604">
      <c r="A5604" s="24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5" t="n">
        <v>56.169905</v>
      </c>
    </row>
    <row r="5605">
      <c r="A5605" s="24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5" t="n">
        <v>90.54271799999999</v>
      </c>
    </row>
    <row r="5606">
      <c r="A5606" s="24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5" t="n">
        <v>86.211686</v>
      </c>
    </row>
    <row r="5607">
      <c r="A5607" s="24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5" t="n">
        <v>75.644966</v>
      </c>
    </row>
    <row r="5608">
      <c r="A5608" s="24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5" t="n">
        <v>67.204013</v>
      </c>
    </row>
    <row r="5609">
      <c r="A5609" s="24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5" t="n">
        <v>58.439598</v>
      </c>
    </row>
    <row r="5610">
      <c r="A5610" s="24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5" t="n">
        <v>68.616088</v>
      </c>
    </row>
    <row r="5611">
      <c r="A5611" s="24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5" t="n">
        <v>77.93420999999999</v>
      </c>
    </row>
    <row r="5612">
      <c r="A5612" s="24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5" t="n">
        <v>85.80738100000001</v>
      </c>
    </row>
    <row r="5613">
      <c r="A5613" s="24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5" t="n">
        <v>69.815054</v>
      </c>
    </row>
    <row r="5614">
      <c r="A5614" s="24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5" t="n">
        <v>57.186077</v>
      </c>
    </row>
    <row r="5615">
      <c r="A5615" s="24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5" t="n">
        <v>56.345252</v>
      </c>
    </row>
    <row r="5616">
      <c r="A5616" s="24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5" t="n">
        <v>99.662277</v>
      </c>
    </row>
    <row r="5617">
      <c r="A5617" s="24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5" t="n">
        <v>89.17299300000001</v>
      </c>
    </row>
    <row r="5618">
      <c r="A5618" s="24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5" t="n">
        <v>69.7881</v>
      </c>
    </row>
    <row r="5619">
      <c r="A5619" s="24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5" t="n">
        <v>65.341594</v>
      </c>
    </row>
    <row r="5620">
      <c r="A5620" s="24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5" t="n">
        <v>69.615432</v>
      </c>
    </row>
    <row r="5621">
      <c r="A5621" s="24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5" t="n">
        <v>58.453047</v>
      </c>
    </row>
    <row r="5622">
      <c r="A5622" s="24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5" t="n">
        <v>75.068184</v>
      </c>
    </row>
    <row r="5623">
      <c r="A5623" s="24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5" t="n">
        <v>73.0048</v>
      </c>
    </row>
    <row r="5624">
      <c r="A5624" s="24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5" t="n">
        <v>66.127869</v>
      </c>
    </row>
    <row r="5625">
      <c r="A5625" s="24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5" t="n">
        <v>62.315394</v>
      </c>
    </row>
    <row r="5626">
      <c r="A5626" s="24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5" t="n">
        <v>49.795988</v>
      </c>
    </row>
    <row r="5627">
      <c r="A5627" s="24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5" t="n">
        <v>76.82846000000001</v>
      </c>
    </row>
    <row r="5628">
      <c r="A5628" s="24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5" t="n">
        <v>82.36966099999999</v>
      </c>
    </row>
    <row r="5629">
      <c r="A5629" s="24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5" t="n">
        <v>69.039196</v>
      </c>
    </row>
    <row r="5630">
      <c r="A5630" s="24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5" t="n">
        <v>78.19411599999999</v>
      </c>
    </row>
    <row r="5631">
      <c r="A5631" s="24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5" t="n">
        <v>74.173693</v>
      </c>
    </row>
    <row r="5632">
      <c r="A5632" s="24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5" t="n">
        <v>79.63838199999999</v>
      </c>
    </row>
    <row r="5633">
      <c r="A5633" s="24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5" t="n">
        <v>74.379053</v>
      </c>
    </row>
    <row r="5634">
      <c r="A5634" s="24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5" t="n">
        <v>58.6836</v>
      </c>
    </row>
    <row r="5635">
      <c r="A5635" s="24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5" t="n">
        <v>58.291644</v>
      </c>
    </row>
    <row r="5636">
      <c r="A5636" s="24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5" t="n">
        <v>105.030031</v>
      </c>
    </row>
    <row r="5637">
      <c r="A5637" s="24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5" t="n">
        <v>102.140699</v>
      </c>
    </row>
    <row r="5638">
      <c r="A5638" s="24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5" t="n">
        <v>78.634552</v>
      </c>
    </row>
    <row r="5639">
      <c r="A5639" s="24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5" t="n">
        <v>62.809631</v>
      </c>
    </row>
    <row r="5640">
      <c r="A5640" s="24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5" t="n">
        <v>49.432119</v>
      </c>
    </row>
    <row r="5641">
      <c r="A5641" s="24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5" t="n">
        <v>39.59973</v>
      </c>
    </row>
    <row r="5642">
      <c r="A5642" s="24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5" t="n">
        <v>32.400434</v>
      </c>
    </row>
    <row r="5643">
      <c r="A5643" s="24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5" t="n">
        <v>26.956932</v>
      </c>
    </row>
    <row r="5644">
      <c r="A5644" s="24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5" t="n">
        <v>22.73901</v>
      </c>
    </row>
    <row r="5645">
      <c r="A5645" s="24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5" t="n">
        <v>19.40298</v>
      </c>
    </row>
    <row r="5646">
      <c r="A5646" s="24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5" t="n">
        <v>33.514325</v>
      </c>
    </row>
    <row r="5647">
      <c r="A5647" s="24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5" t="n">
        <v>44.709937</v>
      </c>
    </row>
    <row r="5648">
      <c r="A5648" s="24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5" t="n">
        <v>39.745436</v>
      </c>
    </row>
    <row r="5649">
      <c r="A5649" s="24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5" t="n">
        <v>35.459868</v>
      </c>
    </row>
    <row r="5650">
      <c r="A5650" s="24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5" t="n">
        <v>32.511744</v>
      </c>
    </row>
    <row r="5651">
      <c r="A5651" s="24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5" t="n">
        <v>38.915246</v>
      </c>
    </row>
    <row r="5652">
      <c r="A5652" s="24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5" t="n">
        <v>33.078577</v>
      </c>
    </row>
    <row r="5653">
      <c r="A5653" s="24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5" t="n">
        <v>47.629915</v>
      </c>
    </row>
    <row r="5654">
      <c r="A5654" s="24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5" t="n">
        <v>38.80239</v>
      </c>
    </row>
    <row r="5655">
      <c r="A5655" s="24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5" t="n">
        <v>35.037133</v>
      </c>
    </row>
    <row r="5656">
      <c r="A5656" s="24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5" t="n">
        <v>50.908333</v>
      </c>
    </row>
    <row r="5657">
      <c r="A5657" s="24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5" t="n">
        <v>98.01368600000001</v>
      </c>
    </row>
    <row r="5658">
      <c r="A5658" s="24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5" t="n">
        <v>115.476959</v>
      </c>
    </row>
    <row r="5659">
      <c r="A5659" s="24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5" t="n">
        <v>86.957471</v>
      </c>
    </row>
    <row r="5660">
      <c r="A5660" s="24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5" t="n">
        <v>67.964832</v>
      </c>
    </row>
    <row r="5661">
      <c r="A5661" s="24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5" t="n">
        <v>99.589527</v>
      </c>
    </row>
    <row r="5662">
      <c r="A5662" s="24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5" t="n">
        <v>94.240565</v>
      </c>
    </row>
    <row r="5663">
      <c r="A5663" s="24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5" t="n">
        <v>72.112297</v>
      </c>
    </row>
    <row r="5664">
      <c r="A5664" s="24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5" t="n">
        <v>104.333841</v>
      </c>
    </row>
    <row r="5665">
      <c r="A5665" s="24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5" t="n">
        <v>109.377938</v>
      </c>
    </row>
    <row r="5666">
      <c r="A5666" s="24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5" t="n">
        <v>90.75426899999999</v>
      </c>
    </row>
    <row r="5667">
      <c r="A5667" s="24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5" t="n">
        <v>94.75495100000001</v>
      </c>
    </row>
    <row r="5668">
      <c r="A5668" s="24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5" t="n">
        <v>76.14630099999999</v>
      </c>
    </row>
    <row r="5669">
      <c r="A5669" s="24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5" t="n">
        <v>58.570609</v>
      </c>
    </row>
    <row r="5670">
      <c r="A5670" s="24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5" t="n">
        <v>46.415913</v>
      </c>
    </row>
    <row r="5671">
      <c r="A5671" s="24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5" t="n">
        <v>48.270226</v>
      </c>
    </row>
    <row r="5672">
      <c r="A5672" s="24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5" t="n">
        <v>47.56891</v>
      </c>
    </row>
    <row r="5673">
      <c r="A5673" s="24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5" t="n">
        <v>60.072547</v>
      </c>
    </row>
    <row r="5674">
      <c r="A5674" s="24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5" t="n">
        <v>58.655222</v>
      </c>
    </row>
    <row r="5675">
      <c r="A5675" s="24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5" t="n">
        <v>47.178843</v>
      </c>
    </row>
    <row r="5676">
      <c r="A5676" s="24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5" t="n">
        <v>60.572468</v>
      </c>
    </row>
    <row r="5677">
      <c r="A5677" s="24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5" t="n">
        <v>56.141511</v>
      </c>
    </row>
    <row r="5678">
      <c r="A5678" s="24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5" t="n">
        <v>54.231836</v>
      </c>
    </row>
    <row r="5679">
      <c r="A5679" s="24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5" t="n">
        <v>66.504346</v>
      </c>
    </row>
    <row r="5680">
      <c r="A5680" s="24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5" t="n">
        <v>74.604855</v>
      </c>
    </row>
    <row r="5681">
      <c r="A5681" s="24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5" t="n">
        <v>117.918296</v>
      </c>
    </row>
    <row r="5682">
      <c r="A5682" s="24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5" t="n">
        <v>141.616193</v>
      </c>
    </row>
    <row r="5683">
      <c r="A5683" s="24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5" t="n">
        <v>116.185583</v>
      </c>
    </row>
    <row r="5684">
      <c r="A5684" s="24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5" t="n">
        <v>90.69603499999999</v>
      </c>
    </row>
    <row r="5685">
      <c r="A5685" s="24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5" t="n">
        <v>70.83159999999999</v>
      </c>
    </row>
    <row r="5686">
      <c r="A5686" s="24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5" t="n">
        <v>61.518634</v>
      </c>
    </row>
    <row r="5687">
      <c r="A5687" s="24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5" t="n">
        <v>51.02187</v>
      </c>
    </row>
    <row r="5688">
      <c r="A5688" s="24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5" t="n">
        <v>58.474799</v>
      </c>
    </row>
    <row r="5689">
      <c r="A5689" s="24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5" t="n">
        <v>57.478752</v>
      </c>
    </row>
    <row r="5690">
      <c r="A5690" s="24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5" t="n">
        <v>53.204299</v>
      </c>
    </row>
    <row r="5691">
      <c r="A5691" s="24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5" t="n">
        <v>75.124849</v>
      </c>
    </row>
    <row r="5692">
      <c r="A5692" s="24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5" t="n">
        <v>94.23642599999999</v>
      </c>
    </row>
    <row r="5693">
      <c r="A5693" s="24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5" t="n">
        <v>99.71139700000001</v>
      </c>
    </row>
    <row r="5694">
      <c r="A5694" s="24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5" t="n">
        <v>160.578565</v>
      </c>
    </row>
    <row r="5695">
      <c r="A5695" s="24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5" t="n">
        <v>298.624843</v>
      </c>
    </row>
    <row r="5696">
      <c r="A5696" s="24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5" t="n">
        <v>326.379416</v>
      </c>
    </row>
    <row r="5697">
      <c r="A5697" s="24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5" t="n">
        <v>232.681845</v>
      </c>
    </row>
    <row r="5698">
      <c r="A5698" s="24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5" t="n">
        <v>204.780051</v>
      </c>
    </row>
    <row r="5699">
      <c r="A5699" s="24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5" t="n">
        <v>183.628458</v>
      </c>
    </row>
    <row r="5700">
      <c r="A5700" s="24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5" t="n">
        <v>139.115399</v>
      </c>
    </row>
    <row r="5701">
      <c r="A5701" s="24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5" t="n">
        <v>108.246595</v>
      </c>
    </row>
    <row r="5702">
      <c r="A5702" s="24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5" t="n">
        <v>95.215295</v>
      </c>
    </row>
    <row r="5703">
      <c r="A5703" s="24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5" t="n">
        <v>127.984726</v>
      </c>
    </row>
    <row r="5704">
      <c r="A5704" s="24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5" t="n">
        <v>127.01476</v>
      </c>
    </row>
    <row r="5705">
      <c r="A5705" s="24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5" t="n">
        <v>110.131281</v>
      </c>
    </row>
    <row r="5706">
      <c r="A5706" s="24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5" t="n">
        <v>85.779489</v>
      </c>
    </row>
    <row r="5707">
      <c r="A5707" s="24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5" t="n">
        <v>78.64685900000001</v>
      </c>
    </row>
    <row r="5708">
      <c r="A5708" s="24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5" t="n">
        <v>64.913256</v>
      </c>
    </row>
    <row r="5709">
      <c r="A5709" s="24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5" t="n">
        <v>52.508897</v>
      </c>
    </row>
    <row r="5710">
      <c r="A5710" s="24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5" t="n">
        <v>47.256829</v>
      </c>
    </row>
    <row r="5711">
      <c r="A5711" s="24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5" t="n">
        <v>44.496095</v>
      </c>
    </row>
    <row r="5712">
      <c r="A5712" s="24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5" t="n">
        <v>42.988667</v>
      </c>
    </row>
    <row r="5713">
      <c r="A5713" s="24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5" t="n">
        <v>42.036987</v>
      </c>
    </row>
    <row r="5714">
      <c r="A5714" s="24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5" t="n">
        <v>35.542784</v>
      </c>
    </row>
    <row r="5715">
      <c r="A5715" s="24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5" t="n">
        <v>29.211562</v>
      </c>
    </row>
    <row r="5716">
      <c r="A5716" s="24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5" t="n">
        <v>24.449986</v>
      </c>
    </row>
    <row r="5717">
      <c r="A5717" s="24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5" t="n">
        <v>20.819521</v>
      </c>
    </row>
    <row r="5718">
      <c r="A5718" s="24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5" t="n">
        <v>17.9493</v>
      </c>
    </row>
    <row r="5719">
      <c r="A5719" s="24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5" t="n">
        <v>15.625215</v>
      </c>
    </row>
    <row r="5720">
      <c r="A5720" s="24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5" t="n">
        <v>13.908536</v>
      </c>
    </row>
    <row r="5721">
      <c r="A5721" s="24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5" t="n">
        <v>12.251077</v>
      </c>
    </row>
    <row r="5722">
      <c r="A5722" s="24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5" t="n">
        <v>11.084274</v>
      </c>
    </row>
    <row r="5723">
      <c r="A5723" s="24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5" t="n">
        <v>44.943673</v>
      </c>
    </row>
    <row r="5724">
      <c r="A5724" s="24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5" t="n">
        <v>37.255284</v>
      </c>
    </row>
    <row r="5725">
      <c r="A5725" s="24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5" t="n">
        <v>30.299128</v>
      </c>
    </row>
    <row r="5726">
      <c r="A5726" s="24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5" t="n">
        <v>45.86125</v>
      </c>
    </row>
    <row r="5727">
      <c r="A5727" s="24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5" t="n">
        <v>51.330135</v>
      </c>
    </row>
    <row r="5728">
      <c r="A5728" s="24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5" t="n">
        <v>49.014271</v>
      </c>
    </row>
    <row r="5729">
      <c r="A5729" s="24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5" t="n">
        <v>52.934796</v>
      </c>
    </row>
    <row r="5730">
      <c r="A5730" s="24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5" t="n">
        <v>55.275694</v>
      </c>
    </row>
    <row r="5731">
      <c r="A5731" s="24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5" t="n">
        <v>43.832852</v>
      </c>
    </row>
    <row r="5732">
      <c r="A5732" s="24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5" t="n">
        <v>79.502218</v>
      </c>
    </row>
    <row r="5733">
      <c r="A5733" s="24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5" t="n">
        <v>74.14748</v>
      </c>
    </row>
    <row r="5734">
      <c r="A5734" s="24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5" t="n">
        <v>101.463689</v>
      </c>
    </row>
    <row r="5735">
      <c r="A5735" s="24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5" t="n">
        <v>79.530807</v>
      </c>
    </row>
    <row r="5736">
      <c r="A5736" s="24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5" t="n">
        <v>77.03509</v>
      </c>
    </row>
    <row r="5737">
      <c r="A5737" s="24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5" t="n">
        <v>72.90357299999999</v>
      </c>
    </row>
    <row r="5738">
      <c r="A5738" s="24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5" t="n">
        <v>68.90921400000001</v>
      </c>
    </row>
    <row r="5739">
      <c r="A5739" s="24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5" t="n">
        <v>79.374245</v>
      </c>
    </row>
    <row r="5740">
      <c r="A5740" s="24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5" t="n">
        <v>72.68714199999999</v>
      </c>
    </row>
    <row r="5741">
      <c r="A5741" s="24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5" t="n">
        <v>113.038028</v>
      </c>
    </row>
    <row r="5742">
      <c r="A5742" s="24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5" t="n">
        <v>124.041686</v>
      </c>
    </row>
    <row r="5743">
      <c r="A5743" s="24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5" t="n">
        <v>99.85868000000001</v>
      </c>
    </row>
    <row r="5744">
      <c r="A5744" s="24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5" t="n">
        <v>85.854849</v>
      </c>
    </row>
    <row r="5745">
      <c r="A5745" s="24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5" t="n">
        <v>70.395573</v>
      </c>
    </row>
    <row r="5746">
      <c r="A5746" s="24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5" t="n">
        <v>60.203959</v>
      </c>
    </row>
    <row r="5747">
      <c r="A5747" s="24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5" t="n">
        <v>63.667845</v>
      </c>
    </row>
    <row r="5748">
      <c r="A5748" s="24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5" t="n">
        <v>59.809022</v>
      </c>
    </row>
    <row r="5749">
      <c r="A5749" s="24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5" t="n">
        <v>63.885077</v>
      </c>
    </row>
    <row r="5750">
      <c r="A5750" s="24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5" t="n">
        <v>55.120113</v>
      </c>
    </row>
    <row r="5751">
      <c r="A5751" s="24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5" t="n">
        <v>44.468024</v>
      </c>
    </row>
    <row r="5752">
      <c r="A5752" s="24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5" t="n">
        <v>62.248346</v>
      </c>
    </row>
    <row r="5753">
      <c r="A5753" s="24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5" t="n">
        <v>59.799974</v>
      </c>
    </row>
    <row r="5754">
      <c r="A5754" s="24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5" t="n">
        <v>54.165553</v>
      </c>
    </row>
    <row r="5755">
      <c r="A5755" s="24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5" t="n">
        <v>63.29542</v>
      </c>
    </row>
    <row r="5756">
      <c r="A5756" s="24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5" t="n">
        <v>89.94684100000001</v>
      </c>
    </row>
    <row r="5757">
      <c r="A5757" s="24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5" t="n">
        <v>78.644492</v>
      </c>
    </row>
    <row r="5758">
      <c r="A5758" s="24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5" t="n">
        <v>77.266367</v>
      </c>
    </row>
    <row r="5759">
      <c r="A5759" s="24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5" t="n">
        <v>102.209265</v>
      </c>
    </row>
    <row r="5760">
      <c r="A5760" s="24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5" t="n">
        <v>86.011228</v>
      </c>
    </row>
    <row r="5761">
      <c r="A5761" s="24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5" t="n">
        <v>66.17093</v>
      </c>
    </row>
    <row r="5762">
      <c r="A5762" s="24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5" t="n">
        <v>61.432254</v>
      </c>
    </row>
    <row r="5763">
      <c r="A5763" s="24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5" t="n">
        <v>105.236271</v>
      </c>
    </row>
    <row r="5764">
      <c r="A5764" s="24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5" t="n">
        <v>93.76240799999999</v>
      </c>
    </row>
    <row r="5765">
      <c r="A5765" s="24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5" t="n">
        <v>82.63401500000001</v>
      </c>
    </row>
    <row r="5766">
      <c r="A5766" s="24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5" t="n">
        <v>78.21236399999999</v>
      </c>
    </row>
    <row r="5767">
      <c r="A5767" s="24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5" t="n">
        <v>62.734317</v>
      </c>
    </row>
    <row r="5768">
      <c r="A5768" s="24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5" t="n">
        <v>60.541171</v>
      </c>
    </row>
    <row r="5769">
      <c r="A5769" s="24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5" t="n">
        <v>59.545595</v>
      </c>
    </row>
    <row r="5770">
      <c r="A5770" s="24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5" t="n">
        <v>47.88642</v>
      </c>
    </row>
    <row r="5771">
      <c r="A5771" s="24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5" t="n">
        <v>38.264055</v>
      </c>
    </row>
    <row r="5772">
      <c r="A5772" s="24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5" t="n">
        <v>32.411403</v>
      </c>
    </row>
    <row r="5773">
      <c r="A5773" s="24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5" t="n">
        <v>33.97558</v>
      </c>
    </row>
    <row r="5774">
      <c r="A5774" s="24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5" t="n">
        <v>33.316657</v>
      </c>
    </row>
    <row r="5775">
      <c r="A5775" s="24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5" t="n">
        <v>35.625893</v>
      </c>
    </row>
    <row r="5776">
      <c r="A5776" s="24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5" t="n">
        <v>40.286595</v>
      </c>
    </row>
    <row r="5777">
      <c r="A5777" s="24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5" t="n">
        <v>35.370664</v>
      </c>
    </row>
    <row r="5778">
      <c r="A5778" s="24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5" t="n">
        <v>64.772445</v>
      </c>
    </row>
    <row r="5779">
      <c r="A5779" s="24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5" t="n">
        <v>57.786604</v>
      </c>
    </row>
    <row r="5780">
      <c r="A5780" s="24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5" t="n">
        <v>47.336201</v>
      </c>
    </row>
    <row r="5781">
      <c r="A5781" s="24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5" t="n">
        <v>49.702127</v>
      </c>
    </row>
    <row r="5782">
      <c r="A5782" s="24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5" t="n">
        <v>52.495483</v>
      </c>
    </row>
    <row r="5783">
      <c r="A5783" s="24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5" t="n">
        <v>96.581732</v>
      </c>
    </row>
    <row r="5784">
      <c r="A5784" s="24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5" t="n">
        <v>95.995282</v>
      </c>
    </row>
    <row r="5785">
      <c r="A5785" s="24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5" t="n">
        <v>76.953571</v>
      </c>
    </row>
    <row r="5786">
      <c r="A5786" s="24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5" t="n">
        <v>59.545179</v>
      </c>
    </row>
    <row r="5787">
      <c r="A5787" s="24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5" t="n">
        <v>53.490645</v>
      </c>
    </row>
    <row r="5788">
      <c r="A5788" s="24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5" t="n">
        <v>46.804989</v>
      </c>
    </row>
    <row r="5789">
      <c r="A5789" s="24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5" t="n">
        <v>37.836851</v>
      </c>
    </row>
    <row r="5790">
      <c r="A5790" s="24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5" t="n">
        <v>30.740903</v>
      </c>
    </row>
    <row r="5791">
      <c r="A5791" s="24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5" t="n">
        <v>32.108651</v>
      </c>
    </row>
    <row r="5792">
      <c r="A5792" s="24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5" t="n">
        <v>27.298476</v>
      </c>
    </row>
    <row r="5793">
      <c r="A5793" s="24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5" t="n">
        <v>22.505152</v>
      </c>
    </row>
    <row r="5794">
      <c r="A5794" s="24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5" t="n">
        <v>19.907759</v>
      </c>
    </row>
    <row r="5795">
      <c r="A5795" s="24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5" t="n">
        <v>17.65182</v>
      </c>
    </row>
    <row r="5796">
      <c r="A5796" s="24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5" t="n">
        <v>16.143726</v>
      </c>
    </row>
    <row r="5797">
      <c r="A5797" s="24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5" t="n">
        <v>13.64756</v>
      </c>
    </row>
    <row r="5798">
      <c r="A5798" s="24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5" t="n">
        <v>33.365565</v>
      </c>
    </row>
    <row r="5799">
      <c r="A5799" s="24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5" t="n">
        <v>34.201444</v>
      </c>
    </row>
    <row r="5800">
      <c r="A5800" s="24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5" t="n">
        <v>26.273093</v>
      </c>
    </row>
    <row r="5801">
      <c r="A5801" s="24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5" t="n">
        <v>33.733951</v>
      </c>
    </row>
    <row r="5802">
      <c r="A5802" s="24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5" t="n">
        <v>26.928734</v>
      </c>
    </row>
    <row r="5803">
      <c r="A5803" s="24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5" t="n">
        <v>20.645385</v>
      </c>
    </row>
    <row r="5804">
      <c r="A5804" s="24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5" t="n">
        <v>38.081031</v>
      </c>
    </row>
    <row r="5805">
      <c r="A5805" s="24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5" t="n">
        <v>38.827373</v>
      </c>
    </row>
    <row r="5806">
      <c r="A5806" s="24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5" t="n">
        <v>36.664891</v>
      </c>
    </row>
    <row r="5807">
      <c r="A5807" s="24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5" t="n">
        <v>61.707147</v>
      </c>
    </row>
    <row r="5808">
      <c r="A5808" s="24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5" t="n">
        <v>70.25185999999999</v>
      </c>
    </row>
    <row r="5809">
      <c r="A5809" s="24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5" t="n">
        <v>63.995846</v>
      </c>
    </row>
    <row r="5810">
      <c r="A5810" s="24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5" t="n">
        <v>57.178602</v>
      </c>
    </row>
    <row r="5811">
      <c r="A5811" s="24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5" t="n">
        <v>44.510453</v>
      </c>
    </row>
    <row r="5812">
      <c r="A5812" s="24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5" t="n">
        <v>34.654064</v>
      </c>
    </row>
    <row r="5813">
      <c r="A5813" s="24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5" t="n">
        <v>27.479792</v>
      </c>
    </row>
    <row r="5814">
      <c r="A5814" s="24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5" t="n">
        <v>25.09863</v>
      </c>
    </row>
    <row r="5815">
      <c r="A5815" s="24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5" t="n">
        <v>23.742227</v>
      </c>
    </row>
    <row r="5816">
      <c r="A5816" s="24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5" t="n">
        <v>23.702092</v>
      </c>
    </row>
    <row r="5817">
      <c r="A5817" s="24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5" t="n">
        <v>22.363284</v>
      </c>
    </row>
    <row r="5818">
      <c r="A5818" s="24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5" t="n">
        <v>26.352419</v>
      </c>
    </row>
    <row r="5819">
      <c r="A5819" s="24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5" t="n">
        <v>24.111574</v>
      </c>
    </row>
    <row r="5820">
      <c r="A5820" s="24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5" t="n">
        <v>49.005699</v>
      </c>
    </row>
    <row r="5821">
      <c r="A5821" s="24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5" t="n">
        <v>73.538977</v>
      </c>
    </row>
    <row r="5822">
      <c r="A5822" s="24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5" t="n">
        <v>59.338059</v>
      </c>
    </row>
    <row r="5823">
      <c r="A5823" s="24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5" t="n">
        <v>96.022234</v>
      </c>
    </row>
    <row r="5824">
      <c r="A5824" s="24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5" t="n">
        <v>109.701608</v>
      </c>
    </row>
    <row r="5825">
      <c r="A5825" s="24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5" t="n">
        <v>82.250737</v>
      </c>
    </row>
    <row r="5826">
      <c r="A5826" s="24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5" t="n">
        <v>60.844024</v>
      </c>
    </row>
    <row r="5827">
      <c r="A5827" s="24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5" t="n">
        <v>46.918005</v>
      </c>
    </row>
    <row r="5828">
      <c r="A5828" s="24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5" t="n">
        <v>37.764541</v>
      </c>
    </row>
    <row r="5829">
      <c r="A5829" s="24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5" t="n">
        <v>32.007837</v>
      </c>
    </row>
    <row r="5830">
      <c r="A5830" s="24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5" t="n">
        <v>32.422109</v>
      </c>
    </row>
    <row r="5831">
      <c r="A5831" s="24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5" t="n">
        <v>50.382861</v>
      </c>
    </row>
    <row r="5832">
      <c r="A5832" s="24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5" t="n">
        <v>46.731384</v>
      </c>
    </row>
    <row r="5833">
      <c r="A5833" s="24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5" t="n">
        <v>74.881199</v>
      </c>
    </row>
    <row r="5834">
      <c r="A5834" s="24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5" t="n">
        <v>68.98501899999999</v>
      </c>
    </row>
    <row r="5835">
      <c r="A5835" s="24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5" t="n">
        <v>78.29149</v>
      </c>
    </row>
    <row r="5836">
      <c r="A5836" s="24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5" t="n">
        <v>64.085087</v>
      </c>
    </row>
    <row r="5837">
      <c r="A5837" s="24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5" t="n">
        <v>48.461293</v>
      </c>
    </row>
    <row r="5838">
      <c r="A5838" s="24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5" t="n">
        <v>38.946653</v>
      </c>
    </row>
    <row r="5839">
      <c r="A5839" s="24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5" t="n">
        <v>44.650993</v>
      </c>
    </row>
    <row r="5840">
      <c r="A5840" s="24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5" t="n">
        <v>39.27182</v>
      </c>
    </row>
    <row r="5841">
      <c r="A5841" s="24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5" t="n">
        <v>30.934708</v>
      </c>
    </row>
    <row r="5842">
      <c r="A5842" s="24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5" t="n">
        <v>24.762236</v>
      </c>
    </row>
    <row r="5843">
      <c r="A5843" s="24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5" t="n">
        <v>28.223213</v>
      </c>
    </row>
    <row r="5844">
      <c r="A5844" s="24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5" t="n">
        <v>28.474257</v>
      </c>
    </row>
    <row r="5845">
      <c r="A5845" s="24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5" t="n">
        <v>45.868307</v>
      </c>
    </row>
    <row r="5846">
      <c r="A5846" s="24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5" t="n">
        <v>37.041228</v>
      </c>
    </row>
    <row r="5847">
      <c r="A5847" s="24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5" t="n">
        <v>28.052754</v>
      </c>
    </row>
    <row r="5848">
      <c r="A5848" s="24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5" t="n">
        <v>23.376014</v>
      </c>
    </row>
    <row r="5849">
      <c r="A5849" s="24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5" t="n">
        <v>29.42751</v>
      </c>
    </row>
    <row r="5850">
      <c r="A5850" s="24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5" t="n">
        <v>50.228819</v>
      </c>
    </row>
    <row r="5851">
      <c r="A5851" s="24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5" t="n">
        <v>43.476022</v>
      </c>
    </row>
    <row r="5852">
      <c r="A5852" s="24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5" t="n">
        <v>36.118824</v>
      </c>
    </row>
    <row r="5853">
      <c r="A5853" s="24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5" t="n">
        <v>29.841607</v>
      </c>
    </row>
    <row r="5854">
      <c r="A5854" s="24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5" t="n">
        <v>35.765586</v>
      </c>
    </row>
    <row r="5855">
      <c r="A5855" s="24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5" t="n">
        <v>38.538069</v>
      </c>
    </row>
    <row r="5856">
      <c r="A5856" s="24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5" t="n">
        <v>33.624428</v>
      </c>
    </row>
    <row r="5857">
      <c r="A5857" s="24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5" t="n">
        <v>44.630669</v>
      </c>
    </row>
    <row r="5858">
      <c r="A5858" s="24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5" t="n">
        <v>36.141075</v>
      </c>
    </row>
    <row r="5859">
      <c r="A5859" s="24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5" t="n">
        <v>51.318212</v>
      </c>
    </row>
    <row r="5860">
      <c r="A5860" s="24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5" t="n">
        <v>44.692843</v>
      </c>
    </row>
    <row r="5861">
      <c r="A5861" s="24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5" t="n">
        <v>47.076874</v>
      </c>
    </row>
    <row r="5862">
      <c r="A5862" s="24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5" t="n">
        <v>57.63131</v>
      </c>
    </row>
    <row r="5863">
      <c r="A5863" s="24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5" t="n">
        <v>77.926824</v>
      </c>
    </row>
    <row r="5864">
      <c r="A5864" s="24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5" t="n">
        <v>94.37603799999999</v>
      </c>
    </row>
    <row r="5865">
      <c r="A5865" s="24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5" t="n">
        <v>118.834169</v>
      </c>
    </row>
    <row r="5866">
      <c r="A5866" s="24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5" t="n">
        <v>111.427441</v>
      </c>
    </row>
    <row r="5867">
      <c r="A5867" s="24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5" t="n">
        <v>103.434675</v>
      </c>
    </row>
    <row r="5868">
      <c r="A5868" s="24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5" t="n">
        <v>134.650786</v>
      </c>
    </row>
    <row r="5869">
      <c r="A5869" s="24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5" t="n">
        <v>110.458474</v>
      </c>
    </row>
    <row r="5870">
      <c r="A5870" s="24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5" t="n">
        <v>110.723944</v>
      </c>
    </row>
    <row r="5871">
      <c r="A5871" s="24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5" t="n">
        <v>89.650949</v>
      </c>
    </row>
    <row r="5872">
      <c r="A5872" s="24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5" t="n">
        <v>81.483563</v>
      </c>
    </row>
    <row r="5873">
      <c r="A5873" s="24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5" t="n">
        <v>74.2779</v>
      </c>
    </row>
    <row r="5874">
      <c r="A5874" s="24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5" t="n">
        <v>92.39931199999999</v>
      </c>
    </row>
    <row r="5875">
      <c r="A5875" s="24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5" t="n">
        <v>100.40918</v>
      </c>
    </row>
    <row r="5876">
      <c r="A5876" s="24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5" t="n">
        <v>139.208832</v>
      </c>
    </row>
    <row r="5877">
      <c r="A5877" s="24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5" t="n">
        <v>137.467908</v>
      </c>
    </row>
    <row r="5878">
      <c r="A5878" s="24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5" t="n">
        <v>108.757993</v>
      </c>
    </row>
    <row r="5879">
      <c r="A5879" s="24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5" t="n">
        <v>139.598613</v>
      </c>
    </row>
    <row r="5880">
      <c r="A5880" s="24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5" t="n">
        <v>128.844471</v>
      </c>
    </row>
    <row r="5881">
      <c r="A5881" s="24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5" t="n">
        <v>102.93243</v>
      </c>
    </row>
    <row r="5882">
      <c r="A5882" s="24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5" t="n">
        <v>79.53209200000001</v>
      </c>
    </row>
    <row r="5883">
      <c r="A5883" s="24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5" t="n">
        <v>142.204246</v>
      </c>
    </row>
    <row r="5884">
      <c r="A5884" s="24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5" t="n">
        <v>161.380196</v>
      </c>
    </row>
    <row r="5885">
      <c r="A5885" s="24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5" t="n">
        <v>156.704586</v>
      </c>
    </row>
    <row r="5886">
      <c r="A5886" s="24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5" t="n">
        <v>120.594186</v>
      </c>
    </row>
    <row r="5887">
      <c r="A5887" s="24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5" t="n">
        <v>105.597425</v>
      </c>
    </row>
    <row r="5888">
      <c r="A5888" s="24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5" t="n">
        <v>115.599488</v>
      </c>
    </row>
    <row r="5889">
      <c r="A5889" s="24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5" t="n">
        <v>99.364586</v>
      </c>
    </row>
    <row r="5890">
      <c r="A5890" s="24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5" t="n">
        <v>138.88513</v>
      </c>
    </row>
    <row r="5891">
      <c r="A5891" s="24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5" t="n">
        <v>141.137515</v>
      </c>
    </row>
    <row r="5892">
      <c r="A5892" s="24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5" t="n">
        <v>109.570962</v>
      </c>
    </row>
    <row r="5893">
      <c r="A5893" s="24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5" t="n">
        <v>111.328267</v>
      </c>
    </row>
    <row r="5894">
      <c r="A5894" s="24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5" t="n">
        <v>89.201499</v>
      </c>
    </row>
    <row r="5895">
      <c r="A5895" s="24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5" t="n">
        <v>76.27314</v>
      </c>
    </row>
    <row r="5896">
      <c r="A5896" s="24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5" t="n">
        <v>61.572862</v>
      </c>
    </row>
    <row r="5897">
      <c r="A5897" s="24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5" t="n">
        <v>68.011546</v>
      </c>
    </row>
    <row r="5898">
      <c r="A5898" s="24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5" t="n">
        <v>83.391986</v>
      </c>
    </row>
    <row r="5899">
      <c r="A5899" s="24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5" t="n">
        <v>67.01060099999999</v>
      </c>
    </row>
    <row r="5900">
      <c r="A5900" s="24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5" t="n">
        <v>59.759045</v>
      </c>
    </row>
    <row r="5901">
      <c r="A5901" s="24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5" t="n">
        <v>48.128542</v>
      </c>
    </row>
    <row r="5902">
      <c r="A5902" s="24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5" t="n">
        <v>44.877095</v>
      </c>
    </row>
    <row r="5903">
      <c r="A5903" s="24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5" t="n">
        <v>44.483854</v>
      </c>
    </row>
    <row r="5904">
      <c r="A5904" s="24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5" t="n">
        <v>43.614232</v>
      </c>
    </row>
    <row r="5905">
      <c r="A5905" s="24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5" t="n">
        <v>82.17233</v>
      </c>
    </row>
    <row r="5906">
      <c r="A5906" s="24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5" t="n">
        <v>74.922687</v>
      </c>
    </row>
    <row r="5907">
      <c r="A5907" s="24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5" t="n">
        <v>81.57785199999999</v>
      </c>
    </row>
    <row r="5908">
      <c r="A5908" s="24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5" t="n">
        <v>110.805289</v>
      </c>
    </row>
    <row r="5909">
      <c r="A5909" s="24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5" t="n">
        <v>96.42612200000001</v>
      </c>
    </row>
    <row r="5910">
      <c r="A5910" s="24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5" t="n">
        <v>104.005848</v>
      </c>
    </row>
    <row r="5911">
      <c r="A5911" s="24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5" t="n">
        <v>89.686449</v>
      </c>
    </row>
    <row r="5912">
      <c r="A5912" s="24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5" t="n">
        <v>76.68964099999999</v>
      </c>
    </row>
    <row r="5913">
      <c r="A5913" s="24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5" t="n">
        <v>69.727063</v>
      </c>
    </row>
    <row r="5914">
      <c r="A5914" s="24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5" t="n">
        <v>90.276512</v>
      </c>
    </row>
    <row r="5915">
      <c r="A5915" s="24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5" t="n">
        <v>112.040437</v>
      </c>
    </row>
    <row r="5916">
      <c r="A5916" s="24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5" t="n">
        <v>101.514841</v>
      </c>
    </row>
    <row r="5917">
      <c r="A5917" s="24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5" t="n">
        <v>101.588746</v>
      </c>
    </row>
    <row r="5918">
      <c r="A5918" s="24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5" t="n">
        <v>97.54857199999999</v>
      </c>
    </row>
    <row r="5919">
      <c r="A5919" s="24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5" t="n">
        <v>91.29188499999999</v>
      </c>
    </row>
    <row r="5920">
      <c r="A5920" s="24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5" t="n">
        <v>99.926581</v>
      </c>
    </row>
    <row r="5921">
      <c r="A5921" s="24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5" t="n">
        <v>87.312872</v>
      </c>
    </row>
    <row r="5922">
      <c r="A5922" s="24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5" t="n">
        <v>107.394065</v>
      </c>
    </row>
    <row r="5923">
      <c r="A5923" s="24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5" t="n">
        <v>88.918477</v>
      </c>
    </row>
    <row r="5924">
      <c r="A5924" s="24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5" t="n">
        <v>72.45299199999999</v>
      </c>
    </row>
    <row r="5925">
      <c r="A5925" s="24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5" t="n">
        <v>67.560233</v>
      </c>
    </row>
    <row r="5926">
      <c r="A5926" s="24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5" t="n">
        <v>55.974107</v>
      </c>
    </row>
    <row r="5927">
      <c r="A5927" s="24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5" t="n">
        <v>64.68331999999999</v>
      </c>
    </row>
    <row r="5928">
      <c r="A5928" s="24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5" t="n">
        <v>65.20255</v>
      </c>
    </row>
    <row r="5929">
      <c r="A5929" s="24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5" t="n">
        <v>71.743149</v>
      </c>
    </row>
    <row r="5930">
      <c r="A5930" s="24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5" t="n">
        <v>75.00514699999999</v>
      </c>
    </row>
    <row r="5931">
      <c r="A5931" s="24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5" t="n">
        <v>59.880821</v>
      </c>
    </row>
    <row r="5932">
      <c r="A5932" s="24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5" t="n">
        <v>73.054284</v>
      </c>
    </row>
    <row r="5933">
      <c r="A5933" s="24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5" t="n">
        <v>112.107311</v>
      </c>
    </row>
    <row r="5934">
      <c r="A5934" s="24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5" t="n">
        <v>94.174617</v>
      </c>
    </row>
    <row r="5935">
      <c r="A5935" s="24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5" t="n">
        <v>92.976161</v>
      </c>
    </row>
    <row r="5936">
      <c r="A5936" s="24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5" t="n">
        <v>75.59511500000001</v>
      </c>
    </row>
    <row r="5937">
      <c r="A5937" s="24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5" t="n">
        <v>81.188692</v>
      </c>
    </row>
    <row r="5938">
      <c r="A5938" s="24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5" t="n">
        <v>94.33277699999999</v>
      </c>
    </row>
    <row r="5939">
      <c r="A5939" s="24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5" t="n">
        <v>78.85254399999999</v>
      </c>
    </row>
    <row r="5940">
      <c r="A5940" s="24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5" t="n">
        <v>104.285742</v>
      </c>
    </row>
    <row r="5941">
      <c r="A5941" s="24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5" t="n">
        <v>140.460492</v>
      </c>
    </row>
    <row r="5942">
      <c r="A5942" s="24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5" t="n">
        <v>166.051339</v>
      </c>
    </row>
    <row r="5943">
      <c r="A5943" s="24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5" t="n">
        <v>173.424731</v>
      </c>
    </row>
    <row r="5944">
      <c r="A5944" s="24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5" t="n">
        <v>137.740383</v>
      </c>
    </row>
    <row r="5945">
      <c r="A5945" s="24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5" t="n">
        <v>106.840347</v>
      </c>
    </row>
    <row r="5946">
      <c r="A5946" s="24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5" t="n">
        <v>83.603927</v>
      </c>
    </row>
    <row r="5947">
      <c r="A5947" s="24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5" t="n">
        <v>67.476893</v>
      </c>
    </row>
    <row r="5948">
      <c r="A5948" s="24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5" t="n">
        <v>59.720109</v>
      </c>
    </row>
    <row r="5949">
      <c r="A5949" s="24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5" t="n">
        <v>105.137498</v>
      </c>
    </row>
    <row r="5950">
      <c r="A5950" s="24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5" t="n">
        <v>90.685924</v>
      </c>
    </row>
    <row r="5951">
      <c r="A5951" s="24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5" t="n">
        <v>97.727071</v>
      </c>
    </row>
    <row r="5952">
      <c r="A5952" s="24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5" t="n">
        <v>77.117597</v>
      </c>
    </row>
    <row r="5953">
      <c r="A5953" s="24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5" t="n">
        <v>63.670998</v>
      </c>
    </row>
    <row r="5954">
      <c r="A5954" s="24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5" t="n">
        <v>74.104652</v>
      </c>
    </row>
    <row r="5955">
      <c r="A5955" s="24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5" t="n">
        <v>79.009246</v>
      </c>
    </row>
    <row r="5956">
      <c r="A5956" s="24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5" t="n">
        <v>68.32531899999999</v>
      </c>
    </row>
    <row r="5957">
      <c r="A5957" s="24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5" t="n">
        <v>99.929812</v>
      </c>
    </row>
    <row r="5958">
      <c r="A5958" s="24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5" t="n">
        <v>81.363919</v>
      </c>
    </row>
    <row r="5959">
      <c r="A5959" s="24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5" t="n">
        <v>74.737999</v>
      </c>
    </row>
    <row r="5960">
      <c r="A5960" s="24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5" t="n">
        <v>68.982567</v>
      </c>
    </row>
    <row r="5961">
      <c r="A5961" s="24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5" t="n">
        <v>69.52899600000001</v>
      </c>
    </row>
    <row r="5962">
      <c r="A5962" s="24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5" t="n">
        <v>75.27144699999999</v>
      </c>
    </row>
    <row r="5963">
      <c r="A5963" s="24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5" t="n">
        <v>95.24421</v>
      </c>
    </row>
    <row r="5964">
      <c r="A5964" s="24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5" t="n">
        <v>74.579751</v>
      </c>
    </row>
    <row r="5965">
      <c r="A5965" s="24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5" t="n">
        <v>91.15019100000001</v>
      </c>
    </row>
    <row r="5966">
      <c r="A5966" s="24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5" t="n">
        <v>76.580439</v>
      </c>
    </row>
    <row r="5967">
      <c r="A5967" s="24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5" t="n">
        <v>114.247209</v>
      </c>
    </row>
    <row r="5968">
      <c r="A5968" s="24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5" t="n">
        <v>109.07183</v>
      </c>
    </row>
    <row r="5969">
      <c r="A5969" s="24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5" t="n">
        <v>139.377897</v>
      </c>
    </row>
    <row r="5970">
      <c r="A5970" s="24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5" t="n">
        <v>117.682659</v>
      </c>
    </row>
    <row r="5971">
      <c r="A5971" s="24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5" t="n">
        <v>100.641307</v>
      </c>
    </row>
    <row r="5972">
      <c r="A5972" s="24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5" t="n">
        <v>80.42874</v>
      </c>
    </row>
    <row r="5973">
      <c r="A5973" s="24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5" t="n">
        <v>64.082359</v>
      </c>
    </row>
    <row r="5974">
      <c r="A5974" s="24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5" t="n">
        <v>65.041079</v>
      </c>
    </row>
    <row r="5975">
      <c r="A5975" s="24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5" t="n">
        <v>61.121127</v>
      </c>
    </row>
    <row r="5976">
      <c r="A5976" s="24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5" t="n">
        <v>103.175699</v>
      </c>
    </row>
    <row r="5977">
      <c r="A5977" s="24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5" t="n">
        <v>103.57684</v>
      </c>
    </row>
    <row r="5978">
      <c r="A5978" s="24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5" t="n">
        <v>136.607521</v>
      </c>
    </row>
    <row r="5979">
      <c r="A5979" s="24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5" t="n">
        <v>149.0801</v>
      </c>
    </row>
    <row r="5980">
      <c r="A5980" s="24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5" t="n">
        <v>124.542623</v>
      </c>
    </row>
    <row r="5981">
      <c r="A5981" s="24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5" t="n">
        <v>120.211715</v>
      </c>
    </row>
    <row r="5982">
      <c r="A5982" s="24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5" t="n">
        <v>144.678932</v>
      </c>
    </row>
    <row r="5983">
      <c r="A5983" s="24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5" t="n">
        <v>191.677711</v>
      </c>
    </row>
    <row r="5984">
      <c r="A5984" s="24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5" t="n">
        <v>201.352402</v>
      </c>
    </row>
    <row r="5985">
      <c r="A5985" s="24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5" t="n">
        <v>192.420533</v>
      </c>
    </row>
    <row r="5986">
      <c r="A5986" s="24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5" t="n">
        <v>187.577427</v>
      </c>
    </row>
    <row r="5987">
      <c r="A5987" s="24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5" t="n">
        <v>203.171033</v>
      </c>
    </row>
    <row r="5988">
      <c r="A5988" s="24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5" t="n">
        <v>218.854309</v>
      </c>
    </row>
    <row r="5989">
      <c r="A5989" s="24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5" t="n">
        <v>216.02378</v>
      </c>
    </row>
    <row r="5990">
      <c r="A5990" s="24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5" t="n">
        <v>169.944616</v>
      </c>
    </row>
    <row r="5991">
      <c r="A5991" s="24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5" t="n">
        <v>135.370206</v>
      </c>
    </row>
    <row r="5992">
      <c r="A5992" s="24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5" t="n">
        <v>166.888063</v>
      </c>
    </row>
    <row r="5993">
      <c r="A5993" s="24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5" t="n">
        <v>167.983847</v>
      </c>
    </row>
    <row r="5994">
      <c r="A5994" s="24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5" t="n">
        <v>158.913661</v>
      </c>
    </row>
    <row r="5995">
      <c r="A5995" s="24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5" t="n">
        <v>140.508328</v>
      </c>
    </row>
    <row r="5996">
      <c r="A5996" s="24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5" t="n">
        <v>129.763168</v>
      </c>
    </row>
    <row r="5997">
      <c r="A5997" s="24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5" t="n">
        <v>128.886662</v>
      </c>
    </row>
    <row r="5998">
      <c r="A5998" s="24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5" t="n">
        <v>116.452365</v>
      </c>
    </row>
    <row r="5999">
      <c r="A5999" s="24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5" t="n">
        <v>103.433385</v>
      </c>
    </row>
    <row r="6000">
      <c r="A6000" s="24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5" t="n">
        <v>104.366734</v>
      </c>
    </row>
    <row r="6001">
      <c r="A6001" s="24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5" t="n">
        <v>85.555544</v>
      </c>
    </row>
    <row r="6002">
      <c r="A6002" s="24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5" t="n">
        <v>101.065125</v>
      </c>
    </row>
    <row r="6003">
      <c r="A6003" s="24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5" t="n">
        <v>101.846304</v>
      </c>
    </row>
    <row r="6004">
      <c r="A6004" s="24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5" t="n">
        <v>136.913303</v>
      </c>
    </row>
    <row r="6005">
      <c r="A6005" s="24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5" t="n">
        <v>130.856092</v>
      </c>
    </row>
    <row r="6006">
      <c r="A6006" s="24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5" t="n">
        <v>139.119395</v>
      </c>
    </row>
    <row r="6007">
      <c r="A6007" s="24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5" t="n">
        <v>118.590877</v>
      </c>
    </row>
    <row r="6008">
      <c r="A6008" s="24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5" t="n">
        <v>105.067194</v>
      </c>
    </row>
    <row r="6009">
      <c r="A6009" s="24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5" t="n">
        <v>111.0791</v>
      </c>
    </row>
    <row r="6010">
      <c r="A6010" s="24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5" t="n">
        <v>89.166938</v>
      </c>
    </row>
    <row r="6011">
      <c r="A6011" s="24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5" t="n">
        <v>87.72287</v>
      </c>
    </row>
    <row r="6012">
      <c r="A6012" s="24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5" t="n">
        <v>103.70868</v>
      </c>
    </row>
    <row r="6013">
      <c r="A6013" s="24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5" t="n">
        <v>142.522368</v>
      </c>
    </row>
    <row r="6014">
      <c r="A6014" s="24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5" t="n">
        <v>165.826208</v>
      </c>
    </row>
    <row r="6015">
      <c r="A6015" s="24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5" t="n">
        <v>157.058803</v>
      </c>
    </row>
    <row r="6016">
      <c r="A6016" s="24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5" t="n">
        <v>160.900177</v>
      </c>
    </row>
    <row r="6017">
      <c r="A6017" s="24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5" t="n">
        <v>159.931854</v>
      </c>
    </row>
    <row r="6018">
      <c r="A6018" s="24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5" t="n">
        <v>127.735671</v>
      </c>
    </row>
    <row r="6019">
      <c r="A6019" s="24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5" t="n">
        <v>114.599896</v>
      </c>
    </row>
    <row r="6020">
      <c r="A6020" s="24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5" t="n">
        <v>111.34101</v>
      </c>
    </row>
    <row r="6021">
      <c r="A6021" s="24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5" t="n">
        <v>97.50784899999999</v>
      </c>
    </row>
    <row r="6022">
      <c r="A6022" s="24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5" t="n">
        <v>98.359448</v>
      </c>
    </row>
    <row r="6023">
      <c r="A6023" s="24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5" t="n">
        <v>95.00577800000001</v>
      </c>
    </row>
    <row r="6024">
      <c r="A6024" s="24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5" t="n">
        <v>90.38405</v>
      </c>
    </row>
    <row r="6025">
      <c r="A6025" s="24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5" t="n">
        <v>86.230754</v>
      </c>
    </row>
    <row r="6026">
      <c r="A6026" s="24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5" t="n">
        <v>71.048007</v>
      </c>
    </row>
    <row r="6027">
      <c r="A6027" s="24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5" t="n">
        <v>88.29041100000001</v>
      </c>
    </row>
    <row r="6028">
      <c r="A6028" s="24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5" t="n">
        <v>105.618536</v>
      </c>
    </row>
    <row r="6029">
      <c r="A6029" s="24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5" t="n">
        <v>143.002982</v>
      </c>
    </row>
    <row r="6030">
      <c r="A6030" s="24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5" t="n">
        <v>173.397751</v>
      </c>
    </row>
    <row r="6031">
      <c r="A6031" s="24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5" t="n">
        <v>193.60634</v>
      </c>
    </row>
    <row r="6032">
      <c r="A6032" s="24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5" t="n">
        <v>193.129817</v>
      </c>
    </row>
    <row r="6033">
      <c r="A6033" s="24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5" t="n">
        <v>190.890292</v>
      </c>
    </row>
    <row r="6034">
      <c r="A6034" s="24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5" t="n">
        <v>148.394186</v>
      </c>
    </row>
    <row r="6035">
      <c r="A6035" s="24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5" t="n">
        <v>128.604122</v>
      </c>
    </row>
    <row r="6036">
      <c r="A6036" s="24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5" t="n">
        <v>107.844306</v>
      </c>
    </row>
    <row r="6037">
      <c r="A6037" s="24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5" t="n">
        <v>98.763986</v>
      </c>
    </row>
    <row r="6038">
      <c r="A6038" s="24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5" t="n">
        <v>89.126394</v>
      </c>
    </row>
    <row r="6039">
      <c r="A6039" s="24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5" t="n">
        <v>78.516936</v>
      </c>
    </row>
    <row r="6040">
      <c r="A6040" s="24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5" t="n">
        <v>93.843734</v>
      </c>
    </row>
    <row r="6041">
      <c r="A6041" s="24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5" t="n">
        <v>88.92706800000001</v>
      </c>
    </row>
    <row r="6042">
      <c r="A6042" s="24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5" t="n">
        <v>114.193324</v>
      </c>
    </row>
    <row r="6043">
      <c r="A6043" s="24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5" t="n">
        <v>107.801052</v>
      </c>
    </row>
    <row r="6044">
      <c r="A6044" s="24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5" t="n">
        <v>85.25682399999999</v>
      </c>
    </row>
    <row r="6045">
      <c r="A6045" s="24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5" t="n">
        <v>74.581654</v>
      </c>
    </row>
    <row r="6046">
      <c r="A6046" s="24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5" t="n">
        <v>117.871315</v>
      </c>
    </row>
    <row r="6047">
      <c r="A6047" s="24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5" t="n">
        <v>132.243014</v>
      </c>
    </row>
    <row r="6048">
      <c r="A6048" s="24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5" t="n">
        <v>158.166364</v>
      </c>
    </row>
    <row r="6049">
      <c r="A6049" s="24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5" t="n">
        <v>178.656069</v>
      </c>
    </row>
    <row r="6050">
      <c r="A6050" s="24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5" t="n">
        <v>212.574753</v>
      </c>
    </row>
    <row r="6051">
      <c r="A6051" s="24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5" t="n">
        <v>220.139301</v>
      </c>
    </row>
    <row r="6052">
      <c r="A6052" s="24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5" t="n">
        <v>210.427233</v>
      </c>
    </row>
    <row r="6053">
      <c r="A6053" s="24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5" t="n">
        <v>228.646673</v>
      </c>
    </row>
    <row r="6054">
      <c r="A6054" s="24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5" t="n">
        <v>225.049586</v>
      </c>
    </row>
    <row r="6055">
      <c r="A6055" s="24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5" t="n">
        <v>214.631348</v>
      </c>
    </row>
    <row r="6056">
      <c r="A6056" s="24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5" t="n">
        <v>210.362174</v>
      </c>
    </row>
    <row r="6057">
      <c r="A6057" s="24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5" t="n">
        <v>179.927924</v>
      </c>
    </row>
    <row r="6058">
      <c r="A6058" s="24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5" t="n">
        <v>150.225695</v>
      </c>
    </row>
    <row r="6059">
      <c r="A6059" s="24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5" t="n">
        <v>123.326914</v>
      </c>
    </row>
    <row r="6060">
      <c r="A6060" s="24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5" t="n">
        <v>102.289381</v>
      </c>
    </row>
    <row r="6061">
      <c r="A6061" s="24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5" t="n">
        <v>83.286776</v>
      </c>
    </row>
    <row r="6062">
      <c r="A6062" s="24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5" t="n">
        <v>72.93865099999999</v>
      </c>
    </row>
    <row r="6063">
      <c r="A6063" s="24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5" t="n">
        <v>66.143461</v>
      </c>
    </row>
    <row r="6064">
      <c r="A6064" s="24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5" t="n">
        <v>64.024501</v>
      </c>
    </row>
    <row r="6065">
      <c r="A6065" s="24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5" t="n">
        <v>56.279246</v>
      </c>
    </row>
    <row r="6066">
      <c r="A6066" s="24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5" t="n">
        <v>49.366722</v>
      </c>
    </row>
    <row r="6067">
      <c r="A6067" s="24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5" t="n">
        <v>65.59913400000001</v>
      </c>
    </row>
    <row r="6068">
      <c r="A6068" s="24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5" t="n">
        <v>67.67478699999999</v>
      </c>
    </row>
    <row r="6069">
      <c r="A6069" s="24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5" t="n">
        <v>56.77843</v>
      </c>
    </row>
    <row r="6070">
      <c r="A6070" s="24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5" t="n">
        <v>73.87048900000001</v>
      </c>
    </row>
    <row r="6071">
      <c r="A6071" s="24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5" t="n">
        <v>109.106586</v>
      </c>
    </row>
    <row r="6072">
      <c r="A6072" s="24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5" t="n">
        <v>100.46738</v>
      </c>
    </row>
    <row r="6073">
      <c r="A6073" s="24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5" t="n">
        <v>91.831891</v>
      </c>
    </row>
    <row r="6074">
      <c r="A6074" s="24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5" t="n">
        <v>75.765506</v>
      </c>
    </row>
    <row r="6075">
      <c r="A6075" s="24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5" t="n">
        <v>73.58949200000001</v>
      </c>
    </row>
    <row r="6076">
      <c r="A6076" s="24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5" t="n">
        <v>82.378996</v>
      </c>
    </row>
    <row r="6077">
      <c r="A6077" s="24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5" t="n">
        <v>121.233894</v>
      </c>
    </row>
    <row r="6078">
      <c r="A6078" s="24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5" t="n">
        <v>147.884648</v>
      </c>
    </row>
    <row r="6079">
      <c r="A6079" s="24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5" t="n">
        <v>182.118446</v>
      </c>
    </row>
    <row r="6080">
      <c r="A6080" s="24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5" t="n">
        <v>202.09348</v>
      </c>
    </row>
    <row r="6081">
      <c r="A6081" s="24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5" t="n">
        <v>203.717258</v>
      </c>
    </row>
    <row r="6082">
      <c r="A6082" s="24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5" t="n">
        <v>201.245134</v>
      </c>
    </row>
    <row r="6083">
      <c r="A6083" s="24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5" t="n">
        <v>192.717757</v>
      </c>
    </row>
    <row r="6084">
      <c r="A6084" s="24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5" t="n">
        <v>148.967105</v>
      </c>
    </row>
    <row r="6085">
      <c r="A6085" s="24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5" t="n">
        <v>132.42751</v>
      </c>
    </row>
    <row r="6086">
      <c r="A6086" s="24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5" t="n">
        <v>105.154059</v>
      </c>
    </row>
    <row r="6087">
      <c r="A6087" s="24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5" t="n">
        <v>83.47954900000001</v>
      </c>
    </row>
    <row r="6088">
      <c r="A6088" s="24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5" t="n">
        <v>68.575761</v>
      </c>
    </row>
    <row r="6089">
      <c r="A6089" s="24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5" t="n">
        <v>57.764854</v>
      </c>
    </row>
    <row r="6090">
      <c r="A6090" s="24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5" t="n">
        <v>48.855096</v>
      </c>
    </row>
    <row r="6091">
      <c r="A6091" s="24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5" t="n">
        <v>41.553942</v>
      </c>
    </row>
    <row r="6092">
      <c r="A6092" s="24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5" t="n">
        <v>38.42616</v>
      </c>
    </row>
    <row r="6093">
      <c r="A6093" s="24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5" t="n">
        <v>88.760577</v>
      </c>
    </row>
    <row r="6094">
      <c r="A6094" s="24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5" t="n">
        <v>119.194511</v>
      </c>
    </row>
    <row r="6095">
      <c r="A6095" s="24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5" t="n">
        <v>97.953658</v>
      </c>
    </row>
    <row r="6096">
      <c r="A6096" s="24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5" t="n">
        <v>73.867896</v>
      </c>
    </row>
    <row r="6097">
      <c r="A6097" s="24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5" t="n">
        <v>57.805606</v>
      </c>
    </row>
    <row r="6098">
      <c r="A6098" s="24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5" t="n">
        <v>49.750934</v>
      </c>
    </row>
    <row r="6099">
      <c r="A6099" s="24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5" t="n">
        <v>63.838947</v>
      </c>
    </row>
    <row r="6100">
      <c r="A6100" s="24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5" t="n">
        <v>52.201988</v>
      </c>
    </row>
    <row r="6101">
      <c r="A6101" s="24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5" t="n">
        <v>40.975455</v>
      </c>
    </row>
    <row r="6102">
      <c r="A6102" s="24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5" t="n">
        <v>75.38209999999999</v>
      </c>
    </row>
    <row r="6103">
      <c r="A6103" s="24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5" t="n">
        <v>118.037508</v>
      </c>
    </row>
    <row r="6104">
      <c r="A6104" s="24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5" t="n">
        <v>103.137146</v>
      </c>
    </row>
    <row r="6105">
      <c r="A6105" s="24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5" t="n">
        <v>114.203507</v>
      </c>
    </row>
    <row r="6106">
      <c r="A6106" s="24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5" t="n">
        <v>94.39970099999999</v>
      </c>
    </row>
    <row r="6107">
      <c r="A6107" s="24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5" t="n">
        <v>128.055117</v>
      </c>
    </row>
    <row r="6108">
      <c r="A6108" s="24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5" t="n">
        <v>118.401125</v>
      </c>
    </row>
    <row r="6109">
      <c r="A6109" s="24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5" t="n">
        <v>100.699742</v>
      </c>
    </row>
    <row r="6110">
      <c r="A6110" s="24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5" t="n">
        <v>140.273995</v>
      </c>
    </row>
    <row r="6111">
      <c r="A6111" s="24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5" t="n">
        <v>168.917857</v>
      </c>
    </row>
    <row r="6112">
      <c r="A6112" s="24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5" t="n">
        <v>177.892639</v>
      </c>
    </row>
    <row r="6113">
      <c r="A6113" s="24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5" t="n">
        <v>187.025566</v>
      </c>
    </row>
    <row r="6114">
      <c r="A6114" s="24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5" t="n">
        <v>154.271122</v>
      </c>
    </row>
    <row r="6115">
      <c r="A6115" s="24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5" t="n">
        <v>136.936622</v>
      </c>
    </row>
    <row r="6116">
      <c r="A6116" s="24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5" t="n">
        <v>145.033408</v>
      </c>
    </row>
    <row r="6117">
      <c r="A6117" s="24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5" t="n">
        <v>118.524174</v>
      </c>
    </row>
    <row r="6118">
      <c r="A6118" s="24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5" t="n">
        <v>98.84844699999999</v>
      </c>
    </row>
    <row r="6119">
      <c r="A6119" s="24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5" t="n">
        <v>96.44534899999999</v>
      </c>
    </row>
    <row r="6120">
      <c r="A6120" s="24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5" t="n">
        <v>90.97128600000001</v>
      </c>
    </row>
    <row r="6121">
      <c r="A6121" s="24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5" t="n">
        <v>95.470438</v>
      </c>
    </row>
    <row r="6122">
      <c r="A6122" s="24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5" t="n">
        <v>113.25632</v>
      </c>
    </row>
    <row r="6123">
      <c r="A6123" s="24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5" t="n">
        <v>89.78231100000001</v>
      </c>
    </row>
    <row r="6124">
      <c r="A6124" s="24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5" t="n">
        <v>88.68049600000001</v>
      </c>
    </row>
    <row r="6125">
      <c r="A6125" s="24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5" t="n">
        <v>75.35762200000001</v>
      </c>
    </row>
    <row r="6126">
      <c r="A6126" s="24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5" t="n">
        <v>74.04536899999999</v>
      </c>
    </row>
    <row r="6127">
      <c r="A6127" s="24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5" t="n">
        <v>73.861164</v>
      </c>
    </row>
    <row r="6128">
      <c r="A6128" s="24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5" t="n">
        <v>67.323415</v>
      </c>
    </row>
    <row r="6129">
      <c r="A6129" s="24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5" t="n">
        <v>62.496209</v>
      </c>
    </row>
    <row r="6130">
      <c r="A6130" s="24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5" t="n">
        <v>52.821178</v>
      </c>
    </row>
    <row r="6131">
      <c r="A6131" s="24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5" t="n">
        <v>45.955397</v>
      </c>
    </row>
    <row r="6132">
      <c r="A6132" s="24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5" t="n">
        <v>41.164198</v>
      </c>
    </row>
    <row r="6133">
      <c r="A6133" s="24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5" t="n">
        <v>45.54088</v>
      </c>
    </row>
    <row r="6134">
      <c r="A6134" s="24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5" t="n">
        <v>45.587094</v>
      </c>
    </row>
    <row r="6135">
      <c r="A6135" s="24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5" t="n">
        <v>42.115938</v>
      </c>
    </row>
    <row r="6136">
      <c r="A6136" s="24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5" t="n">
        <v>44.668467</v>
      </c>
    </row>
    <row r="6137">
      <c r="A6137" s="24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5" t="n">
        <v>75.58667199999999</v>
      </c>
    </row>
    <row r="6138">
      <c r="A6138" s="24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5" t="n">
        <v>60.909337</v>
      </c>
    </row>
    <row r="6139">
      <c r="A6139" s="24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5" t="n">
        <v>46.284616</v>
      </c>
    </row>
    <row r="6140">
      <c r="A6140" s="24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5" t="n">
        <v>36.964851</v>
      </c>
    </row>
    <row r="6141">
      <c r="A6141" s="24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5" t="n">
        <v>29.881873</v>
      </c>
    </row>
    <row r="6142">
      <c r="A6142" s="24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5" t="n">
        <v>25.809948</v>
      </c>
    </row>
    <row r="6143">
      <c r="A6143" s="24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5" t="n">
        <v>23.258031</v>
      </c>
    </row>
    <row r="6144">
      <c r="A6144" s="24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5" t="n">
        <v>19.847976</v>
      </c>
    </row>
    <row r="6145">
      <c r="A6145" s="24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5" t="n">
        <v>18.448578</v>
      </c>
    </row>
    <row r="6146">
      <c r="A6146" s="24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5" t="n">
        <v>16.47639</v>
      </c>
    </row>
    <row r="6147">
      <c r="A6147" s="24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5" t="n">
        <v>17.084144</v>
      </c>
    </row>
    <row r="6148">
      <c r="A6148" s="24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5" t="n">
        <v>15.269103</v>
      </c>
    </row>
    <row r="6149">
      <c r="A6149" s="24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5" t="n">
        <v>13.216656</v>
      </c>
    </row>
    <row r="6150">
      <c r="A6150" s="24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5" t="n">
        <v>11.309817</v>
      </c>
    </row>
    <row r="6151">
      <c r="A6151" s="24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5" t="n">
        <v>9.643347</v>
      </c>
    </row>
    <row r="6152">
      <c r="A6152" s="24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5" t="n">
        <v>8.387676000000001</v>
      </c>
    </row>
    <row r="6153">
      <c r="A6153" s="24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5" t="n">
        <v>8.518165</v>
      </c>
    </row>
    <row r="6154">
      <c r="A6154" s="24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5" t="n">
        <v>7.521132</v>
      </c>
    </row>
    <row r="6155">
      <c r="A6155" s="24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5" t="n">
        <v>6.461841</v>
      </c>
    </row>
    <row r="6156">
      <c r="A6156" s="24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5" t="n">
        <v>5.762583</v>
      </c>
    </row>
    <row r="6157">
      <c r="A6157" s="24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5" t="n">
        <v>5.287001</v>
      </c>
    </row>
    <row r="6158">
      <c r="A6158" s="24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5" t="n">
        <v>5.155699</v>
      </c>
    </row>
    <row r="6159">
      <c r="A6159" s="24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5" t="n">
        <v>5.97069</v>
      </c>
    </row>
    <row r="6160">
      <c r="A6160" s="24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5" t="n">
        <v>7.230396</v>
      </c>
    </row>
    <row r="6161">
      <c r="A6161" s="24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5" t="n">
        <v>7.601589</v>
      </c>
    </row>
    <row r="6162">
      <c r="A6162" s="24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5" t="n">
        <v>11.543389</v>
      </c>
    </row>
    <row r="6163">
      <c r="A6163" s="24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5" t="n">
        <v>18.720112</v>
      </c>
    </row>
    <row r="6164">
      <c r="A6164" s="24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5" t="n">
        <v>22.290457</v>
      </c>
    </row>
    <row r="6165">
      <c r="A6165" s="24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5" t="n">
        <v>18.696753</v>
      </c>
    </row>
    <row r="6166">
      <c r="A6166" s="24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5" t="n">
        <v>16.299935</v>
      </c>
    </row>
    <row r="6167">
      <c r="A6167" s="24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5" t="n">
        <v>27.188798</v>
      </c>
    </row>
    <row r="6168">
      <c r="A6168" s="24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5" t="n">
        <v>22.536097</v>
      </c>
    </row>
    <row r="6169">
      <c r="A6169" s="24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5" t="n">
        <v>33.52225</v>
      </c>
    </row>
    <row r="6170">
      <c r="A6170" s="24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5" t="n">
        <v>49.128768</v>
      </c>
    </row>
    <row r="6171">
      <c r="A6171" s="24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5" t="n">
        <v>47.169745</v>
      </c>
    </row>
    <row r="6172">
      <c r="A6172" s="24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5" t="n">
        <v>38.05057</v>
      </c>
    </row>
    <row r="6173">
      <c r="A6173" s="24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5" t="n">
        <v>29.751676</v>
      </c>
    </row>
    <row r="6174">
      <c r="A6174" s="24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5" t="n">
        <v>25.149578</v>
      </c>
    </row>
    <row r="6175">
      <c r="A6175" s="24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5" t="n">
        <v>25.702908</v>
      </c>
    </row>
    <row r="6176">
      <c r="A6176" s="24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5" t="n">
        <v>20.830665</v>
      </c>
    </row>
    <row r="6177">
      <c r="A6177" s="24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5" t="n">
        <v>17.099668</v>
      </c>
    </row>
    <row r="6178">
      <c r="A6178" s="24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5" t="n">
        <v>30.249466</v>
      </c>
    </row>
    <row r="6179">
      <c r="A6179" s="24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5" t="n">
        <v>45.360811</v>
      </c>
    </row>
    <row r="6180">
      <c r="A6180" s="24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5" t="n">
        <v>37.701511</v>
      </c>
    </row>
    <row r="6181">
      <c r="A6181" s="24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5" t="n">
        <v>58.451012</v>
      </c>
    </row>
    <row r="6182">
      <c r="A6182" s="24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5" t="n">
        <v>56.082188</v>
      </c>
    </row>
    <row r="6183">
      <c r="A6183" s="24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5" t="n">
        <v>69.493572</v>
      </c>
    </row>
    <row r="6184">
      <c r="A6184" s="24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5" t="n">
        <v>57.945664</v>
      </c>
    </row>
    <row r="6185">
      <c r="A6185" s="24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5" t="n">
        <v>55.233341</v>
      </c>
    </row>
    <row r="6186">
      <c r="A6186" s="24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5" t="n">
        <v>46.821134</v>
      </c>
    </row>
    <row r="6187">
      <c r="A6187" s="24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5" t="n">
        <v>36.353409</v>
      </c>
    </row>
    <row r="6188">
      <c r="A6188" s="24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5" t="n">
        <v>29.822021</v>
      </c>
    </row>
    <row r="6189">
      <c r="A6189" s="24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5" t="n">
        <v>24.126693</v>
      </c>
    </row>
    <row r="6190">
      <c r="A6190" s="24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5" t="n">
        <v>20.328689</v>
      </c>
    </row>
    <row r="6191">
      <c r="A6191" s="24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5" t="n">
        <v>34.088019</v>
      </c>
    </row>
    <row r="6192">
      <c r="A6192" s="24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5" t="n">
        <v>28.157114</v>
      </c>
    </row>
    <row r="6193">
      <c r="A6193" s="24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5" t="n">
        <v>26.112409</v>
      </c>
    </row>
    <row r="6194">
      <c r="A6194" s="24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5" t="n">
        <v>22.165926</v>
      </c>
    </row>
    <row r="6195">
      <c r="A6195" s="24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5" t="n">
        <v>17.638583</v>
      </c>
    </row>
    <row r="6196">
      <c r="A6196" s="24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5" t="n">
        <v>14.297785</v>
      </c>
    </row>
    <row r="6197">
      <c r="A6197" s="24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5" t="n">
        <v>11.847662</v>
      </c>
    </row>
    <row r="6198">
      <c r="A6198" s="24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5" t="n">
        <v>10.244955</v>
      </c>
    </row>
    <row r="6199">
      <c r="A6199" s="24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5" t="n">
        <v>8.962668000000001</v>
      </c>
    </row>
    <row r="6200">
      <c r="A6200" s="24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5" t="n">
        <v>7.7846</v>
      </c>
    </row>
    <row r="6201">
      <c r="A6201" s="24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5" t="n">
        <v>12.058</v>
      </c>
    </row>
    <row r="6202">
      <c r="A6202" s="24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5" t="n">
        <v>16.747168</v>
      </c>
    </row>
    <row r="6203">
      <c r="A6203" s="24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5" t="n">
        <v>24.293475</v>
      </c>
    </row>
    <row r="6204">
      <c r="A6204" s="24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5" t="n">
        <v>46.592535</v>
      </c>
    </row>
    <row r="6205">
      <c r="A6205" s="24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5" t="n">
        <v>38.82464</v>
      </c>
    </row>
    <row r="6206">
      <c r="A6206" s="24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5" t="n">
        <v>44.419619</v>
      </c>
    </row>
    <row r="6207">
      <c r="A6207" s="24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5" t="n">
        <v>38.419014</v>
      </c>
    </row>
    <row r="6208">
      <c r="A6208" s="24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5" t="n">
        <v>38.612429</v>
      </c>
    </row>
    <row r="6209">
      <c r="A6209" s="24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5" t="n">
        <v>33.490989</v>
      </c>
    </row>
    <row r="6210">
      <c r="A6210" s="24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5" t="n">
        <v>35.320724</v>
      </c>
    </row>
    <row r="6211">
      <c r="A6211" s="24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5" t="n">
        <v>29.51249</v>
      </c>
    </row>
    <row r="6212">
      <c r="A6212" s="24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5" t="n">
        <v>23.253184</v>
      </c>
    </row>
    <row r="6213">
      <c r="A6213" s="24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5" t="n">
        <v>19.96498</v>
      </c>
    </row>
    <row r="6214">
      <c r="A6214" s="24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5" t="n">
        <v>22.782308</v>
      </c>
    </row>
    <row r="6215">
      <c r="A6215" s="24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5" t="n">
        <v>22.830692</v>
      </c>
    </row>
    <row r="6216">
      <c r="A6216" s="24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5" t="n">
        <v>31.027171</v>
      </c>
    </row>
    <row r="6217">
      <c r="A6217" s="24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5" t="n">
        <v>29.994683</v>
      </c>
    </row>
    <row r="6218">
      <c r="A6218" s="24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5" t="n">
        <v>27.248621</v>
      </c>
    </row>
    <row r="6219">
      <c r="A6219" s="24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5" t="n">
        <v>39.772046</v>
      </c>
    </row>
    <row r="6220">
      <c r="A6220" s="24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5" t="n">
        <v>34.326409</v>
      </c>
    </row>
    <row r="6221">
      <c r="A6221" s="24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5" t="n">
        <v>32.168674</v>
      </c>
    </row>
    <row r="6222">
      <c r="A6222" s="24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5" t="n">
        <v>34.835848</v>
      </c>
    </row>
    <row r="6223">
      <c r="A6223" s="24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5" t="n">
        <v>76.256173</v>
      </c>
    </row>
    <row r="6224">
      <c r="A6224" s="24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5" t="n">
        <v>65.52218000000001</v>
      </c>
    </row>
    <row r="6225">
      <c r="A6225" s="24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5" t="n">
        <v>52.073687</v>
      </c>
    </row>
    <row r="6226">
      <c r="A6226" s="24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5" t="n">
        <v>73.82619099999999</v>
      </c>
    </row>
    <row r="6227">
      <c r="A6227" s="24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5" t="n">
        <v>120.760218</v>
      </c>
    </row>
    <row r="6228">
      <c r="A6228" s="24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5" t="n">
        <v>144.188706</v>
      </c>
    </row>
    <row r="6229">
      <c r="A6229" s="24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5" t="n">
        <v>159.508119</v>
      </c>
    </row>
    <row r="6230">
      <c r="A6230" s="24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5" t="n">
        <v>164.390254</v>
      </c>
    </row>
    <row r="6231">
      <c r="A6231" s="24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5" t="n">
        <v>165.513045</v>
      </c>
    </row>
    <row r="6232">
      <c r="A6232" s="24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5" t="n">
        <v>127.418676</v>
      </c>
    </row>
    <row r="6233">
      <c r="A6233" s="24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5" t="n">
        <v>103.743699</v>
      </c>
    </row>
    <row r="6234">
      <c r="A6234" s="24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5" t="n">
        <v>94.423616</v>
      </c>
    </row>
    <row r="6235">
      <c r="A6235" s="24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5" t="n">
        <v>81.84497500000001</v>
      </c>
    </row>
    <row r="6236">
      <c r="A6236" s="24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5" t="n">
        <v>88.754582</v>
      </c>
    </row>
    <row r="6237">
      <c r="A6237" s="24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5" t="n">
        <v>103.720093</v>
      </c>
    </row>
    <row r="6238">
      <c r="A6238" s="24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5" t="n">
        <v>84.664838</v>
      </c>
    </row>
    <row r="6239">
      <c r="A6239" s="24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5" t="n">
        <v>70.835379</v>
      </c>
    </row>
    <row r="6240">
      <c r="A6240" s="24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5" t="n">
        <v>101.098049</v>
      </c>
    </row>
    <row r="6241">
      <c r="A6241" s="24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5" t="n">
        <v>81.462588</v>
      </c>
    </row>
    <row r="6242">
      <c r="A6242" s="24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5" t="n">
        <v>71.486396</v>
      </c>
    </row>
    <row r="6243">
      <c r="A6243" s="24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5" t="n">
        <v>58.607925</v>
      </c>
    </row>
    <row r="6244">
      <c r="A6244" s="24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5" t="n">
        <v>47.489365</v>
      </c>
    </row>
    <row r="6245">
      <c r="A6245" s="24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5" t="n">
        <v>41.624145</v>
      </c>
    </row>
    <row r="6246">
      <c r="A6246" s="24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5" t="n">
        <v>48.897383</v>
      </c>
    </row>
    <row r="6247">
      <c r="A6247" s="24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5" t="n">
        <v>63.971622</v>
      </c>
    </row>
    <row r="6248">
      <c r="A6248" s="24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5" t="n">
        <v>74.779374</v>
      </c>
    </row>
    <row r="6249">
      <c r="A6249" s="24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5" t="n">
        <v>59.040249</v>
      </c>
    </row>
    <row r="6250">
      <c r="A6250" s="24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5" t="n">
        <v>45.272715</v>
      </c>
    </row>
    <row r="6251">
      <c r="A6251" s="24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5" t="n">
        <v>62.77048</v>
      </c>
    </row>
    <row r="6252">
      <c r="A6252" s="24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5" t="n">
        <v>69.890367</v>
      </c>
    </row>
    <row r="6253">
      <c r="A6253" s="24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5" t="n">
        <v>54.254536</v>
      </c>
    </row>
    <row r="6254">
      <c r="A6254" s="24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5" t="n">
        <v>43.03382</v>
      </c>
    </row>
    <row r="6255">
      <c r="A6255" s="24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5" t="n">
        <v>39.175233</v>
      </c>
    </row>
    <row r="6256">
      <c r="A6256" s="24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5" t="n">
        <v>64.71918700000001</v>
      </c>
    </row>
    <row r="6257">
      <c r="A6257" s="24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5" t="n">
        <v>52.580195</v>
      </c>
    </row>
    <row r="6258">
      <c r="A6258" s="24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5" t="n">
        <v>90.79907</v>
      </c>
    </row>
    <row r="6259">
      <c r="A6259" s="24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5" t="n">
        <v>136.672528</v>
      </c>
    </row>
    <row r="6260">
      <c r="A6260" s="24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5" t="n">
        <v>144.144429</v>
      </c>
    </row>
    <row r="6261">
      <c r="A6261" s="24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5" t="n">
        <v>118.946426</v>
      </c>
    </row>
    <row r="6262">
      <c r="A6262" s="24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5" t="n">
        <v>108.645553</v>
      </c>
    </row>
    <row r="6263">
      <c r="A6263" s="24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5" t="n">
        <v>90.676316</v>
      </c>
    </row>
    <row r="6264">
      <c r="A6264" s="24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5" t="n">
        <v>101.654804</v>
      </c>
    </row>
    <row r="6265">
      <c r="A6265" s="24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5" t="n">
        <v>80.284846</v>
      </c>
    </row>
    <row r="6266">
      <c r="A6266" s="24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5" t="n">
        <v>62.46411</v>
      </c>
    </row>
    <row r="6267">
      <c r="A6267" s="24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5" t="n">
        <v>50.24584</v>
      </c>
    </row>
    <row r="6268">
      <c r="A6268" s="24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5" t="n">
        <v>40.85799</v>
      </c>
    </row>
    <row r="6269">
      <c r="A6269" s="24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5" t="n">
        <v>38.479035</v>
      </c>
    </row>
    <row r="6270">
      <c r="A6270" s="24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5" t="n">
        <v>66.164646</v>
      </c>
    </row>
    <row r="6271">
      <c r="A6271" s="24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5" t="n">
        <v>118.212969</v>
      </c>
    </row>
    <row r="6272">
      <c r="A6272" s="24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5" t="n">
        <v>142.191987</v>
      </c>
    </row>
    <row r="6273">
      <c r="A6273" s="24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5" t="n">
        <v>136.629783</v>
      </c>
    </row>
    <row r="6274">
      <c r="A6274" s="24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5" t="n">
        <v>109.003828</v>
      </c>
    </row>
    <row r="6275">
      <c r="A6275" s="24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5" t="n">
        <v>138.41683</v>
      </c>
    </row>
    <row r="6276">
      <c r="A6276" s="24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5" t="n">
        <v>123.867162</v>
      </c>
    </row>
    <row r="6277">
      <c r="A6277" s="24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5" t="n">
        <v>110.905809</v>
      </c>
    </row>
    <row r="6278">
      <c r="A6278" s="24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5" t="n">
        <v>100.941634</v>
      </c>
    </row>
    <row r="6279">
      <c r="A6279" s="24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5" t="n">
        <v>116.583899</v>
      </c>
    </row>
    <row r="6280">
      <c r="A6280" s="24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5" t="n">
        <v>143.73902</v>
      </c>
    </row>
    <row r="6281">
      <c r="A6281" s="24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5" t="n">
        <v>130.302673</v>
      </c>
    </row>
    <row r="6282">
      <c r="A6282" s="24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5" t="n">
        <v>116.117115</v>
      </c>
    </row>
    <row r="6283">
      <c r="A6283" s="24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5" t="n">
        <v>90.562393</v>
      </c>
    </row>
    <row r="6284">
      <c r="A6284" s="24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5" t="n">
        <v>71.81348199999999</v>
      </c>
    </row>
    <row r="6285">
      <c r="A6285" s="24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5" t="n">
        <v>79.77610300000001</v>
      </c>
    </row>
    <row r="6286">
      <c r="A6286" s="24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5" t="n">
        <v>90.866018</v>
      </c>
    </row>
    <row r="6287">
      <c r="A6287" s="24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5" t="n">
        <v>77.925687</v>
      </c>
    </row>
    <row r="6288">
      <c r="A6288" s="24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5" t="n">
        <v>74.253163</v>
      </c>
    </row>
    <row r="6289">
      <c r="A6289" s="24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5" t="n">
        <v>66.816222</v>
      </c>
    </row>
    <row r="6290">
      <c r="A6290" s="24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5" t="n">
        <v>53.266543</v>
      </c>
    </row>
    <row r="6291">
      <c r="A6291" s="24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5" t="n">
        <v>74.361654</v>
      </c>
    </row>
    <row r="6292">
      <c r="A6292" s="24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5" t="n">
        <v>60.227234</v>
      </c>
    </row>
    <row r="6293">
      <c r="A6293" s="24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5" t="n">
        <v>46.992583</v>
      </c>
    </row>
    <row r="6294">
      <c r="A6294" s="24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5" t="n">
        <v>58.221905</v>
      </c>
    </row>
    <row r="6295">
      <c r="A6295" s="24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5" t="n">
        <v>67.749617</v>
      </c>
    </row>
    <row r="6296">
      <c r="A6296" s="24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5" t="n">
        <v>57.392787</v>
      </c>
    </row>
    <row r="6297">
      <c r="A6297" s="24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5" t="n">
        <v>47.630435</v>
      </c>
    </row>
    <row r="6298">
      <c r="A6298" s="24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5" t="n">
        <v>45.728227</v>
      </c>
    </row>
    <row r="6299">
      <c r="A6299" s="24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5" t="n">
        <v>40.579863</v>
      </c>
    </row>
    <row r="6300">
      <c r="A6300" s="24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5" t="n">
        <v>34.777512</v>
      </c>
    </row>
    <row r="6301">
      <c r="A6301" s="24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5" t="n">
        <v>28.329558</v>
      </c>
    </row>
    <row r="6302">
      <c r="A6302" s="24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5" t="n">
        <v>28.879926</v>
      </c>
    </row>
    <row r="6303">
      <c r="A6303" s="24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5" t="n">
        <v>24.403271</v>
      </c>
    </row>
    <row r="6304">
      <c r="A6304" s="24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5" t="n">
        <v>20.050443</v>
      </c>
    </row>
    <row r="6305">
      <c r="A6305" s="24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5" t="n">
        <v>38.468692</v>
      </c>
    </row>
    <row r="6306">
      <c r="A6306" s="24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5" t="n">
        <v>68.383267</v>
      </c>
    </row>
    <row r="6307">
      <c r="A6307" s="24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5" t="n">
        <v>86.562826</v>
      </c>
    </row>
    <row r="6308">
      <c r="A6308" s="24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5" t="n">
        <v>75.42559</v>
      </c>
    </row>
    <row r="6309">
      <c r="A6309" s="24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5" t="n">
        <v>56.578099</v>
      </c>
    </row>
    <row r="6310">
      <c r="A6310" s="24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5" t="n">
        <v>52.354508</v>
      </c>
    </row>
    <row r="6311">
      <c r="A6311" s="24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5" t="n">
        <v>48.170573</v>
      </c>
    </row>
    <row r="6312">
      <c r="A6312" s="24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5" t="n">
        <v>37.899249</v>
      </c>
    </row>
    <row r="6313">
      <c r="A6313" s="24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5" t="n">
        <v>36.449029</v>
      </c>
    </row>
    <row r="6314">
      <c r="A6314" s="24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5" t="n">
        <v>47.909057</v>
      </c>
    </row>
    <row r="6315">
      <c r="A6315" s="24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5" t="n">
        <v>40.819708</v>
      </c>
    </row>
    <row r="6316">
      <c r="A6316" s="24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5" t="n">
        <v>35.314385</v>
      </c>
    </row>
    <row r="6317">
      <c r="A6317" s="24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5" t="n">
        <v>33.458466</v>
      </c>
    </row>
    <row r="6318">
      <c r="A6318" s="24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5" t="n">
        <v>30.321844</v>
      </c>
    </row>
    <row r="6319">
      <c r="A6319" s="24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5" t="n">
        <v>44.838505</v>
      </c>
    </row>
    <row r="6320">
      <c r="A6320" s="24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5" t="n">
        <v>52.957145</v>
      </c>
    </row>
    <row r="6321">
      <c r="A6321" s="24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5" t="n">
        <v>55.472314</v>
      </c>
    </row>
    <row r="6322">
      <c r="A6322" s="24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5" t="n">
        <v>67.10863999999999</v>
      </c>
    </row>
    <row r="6323">
      <c r="A6323" s="24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5" t="n">
        <v>61.447456</v>
      </c>
    </row>
    <row r="6324">
      <c r="A6324" s="24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5" t="n">
        <v>52.765461</v>
      </c>
    </row>
    <row r="6325">
      <c r="A6325" s="24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5" t="n">
        <v>50.100871</v>
      </c>
    </row>
    <row r="6326">
      <c r="A6326" s="24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5" t="n">
        <v>119.439898</v>
      </c>
    </row>
    <row r="6327">
      <c r="A6327" s="24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5" t="n">
        <v>143.350448</v>
      </c>
    </row>
    <row r="6328">
      <c r="A6328" s="24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5" t="n">
        <v>147.087169</v>
      </c>
    </row>
    <row r="6329">
      <c r="A6329" s="24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5" t="n">
        <v>153.721689</v>
      </c>
    </row>
    <row r="6330">
      <c r="A6330" s="24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5" t="n">
        <v>120.127608</v>
      </c>
    </row>
    <row r="6331">
      <c r="A6331" s="24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5" t="n">
        <v>96.727239</v>
      </c>
    </row>
    <row r="6332">
      <c r="A6332" s="24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5" t="n">
        <v>100.646773</v>
      </c>
    </row>
    <row r="6333">
      <c r="A6333" s="24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5" t="n">
        <v>139.128701</v>
      </c>
    </row>
    <row r="6334">
      <c r="A6334" s="24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5" t="n">
        <v>137.354079</v>
      </c>
    </row>
    <row r="6335">
      <c r="A6335" s="24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5" t="n">
        <v>103.320713</v>
      </c>
    </row>
    <row r="6336">
      <c r="A6336" s="24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5" t="n">
        <v>84.61609900000001</v>
      </c>
    </row>
    <row r="6337">
      <c r="A6337" s="24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5" t="n">
        <v>67.550944</v>
      </c>
    </row>
    <row r="6338">
      <c r="A6338" s="24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5" t="n">
        <v>94.56196199999999</v>
      </c>
    </row>
    <row r="6339">
      <c r="A6339" s="24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5" t="n">
        <v>82.944712</v>
      </c>
    </row>
    <row r="6340">
      <c r="A6340" s="24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5" t="n">
        <v>75.485771</v>
      </c>
    </row>
    <row r="6341">
      <c r="A6341" s="24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5" t="n">
        <v>60.189205</v>
      </c>
    </row>
    <row r="6342">
      <c r="A6342" s="24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5" t="n">
        <v>74.214214</v>
      </c>
    </row>
    <row r="6343">
      <c r="A6343" s="24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5" t="n">
        <v>118.430255</v>
      </c>
    </row>
    <row r="6344">
      <c r="A6344" s="24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5" t="n">
        <v>130.463507</v>
      </c>
    </row>
    <row r="6345">
      <c r="A6345" s="24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5" t="n">
        <v>109.803046</v>
      </c>
    </row>
    <row r="6346">
      <c r="A6346" s="24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5" t="n">
        <v>96.591404</v>
      </c>
    </row>
    <row r="6347">
      <c r="A6347" s="24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5" t="n">
        <v>77.285642</v>
      </c>
    </row>
    <row r="6348">
      <c r="A6348" s="24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5" t="n">
        <v>81.39908699999999</v>
      </c>
    </row>
    <row r="6349">
      <c r="A6349" s="24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5" t="n">
        <v>77.797076</v>
      </c>
    </row>
    <row r="6350">
      <c r="A6350" s="24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5" t="n">
        <v>108.822272</v>
      </c>
    </row>
    <row r="6351">
      <c r="A6351" s="24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5" t="n">
        <v>95.757976</v>
      </c>
    </row>
    <row r="6352">
      <c r="A6352" s="24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5" t="n">
        <v>135.096751</v>
      </c>
    </row>
    <row r="6353">
      <c r="A6353" s="24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5" t="n">
        <v>156.347229</v>
      </c>
    </row>
    <row r="6354">
      <c r="A6354" s="24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5" t="n">
        <v>167.420986</v>
      </c>
    </row>
    <row r="6355">
      <c r="A6355" s="24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5" t="n">
        <v>135.9053</v>
      </c>
    </row>
    <row r="6356">
      <c r="A6356" s="24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5" t="n">
        <v>103.727334</v>
      </c>
    </row>
    <row r="6357">
      <c r="A6357" s="24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5" t="n">
        <v>95.050877</v>
      </c>
    </row>
    <row r="6358">
      <c r="A6358" s="24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5" t="n">
        <v>83.215559</v>
      </c>
    </row>
    <row r="6359">
      <c r="A6359" s="24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5" t="n">
        <v>67.01499099999999</v>
      </c>
    </row>
    <row r="6360">
      <c r="A6360" s="24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5" t="n">
        <v>70.68986599999999</v>
      </c>
    </row>
    <row r="6361">
      <c r="A6361" s="24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5" t="n">
        <v>70.45602700000001</v>
      </c>
    </row>
    <row r="6362">
      <c r="A6362" s="24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5" t="n">
        <v>63.415976</v>
      </c>
    </row>
    <row r="6363">
      <c r="A6363" s="24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5" t="n">
        <v>128.021844</v>
      </c>
    </row>
    <row r="6364">
      <c r="A6364" s="24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5" t="n">
        <v>153.834527</v>
      </c>
    </row>
    <row r="6365">
      <c r="A6365" s="24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5" t="n">
        <v>154.261265</v>
      </c>
    </row>
    <row r="6366">
      <c r="A6366" s="24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5" t="n">
        <v>131.883445</v>
      </c>
    </row>
    <row r="6367">
      <c r="A6367" s="24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5" t="n">
        <v>148.46817</v>
      </c>
    </row>
    <row r="6368">
      <c r="A6368" s="24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5" t="n">
        <v>130.326851</v>
      </c>
    </row>
    <row r="6369">
      <c r="A6369" s="24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5" t="n">
        <v>104.034503</v>
      </c>
    </row>
    <row r="6370">
      <c r="A6370" s="24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5" t="n">
        <v>81.308375</v>
      </c>
    </row>
    <row r="6371">
      <c r="A6371" s="24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5" t="n">
        <v>64.65589</v>
      </c>
    </row>
    <row r="6372">
      <c r="A6372" s="24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5" t="n">
        <v>52.699883</v>
      </c>
    </row>
    <row r="6373">
      <c r="A6373" s="24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5" t="n">
        <v>43.607021</v>
      </c>
    </row>
    <row r="6374">
      <c r="A6374" s="24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5" t="n">
        <v>41.037846</v>
      </c>
    </row>
    <row r="6375">
      <c r="A6375" s="24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5" t="n">
        <v>34.638833</v>
      </c>
    </row>
    <row r="6376">
      <c r="A6376" s="24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5" t="n">
        <v>34.680165</v>
      </c>
    </row>
    <row r="6377">
      <c r="A6377" s="24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5" t="n">
        <v>55.366784</v>
      </c>
    </row>
    <row r="6378">
      <c r="A6378" s="24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5" t="n">
        <v>85.754164</v>
      </c>
    </row>
    <row r="6379">
      <c r="A6379" s="24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5" t="n">
        <v>75.647448</v>
      </c>
    </row>
    <row r="6380">
      <c r="A6380" s="24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5" t="n">
        <v>62.041681</v>
      </c>
    </row>
    <row r="6381">
      <c r="A6381" s="24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5" t="n">
        <v>52.125988</v>
      </c>
    </row>
    <row r="6382">
      <c r="A6382" s="24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5" t="n">
        <v>70.62390000000001</v>
      </c>
    </row>
    <row r="6383">
      <c r="A6383" s="24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5" t="n">
        <v>116.164744</v>
      </c>
    </row>
    <row r="6384">
      <c r="A6384" s="24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5" t="n">
        <v>116.776987</v>
      </c>
    </row>
    <row r="6385">
      <c r="A6385" s="24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5" t="n">
        <v>107.95729</v>
      </c>
    </row>
    <row r="6386">
      <c r="A6386" s="24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5" t="n">
        <v>93.437023</v>
      </c>
    </row>
    <row r="6387">
      <c r="A6387" s="24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5" t="n">
        <v>90.432112</v>
      </c>
    </row>
    <row r="6388">
      <c r="A6388" s="24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5" t="n">
        <v>91.765311</v>
      </c>
    </row>
    <row r="6389">
      <c r="A6389" s="24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5" t="n">
        <v>127.063543</v>
      </c>
    </row>
    <row r="6390">
      <c r="A6390" s="24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5" t="n">
        <v>107.426557</v>
      </c>
    </row>
    <row r="6391">
      <c r="A6391" s="24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5" t="n">
        <v>85.420241</v>
      </c>
    </row>
    <row r="6392">
      <c r="A6392" s="24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5" t="n">
        <v>100.889282</v>
      </c>
    </row>
    <row r="6393">
      <c r="A6393" s="24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5" t="n">
        <v>119.288171</v>
      </c>
    </row>
    <row r="6394">
      <c r="A6394" s="24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5" t="n">
        <v>152.310128</v>
      </c>
    </row>
    <row r="6395">
      <c r="A6395" s="24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5" t="n">
        <v>169.833369</v>
      </c>
    </row>
    <row r="6396">
      <c r="A6396" s="24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5" t="n">
        <v>138.213081</v>
      </c>
    </row>
    <row r="6397">
      <c r="A6397" s="24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5" t="n">
        <v>131.249792</v>
      </c>
    </row>
    <row r="6398">
      <c r="A6398" s="24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5" t="n">
        <v>123.990559</v>
      </c>
    </row>
    <row r="6399">
      <c r="A6399" s="24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5" t="n">
        <v>148.534826</v>
      </c>
    </row>
    <row r="6400">
      <c r="A6400" s="24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5" t="n">
        <v>132.807357</v>
      </c>
    </row>
    <row r="6401">
      <c r="A6401" s="24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5" t="n">
        <v>112.266429</v>
      </c>
    </row>
    <row r="6402">
      <c r="A6402" s="24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5" t="n">
        <v>131.329668</v>
      </c>
    </row>
    <row r="6403">
      <c r="A6403" s="24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5" t="n">
        <v>116.075101</v>
      </c>
    </row>
    <row r="6404">
      <c r="A6404" s="24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5" t="n">
        <v>89.5754</v>
      </c>
    </row>
    <row r="6405">
      <c r="A6405" s="24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5" t="n">
        <v>70.35771099999999</v>
      </c>
    </row>
    <row r="6406">
      <c r="A6406" s="24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5" t="n">
        <v>74.72599700000001</v>
      </c>
    </row>
    <row r="6407">
      <c r="A6407" s="24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5" t="n">
        <v>68.789967</v>
      </c>
    </row>
    <row r="6408">
      <c r="A6408" s="24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5" t="n">
        <v>87.070649</v>
      </c>
    </row>
    <row r="6409">
      <c r="A6409" s="24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5" t="n">
        <v>104.889647</v>
      </c>
    </row>
    <row r="6410">
      <c r="A6410" s="24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5" t="n">
        <v>82.49347</v>
      </c>
    </row>
    <row r="6411">
      <c r="A6411" s="24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5" t="n">
        <v>70.704095</v>
      </c>
    </row>
    <row r="6412">
      <c r="A6412" s="24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5" t="n">
        <v>59.772004</v>
      </c>
    </row>
    <row r="6413">
      <c r="A6413" s="24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5" t="n">
        <v>59.55281</v>
      </c>
    </row>
    <row r="6414">
      <c r="A6414" s="24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5" t="n">
        <v>108.603672</v>
      </c>
    </row>
    <row r="6415">
      <c r="A6415" s="24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5" t="n">
        <v>118.923062</v>
      </c>
    </row>
    <row r="6416">
      <c r="A6416" s="24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5" t="n">
        <v>95.146368</v>
      </c>
    </row>
    <row r="6417">
      <c r="A6417" s="24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5" t="n">
        <v>107.864252</v>
      </c>
    </row>
    <row r="6418">
      <c r="A6418" s="24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5" t="n">
        <v>101.909801</v>
      </c>
    </row>
    <row r="6419">
      <c r="A6419" s="24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5" t="n">
        <v>93.499886</v>
      </c>
    </row>
    <row r="6420">
      <c r="A6420" s="24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5" t="n">
        <v>73.13086699999999</v>
      </c>
    </row>
    <row r="6421">
      <c r="A6421" s="24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5" t="n">
        <v>57.185374</v>
      </c>
    </row>
    <row r="6422">
      <c r="A6422" s="24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5" t="n">
        <v>46.268841</v>
      </c>
    </row>
    <row r="6423">
      <c r="A6423" s="24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5" t="n">
        <v>38.02307</v>
      </c>
    </row>
    <row r="6424">
      <c r="A6424" s="24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5" t="n">
        <v>34.15518</v>
      </c>
    </row>
    <row r="6425">
      <c r="A6425" s="24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5" t="n">
        <v>29.023701</v>
      </c>
    </row>
    <row r="6426">
      <c r="A6426" s="24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5" t="n">
        <v>24.924703</v>
      </c>
    </row>
    <row r="6427">
      <c r="A6427" s="24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5" t="n">
        <v>21.713653</v>
      </c>
    </row>
    <row r="6428">
      <c r="A6428" s="24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5" t="n">
        <v>38.505128</v>
      </c>
    </row>
    <row r="6429">
      <c r="A6429" s="24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5" t="n">
        <v>38.24295</v>
      </c>
    </row>
    <row r="6430">
      <c r="A6430" s="24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5" t="n">
        <v>33.663487</v>
      </c>
    </row>
    <row r="6431">
      <c r="A6431" s="24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5" t="n">
        <v>32.096514</v>
      </c>
    </row>
    <row r="6432">
      <c r="A6432" s="24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5" t="n">
        <v>30.182924</v>
      </c>
    </row>
    <row r="6433">
      <c r="A6433" s="24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5" t="n">
        <v>29.302801</v>
      </c>
    </row>
    <row r="6434">
      <c r="A6434" s="24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5" t="n">
        <v>55.886868</v>
      </c>
    </row>
    <row r="6435">
      <c r="A6435" s="24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5" t="n">
        <v>75.62584</v>
      </c>
    </row>
    <row r="6436">
      <c r="A6436" s="24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5" t="n">
        <v>112.201609</v>
      </c>
    </row>
    <row r="6437">
      <c r="A6437" s="24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5" t="n">
        <v>87.103583</v>
      </c>
    </row>
    <row r="6438">
      <c r="A6438" s="24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5" t="n">
        <v>63.846631</v>
      </c>
    </row>
    <row r="6439">
      <c r="A6439" s="24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5" t="n">
        <v>49.991587</v>
      </c>
    </row>
    <row r="6440">
      <c r="A6440" s="24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5" t="n">
        <v>44.379595</v>
      </c>
    </row>
    <row r="6441">
      <c r="A6441" s="24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5" t="n">
        <v>35.821205</v>
      </c>
    </row>
    <row r="6442">
      <c r="A6442" s="24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5" t="n">
        <v>28.842145</v>
      </c>
    </row>
    <row r="6443">
      <c r="A6443" s="24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5" t="n">
        <v>23.73846</v>
      </c>
    </row>
    <row r="6444">
      <c r="A6444" s="24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5" t="n">
        <v>19.861904</v>
      </c>
    </row>
    <row r="6445">
      <c r="A6445" s="24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5" t="n">
        <v>16.838853</v>
      </c>
    </row>
    <row r="6446">
      <c r="A6446" s="24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5" t="n">
        <v>14.43033</v>
      </c>
    </row>
    <row r="6447">
      <c r="A6447" s="24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5" t="n">
        <v>12.571741</v>
      </c>
    </row>
    <row r="6448">
      <c r="A6448" s="24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5" t="n">
        <v>36.398689</v>
      </c>
    </row>
    <row r="6449">
      <c r="A6449" s="24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5" t="n">
        <v>34.7735</v>
      </c>
    </row>
    <row r="6450">
      <c r="A6450" s="24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5" t="n">
        <v>97.22018300000001</v>
      </c>
    </row>
    <row r="6451">
      <c r="A6451" s="24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5" t="n">
        <v>130.019199</v>
      </c>
    </row>
    <row r="6452">
      <c r="A6452" s="24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5" t="n">
        <v>137.836749</v>
      </c>
    </row>
    <row r="6453">
      <c r="A6453" s="24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5" t="n">
        <v>112.751349</v>
      </c>
    </row>
    <row r="6454">
      <c r="A6454" s="24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5" t="n">
        <v>94.281599</v>
      </c>
    </row>
    <row r="6455">
      <c r="A6455" s="24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5" t="n">
        <v>107.240824</v>
      </c>
    </row>
    <row r="6456">
      <c r="A6456" s="24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5" t="n">
        <v>102.945181</v>
      </c>
    </row>
    <row r="6457">
      <c r="A6457" s="24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5" t="n">
        <v>85.51886500000001</v>
      </c>
    </row>
    <row r="6458">
      <c r="A6458" s="24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5" t="n">
        <v>85.75817600000001</v>
      </c>
    </row>
    <row r="6459">
      <c r="A6459" s="24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5" t="n">
        <v>93.61997100000001</v>
      </c>
    </row>
    <row r="6460">
      <c r="A6460" s="24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5" t="n">
        <v>75.144994</v>
      </c>
    </row>
    <row r="6461">
      <c r="A6461" s="24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5" t="n">
        <v>101.556017</v>
      </c>
    </row>
    <row r="6462">
      <c r="A6462" s="24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5" t="n">
        <v>136.162303</v>
      </c>
    </row>
    <row r="6463">
      <c r="A6463" s="24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5" t="n">
        <v>114.68222</v>
      </c>
    </row>
    <row r="6464">
      <c r="A6464" s="24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5" t="n">
        <v>94.105435</v>
      </c>
    </row>
    <row r="6465">
      <c r="A6465" s="24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5" t="n">
        <v>102.789415</v>
      </c>
    </row>
    <row r="6466">
      <c r="A6466" s="24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5" t="n">
        <v>81.533091</v>
      </c>
    </row>
    <row r="6467">
      <c r="A6467" s="24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5" t="n">
        <v>62.838097</v>
      </c>
    </row>
    <row r="6468">
      <c r="A6468" s="24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5" t="n">
        <v>50.269684</v>
      </c>
    </row>
    <row r="6469">
      <c r="A6469" s="24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5" t="n">
        <v>40.961085</v>
      </c>
    </row>
    <row r="6470">
      <c r="A6470" s="24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5" t="n">
        <v>33.944768</v>
      </c>
    </row>
    <row r="6471">
      <c r="A6471" s="24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5" t="n">
        <v>28.536603</v>
      </c>
    </row>
    <row r="6472">
      <c r="A6472" s="24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5" t="n">
        <v>81.003197</v>
      </c>
    </row>
    <row r="6473">
      <c r="A6473" s="24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5" t="n">
        <v>93.563317</v>
      </c>
    </row>
    <row r="6474">
      <c r="A6474" s="24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5" t="n">
        <v>127.20629</v>
      </c>
    </row>
    <row r="6475">
      <c r="A6475" s="24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5" t="n">
        <v>112.681891</v>
      </c>
    </row>
    <row r="6476">
      <c r="A6476" s="24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5" t="n">
        <v>83.558153</v>
      </c>
    </row>
    <row r="6477">
      <c r="A6477" s="24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5" t="n">
        <v>64.11997100000001</v>
      </c>
    </row>
    <row r="6478">
      <c r="A6478" s="24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5" t="n">
        <v>50.989036</v>
      </c>
    </row>
    <row r="6479">
      <c r="A6479" s="24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5" t="n">
        <v>41.209072</v>
      </c>
    </row>
    <row r="6480">
      <c r="A6480" s="24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5" t="n">
        <v>43.365905</v>
      </c>
    </row>
    <row r="6481">
      <c r="A6481" s="24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5" t="n">
        <v>43.800302</v>
      </c>
    </row>
    <row r="6482">
      <c r="A6482" s="24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5" t="n">
        <v>35.333491</v>
      </c>
    </row>
    <row r="6483">
      <c r="A6483" s="24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5" t="n">
        <v>28.471122</v>
      </c>
    </row>
    <row r="6484">
      <c r="A6484" s="24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5" t="n">
        <v>23.583972</v>
      </c>
    </row>
    <row r="6485">
      <c r="A6485" s="24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5" t="n">
        <v>20.350899</v>
      </c>
    </row>
    <row r="6486">
      <c r="A6486" s="24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5" t="n">
        <v>23.473049</v>
      </c>
    </row>
    <row r="6487">
      <c r="A6487" s="24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5" t="n">
        <v>19.686436</v>
      </c>
    </row>
    <row r="6488">
      <c r="A6488" s="24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5" t="n">
        <v>16.135161</v>
      </c>
    </row>
    <row r="6489">
      <c r="A6489" s="24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5" t="n">
        <v>13.702065</v>
      </c>
    </row>
    <row r="6490">
      <c r="A6490" s="24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5" t="n">
        <v>12.090837</v>
      </c>
    </row>
    <row r="6491">
      <c r="A6491" s="24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5" t="n">
        <v>17.192173</v>
      </c>
    </row>
    <row r="6492">
      <c r="A6492" s="24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5" t="n">
        <v>19.232689</v>
      </c>
    </row>
    <row r="6493">
      <c r="A6493" s="24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5" t="n">
        <v>19.123228</v>
      </c>
    </row>
    <row r="6494">
      <c r="A6494" s="24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5" t="n">
        <v>15.308917</v>
      </c>
    </row>
    <row r="6495">
      <c r="A6495" s="24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5" t="n">
        <v>18.805811</v>
      </c>
    </row>
    <row r="6496">
      <c r="A6496" s="24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5" t="n">
        <v>19.682426</v>
      </c>
    </row>
    <row r="6497">
      <c r="A6497" s="24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5" t="n">
        <v>17.313441</v>
      </c>
    </row>
    <row r="6498">
      <c r="A6498" s="24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5" t="n">
        <v>19.574252</v>
      </c>
    </row>
    <row r="6499">
      <c r="A6499" s="24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5" t="n">
        <v>20.288655</v>
      </c>
    </row>
    <row r="6500">
      <c r="A6500" s="24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5" t="n">
        <v>17.119867</v>
      </c>
    </row>
    <row r="6501">
      <c r="A6501" s="24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5" t="n">
        <v>18.443564</v>
      </c>
    </row>
    <row r="6502">
      <c r="A6502" s="24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5" t="n">
        <v>22.897003</v>
      </c>
    </row>
    <row r="6503">
      <c r="A6503" s="24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5" t="n">
        <v>37.266278</v>
      </c>
    </row>
    <row r="6504">
      <c r="A6504" s="24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5" t="n">
        <v>45.050388</v>
      </c>
    </row>
    <row r="6505">
      <c r="A6505" s="24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5" t="n">
        <v>62.647084</v>
      </c>
    </row>
    <row r="6506">
      <c r="A6506" s="24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5" t="n">
        <v>64.255431</v>
      </c>
    </row>
    <row r="6507">
      <c r="A6507" s="24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5" t="n">
        <v>49.159123</v>
      </c>
    </row>
    <row r="6508">
      <c r="A6508" s="24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5" t="n">
        <v>37.144375</v>
      </c>
    </row>
    <row r="6509">
      <c r="A6509" s="24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5" t="n">
        <v>31.951332</v>
      </c>
    </row>
    <row r="6510">
      <c r="A6510" s="24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5" t="n">
        <v>25.384184</v>
      </c>
    </row>
    <row r="6511">
      <c r="A6511" s="24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5" t="n">
        <v>20.245433</v>
      </c>
    </row>
    <row r="6512">
      <c r="A6512" s="24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5" t="n">
        <v>16.593525</v>
      </c>
    </row>
    <row r="6513">
      <c r="A6513" s="24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5" t="n">
        <v>13.868507</v>
      </c>
    </row>
    <row r="6514">
      <c r="A6514" s="24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5" t="n">
        <v>11.640955</v>
      </c>
    </row>
    <row r="6515">
      <c r="A6515" s="24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5" t="n">
        <v>9.876918999999999</v>
      </c>
    </row>
    <row r="6516">
      <c r="A6516" s="24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5" t="n">
        <v>8.481391</v>
      </c>
    </row>
    <row r="6517">
      <c r="A6517" s="24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5" t="n">
        <v>7.345668</v>
      </c>
    </row>
    <row r="6518">
      <c r="A6518" s="24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5" t="n">
        <v>6.407223</v>
      </c>
    </row>
    <row r="6519">
      <c r="A6519" s="24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5" t="n">
        <v>6.152455</v>
      </c>
    </row>
    <row r="6520">
      <c r="A6520" s="24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5" t="n">
        <v>5.349926</v>
      </c>
    </row>
    <row r="6521">
      <c r="A6521" s="24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5" t="n">
        <v>4.789546</v>
      </c>
    </row>
    <row r="6522">
      <c r="A6522" s="24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5" t="n">
        <v>4.418482</v>
      </c>
    </row>
    <row r="6523">
      <c r="A6523" s="24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5" t="n">
        <v>9.300465000000001</v>
      </c>
    </row>
    <row r="6524">
      <c r="A6524" s="24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5" t="n">
        <v>10.145043</v>
      </c>
    </row>
    <row r="6525">
      <c r="A6525" s="24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5" t="n">
        <v>16.985019</v>
      </c>
    </row>
    <row r="6526">
      <c r="A6526" s="24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5" t="n">
        <v>16.996183</v>
      </c>
    </row>
    <row r="6527">
      <c r="A6527" s="24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5" t="n">
        <v>14.4132</v>
      </c>
    </row>
    <row r="6528">
      <c r="A6528" s="24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5" t="n">
        <v>11.043405</v>
      </c>
    </row>
    <row r="6529">
      <c r="A6529" s="24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5" t="n">
        <v>9.403643000000001</v>
      </c>
    </row>
    <row r="6530">
      <c r="A6530" s="24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5" t="n">
        <v>8.041230000000001</v>
      </c>
    </row>
    <row r="6531">
      <c r="A6531" s="24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5" t="n">
        <v>9.172582</v>
      </c>
    </row>
    <row r="6532">
      <c r="A6532" s="24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5" t="n">
        <v>8.570095999999999</v>
      </c>
    </row>
    <row r="6533">
      <c r="A6533" s="24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5" t="n">
        <v>10.4595</v>
      </c>
    </row>
    <row r="6534">
      <c r="A6534" s="24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5" t="n">
        <v>16.520662</v>
      </c>
    </row>
    <row r="6535">
      <c r="A6535" s="24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5" t="n">
        <v>13.069201</v>
      </c>
    </row>
    <row r="6536">
      <c r="A6536" s="24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5" t="n">
        <v>10.932999</v>
      </c>
    </row>
    <row r="6537">
      <c r="A6537" s="24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5" t="n">
        <v>9.471317000000001</v>
      </c>
    </row>
    <row r="6538">
      <c r="A6538" s="24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5" t="n">
        <v>9.444466</v>
      </c>
    </row>
    <row r="6539">
      <c r="A6539" s="24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5" t="n">
        <v>7.749645</v>
      </c>
    </row>
    <row r="6540">
      <c r="A6540" s="24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5" t="n">
        <v>26.06651</v>
      </c>
    </row>
    <row r="6541">
      <c r="A6541" s="24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5" t="n">
        <v>25.219732</v>
      </c>
    </row>
    <row r="6542">
      <c r="A6542" s="24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5" t="n">
        <v>19.53213</v>
      </c>
    </row>
    <row r="6543">
      <c r="A6543" s="24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5" t="n">
        <v>53.772782</v>
      </c>
    </row>
    <row r="6544">
      <c r="A6544" s="24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5" t="n">
        <v>44.578314</v>
      </c>
    </row>
    <row r="6545">
      <c r="A6545" s="24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5" t="n">
        <v>83.776438</v>
      </c>
    </row>
    <row r="6546">
      <c r="A6546" s="24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5" t="n">
        <v>69.15718</v>
      </c>
    </row>
    <row r="6547">
      <c r="A6547" s="24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5" t="n">
        <v>94.951655</v>
      </c>
    </row>
    <row r="6548">
      <c r="A6548" s="24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5" t="n">
        <v>98.7131</v>
      </c>
    </row>
    <row r="6549">
      <c r="A6549" s="24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5" t="n">
        <v>81.72665000000001</v>
      </c>
    </row>
    <row r="6550">
      <c r="A6550" s="24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5" t="n">
        <v>66.455573</v>
      </c>
    </row>
    <row r="6551">
      <c r="A6551" s="24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5" t="n">
        <v>67.463047</v>
      </c>
    </row>
    <row r="6552">
      <c r="A6552" s="24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5" t="n">
        <v>59.133034</v>
      </c>
    </row>
    <row r="6553">
      <c r="A6553" s="24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5" t="n">
        <v>45.706589</v>
      </c>
    </row>
    <row r="6554">
      <c r="A6554" s="24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5" t="n">
        <v>36.06023</v>
      </c>
    </row>
    <row r="6555">
      <c r="A6555" s="24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5" t="n">
        <v>29.394328</v>
      </c>
    </row>
    <row r="6556">
      <c r="A6556" s="24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5" t="n">
        <v>37.82236</v>
      </c>
    </row>
    <row r="6557">
      <c r="A6557" s="24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5" t="n">
        <v>36.035612</v>
      </c>
    </row>
    <row r="6558">
      <c r="A6558" s="24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5" t="n">
        <v>28.434478</v>
      </c>
    </row>
    <row r="6559">
      <c r="A6559" s="24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5" t="n">
        <v>22.628858</v>
      </c>
    </row>
    <row r="6560">
      <c r="A6560" s="24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5" t="n">
        <v>22.114737</v>
      </c>
    </row>
    <row r="6561">
      <c r="A6561" s="24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5" t="n">
        <v>29.456603</v>
      </c>
    </row>
    <row r="6562">
      <c r="A6562" s="24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5" t="n">
        <v>31.159288</v>
      </c>
    </row>
    <row r="6563">
      <c r="A6563" s="24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5" t="n">
        <v>26.613237</v>
      </c>
    </row>
    <row r="6564">
      <c r="A6564" s="24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5" t="n">
        <v>71.420456</v>
      </c>
    </row>
    <row r="6565">
      <c r="A6565" s="24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5" t="n">
        <v>62.725759</v>
      </c>
    </row>
    <row r="6566">
      <c r="A6566" s="24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5" t="n">
        <v>47.656706</v>
      </c>
    </row>
    <row r="6567">
      <c r="A6567" s="24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5" t="n">
        <v>38.700189</v>
      </c>
    </row>
    <row r="6568">
      <c r="A6568" s="24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5" t="n">
        <v>31.475734</v>
      </c>
    </row>
    <row r="6569">
      <c r="A6569" s="24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5" t="n">
        <v>32.58521</v>
      </c>
    </row>
    <row r="6570">
      <c r="A6570" s="24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5" t="n">
        <v>27.45789</v>
      </c>
    </row>
    <row r="6571">
      <c r="A6571" s="24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5" t="n">
        <v>22.018712</v>
      </c>
    </row>
    <row r="6572">
      <c r="A6572" s="24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5" t="n">
        <v>17.966418</v>
      </c>
    </row>
    <row r="6573">
      <c r="A6573" s="24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5" t="n">
        <v>32.531457</v>
      </c>
    </row>
    <row r="6574">
      <c r="A6574" s="24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5" t="n">
        <v>28.118925</v>
      </c>
    </row>
    <row r="6575">
      <c r="A6575" s="24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5" t="n">
        <v>27.127833</v>
      </c>
    </row>
    <row r="6576">
      <c r="A6576" s="24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5" t="n">
        <v>22.726535</v>
      </c>
    </row>
    <row r="6577">
      <c r="A6577" s="24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5" t="n">
        <v>27.516379</v>
      </c>
    </row>
    <row r="6578">
      <c r="A6578" s="24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5" t="n">
        <v>22.36597</v>
      </c>
    </row>
    <row r="6579">
      <c r="A6579" s="24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5" t="n">
        <v>18.310502</v>
      </c>
    </row>
    <row r="6580">
      <c r="A6580" s="24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5" t="n">
        <v>20.646954</v>
      </c>
    </row>
    <row r="6581">
      <c r="A6581" s="24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5" t="n">
        <v>46.499291</v>
      </c>
    </row>
    <row r="6582">
      <c r="A6582" s="24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5" t="n">
        <v>39.066505</v>
      </c>
    </row>
    <row r="6583">
      <c r="A6583" s="24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5" t="n">
        <v>63.214744</v>
      </c>
    </row>
    <row r="6584">
      <c r="A6584" s="24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5" t="n">
        <v>74.402781</v>
      </c>
    </row>
    <row r="6585">
      <c r="A6585" s="24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5" t="n">
        <v>76.59746199999999</v>
      </c>
    </row>
    <row r="6586">
      <c r="A6586" s="24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5" t="n">
        <v>59.612869</v>
      </c>
    </row>
    <row r="6587">
      <c r="A6587" s="24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5" t="n">
        <v>69.882437</v>
      </c>
    </row>
    <row r="6588">
      <c r="A6588" s="24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5" t="n">
        <v>65.81464200000001</v>
      </c>
    </row>
    <row r="6589">
      <c r="A6589" s="24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5" t="n">
        <v>63.572267</v>
      </c>
    </row>
    <row r="6590">
      <c r="A6590" s="24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5" t="n">
        <v>52.303228</v>
      </c>
    </row>
    <row r="6591">
      <c r="A6591" s="24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5" t="n">
        <v>47.45423</v>
      </c>
    </row>
    <row r="6592">
      <c r="A6592" s="24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5" t="n">
        <v>52.831845</v>
      </c>
    </row>
    <row r="6593">
      <c r="A6593" s="24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5" t="n">
        <v>60.395274</v>
      </c>
    </row>
    <row r="6594">
      <c r="A6594" s="24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5" t="n">
        <v>67.196594</v>
      </c>
    </row>
    <row r="6595">
      <c r="A6595" s="24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5" t="n">
        <v>101.272627</v>
      </c>
    </row>
    <row r="6596">
      <c r="A6596" s="24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5" t="n">
        <v>111.315891</v>
      </c>
    </row>
    <row r="6597">
      <c r="A6597" s="24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5" t="n">
        <v>89.753963</v>
      </c>
    </row>
    <row r="6598">
      <c r="A6598" s="24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5" t="n">
        <v>70.438839</v>
      </c>
    </row>
    <row r="6599">
      <c r="A6599" s="24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5" t="n">
        <v>58.489055</v>
      </c>
    </row>
    <row r="6600">
      <c r="A6600" s="24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5" t="n">
        <v>57.512917</v>
      </c>
    </row>
    <row r="6601">
      <c r="A6601" s="24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5" t="n">
        <v>47.956394</v>
      </c>
    </row>
    <row r="6602">
      <c r="A6602" s="24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5" t="n">
        <v>44.050324</v>
      </c>
    </row>
    <row r="6603">
      <c r="A6603" s="24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5" t="n">
        <v>51.58467</v>
      </c>
    </row>
    <row r="6604">
      <c r="A6604" s="24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5" t="n">
        <v>50.42983</v>
      </c>
    </row>
    <row r="6605">
      <c r="A6605" s="24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5" t="n">
        <v>72.03027400000001</v>
      </c>
    </row>
    <row r="6606">
      <c r="A6606" s="24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5" t="n">
        <v>66.93984399999999</v>
      </c>
    </row>
    <row r="6607">
      <c r="A6607" s="24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5" t="n">
        <v>67.71717700000001</v>
      </c>
    </row>
    <row r="6608">
      <c r="A6608" s="24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5" t="n">
        <v>71.16409899999999</v>
      </c>
    </row>
    <row r="6609">
      <c r="A6609" s="24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5" t="n">
        <v>74.248588</v>
      </c>
    </row>
    <row r="6610">
      <c r="A6610" s="24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5" t="n">
        <v>66.569141</v>
      </c>
    </row>
    <row r="6611">
      <c r="A6611" s="24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5" t="n">
        <v>110.977989</v>
      </c>
    </row>
    <row r="6612">
      <c r="A6612" s="24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5" t="n">
        <v>115.285026</v>
      </c>
    </row>
    <row r="6613">
      <c r="A6613" s="24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5" t="n">
        <v>87.49032699999999</v>
      </c>
    </row>
    <row r="6614">
      <c r="A6614" s="24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5" t="n">
        <v>68.50218099999999</v>
      </c>
    </row>
    <row r="6615">
      <c r="A6615" s="24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5" t="n">
        <v>74.31042100000001</v>
      </c>
    </row>
    <row r="6616">
      <c r="A6616" s="24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5" t="n">
        <v>62.062314</v>
      </c>
    </row>
    <row r="6617">
      <c r="A6617" s="24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5" t="n">
        <v>62.586606</v>
      </c>
    </row>
    <row r="6618">
      <c r="A6618" s="24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5" t="n">
        <v>67.581391</v>
      </c>
    </row>
    <row r="6619">
      <c r="A6619" s="24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5" t="n">
        <v>74.86587299999999</v>
      </c>
    </row>
    <row r="6620">
      <c r="A6620" s="24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5" t="n">
        <v>63.595972</v>
      </c>
    </row>
    <row r="6621">
      <c r="A6621" s="24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5" t="n">
        <v>66.509991</v>
      </c>
    </row>
    <row r="6622">
      <c r="A6622" s="24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5" t="n">
        <v>57.576306</v>
      </c>
    </row>
    <row r="6623">
      <c r="A6623" s="24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5" t="n">
        <v>59.310987</v>
      </c>
    </row>
    <row r="6624">
      <c r="A6624" s="24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5" t="n">
        <v>53.482879</v>
      </c>
    </row>
    <row r="6625">
      <c r="A6625" s="24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5" t="n">
        <v>52.209438</v>
      </c>
    </row>
    <row r="6626">
      <c r="A6626" s="24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5" t="n">
        <v>56.409929</v>
      </c>
    </row>
    <row r="6627">
      <c r="A6627" s="24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5" t="n">
        <v>45.995724</v>
      </c>
    </row>
    <row r="6628">
      <c r="A6628" s="24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5" t="n">
        <v>47.376192</v>
      </c>
    </row>
    <row r="6629">
      <c r="A6629" s="24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5" t="n">
        <v>40.57834</v>
      </c>
    </row>
    <row r="6630">
      <c r="A6630" s="24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5" t="n">
        <v>40.714187</v>
      </c>
    </row>
    <row r="6631">
      <c r="A6631" s="24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5" t="n">
        <v>36.262669</v>
      </c>
    </row>
    <row r="6632">
      <c r="A6632" s="24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5" t="n">
        <v>31.861257</v>
      </c>
    </row>
    <row r="6633">
      <c r="A6633" s="24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5" t="n">
        <v>32.366345</v>
      </c>
    </row>
    <row r="6634">
      <c r="A6634" s="24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5" t="n">
        <v>41.577451</v>
      </c>
    </row>
    <row r="6635">
      <c r="A6635" s="24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5" t="n">
        <v>64.722871</v>
      </c>
    </row>
    <row r="6636">
      <c r="A6636" s="24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5" t="n">
        <v>58.526389</v>
      </c>
    </row>
    <row r="6637">
      <c r="A6637" s="24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5" t="n">
        <v>52.816538</v>
      </c>
    </row>
    <row r="6638">
      <c r="A6638" s="24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5" t="n">
        <v>43.540481</v>
      </c>
    </row>
    <row r="6639">
      <c r="A6639" s="24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5" t="n">
        <v>90.140649</v>
      </c>
    </row>
    <row r="6640">
      <c r="A6640" s="24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5" t="n">
        <v>79.43182400000001</v>
      </c>
    </row>
    <row r="6641">
      <c r="A6641" s="24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5" t="n">
        <v>116.155083</v>
      </c>
    </row>
    <row r="6642">
      <c r="A6642" s="24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5" t="n">
        <v>102.419725</v>
      </c>
    </row>
    <row r="6643">
      <c r="A6643" s="24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5" t="n">
        <v>87.441304</v>
      </c>
    </row>
    <row r="6644">
      <c r="A6644" s="24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5" t="n">
        <v>106.106097</v>
      </c>
    </row>
    <row r="6645">
      <c r="A6645" s="24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5" t="n">
        <v>102.677884</v>
      </c>
    </row>
    <row r="6646">
      <c r="A6646" s="24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5" t="n">
        <v>134.623184</v>
      </c>
    </row>
    <row r="6647">
      <c r="A6647" s="24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5" t="n">
        <v>161.744002</v>
      </c>
    </row>
    <row r="6648">
      <c r="A6648" s="24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5" t="n">
        <v>143.12684</v>
      </c>
    </row>
    <row r="6649">
      <c r="A6649" s="24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5" t="n">
        <v>116.113365</v>
      </c>
    </row>
    <row r="6650">
      <c r="A6650" s="24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5" t="n">
        <v>135.442164</v>
      </c>
    </row>
    <row r="6651">
      <c r="A6651" s="24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5" t="n">
        <v>148.241206</v>
      </c>
    </row>
    <row r="6652">
      <c r="A6652" s="24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5" t="n">
        <v>118.017718</v>
      </c>
    </row>
    <row r="6653">
      <c r="A6653" s="24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5" t="n">
        <v>90.391074</v>
      </c>
    </row>
    <row r="6654">
      <c r="A6654" s="24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5" t="n">
        <v>71.00832699999999</v>
      </c>
    </row>
    <row r="6655">
      <c r="A6655" s="24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5" t="n">
        <v>57.655458</v>
      </c>
    </row>
    <row r="6656">
      <c r="A6656" s="24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5" t="n">
        <v>47.481093</v>
      </c>
    </row>
    <row r="6657">
      <c r="A6657" s="24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5" t="n">
        <v>39.847948</v>
      </c>
    </row>
    <row r="6658">
      <c r="A6658" s="24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5" t="n">
        <v>33.530902</v>
      </c>
    </row>
    <row r="6659">
      <c r="A6659" s="24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5" t="n">
        <v>28.506543</v>
      </c>
    </row>
    <row r="6660">
      <c r="A6660" s="24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5" t="n">
        <v>24.483854</v>
      </c>
    </row>
    <row r="6661">
      <c r="A6661" s="24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5" t="n">
        <v>21.300457</v>
      </c>
    </row>
    <row r="6662">
      <c r="A6662" s="24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5" t="n">
        <v>18.590796</v>
      </c>
    </row>
    <row r="6663">
      <c r="A6663" s="24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5" t="n">
        <v>16.291305</v>
      </c>
    </row>
    <row r="6664">
      <c r="A6664" s="24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5" t="n">
        <v>14.716731</v>
      </c>
    </row>
    <row r="6665">
      <c r="A6665" s="24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5" t="n">
        <v>14.340164</v>
      </c>
    </row>
    <row r="6666">
      <c r="A6666" s="24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5" t="n">
        <v>21.265788</v>
      </c>
    </row>
    <row r="6667">
      <c r="A6667" s="24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5" t="n">
        <v>74.944998</v>
      </c>
    </row>
    <row r="6668">
      <c r="A6668" s="24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5" t="n">
        <v>88.71597</v>
      </c>
    </row>
    <row r="6669">
      <c r="A6669" s="24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5" t="n">
        <v>87.286965</v>
      </c>
    </row>
    <row r="6670">
      <c r="A6670" s="24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5" t="n">
        <v>87.442972</v>
      </c>
    </row>
    <row r="6671">
      <c r="A6671" s="24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5" t="n">
        <v>89.762826</v>
      </c>
    </row>
    <row r="6672">
      <c r="A6672" s="24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5" t="n">
        <v>91.378546</v>
      </c>
    </row>
    <row r="6673">
      <c r="A6673" s="24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5" t="n">
        <v>77.873152</v>
      </c>
    </row>
    <row r="6674">
      <c r="A6674" s="24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5" t="n">
        <v>67.80345</v>
      </c>
    </row>
    <row r="6675">
      <c r="A6675" s="24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5" t="n">
        <v>58.094695</v>
      </c>
    </row>
    <row r="6676">
      <c r="A6676" s="24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5" t="n">
        <v>65.11641899999999</v>
      </c>
    </row>
    <row r="6677">
      <c r="A6677" s="24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5" t="n">
        <v>52.31462</v>
      </c>
    </row>
    <row r="6678">
      <c r="A6678" s="24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5" t="n">
        <v>50.63907</v>
      </c>
    </row>
    <row r="6679">
      <c r="A6679" s="24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5" t="n">
        <v>46.308618</v>
      </c>
    </row>
    <row r="6680">
      <c r="A6680" s="24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5" t="n">
        <v>50.734314</v>
      </c>
    </row>
    <row r="6681">
      <c r="A6681" s="24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5" t="n">
        <v>83.658148</v>
      </c>
    </row>
    <row r="6682">
      <c r="A6682" s="24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5" t="n">
        <v>88.513882</v>
      </c>
    </row>
    <row r="6683">
      <c r="A6683" s="24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5" t="n">
        <v>132.091123</v>
      </c>
    </row>
    <row r="6684">
      <c r="A6684" s="24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5" t="n">
        <v>158.410822</v>
      </c>
    </row>
    <row r="6685">
      <c r="A6685" s="24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5" t="n">
        <v>169.932434</v>
      </c>
    </row>
    <row r="6686">
      <c r="A6686" s="24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5" t="n">
        <v>157.518265</v>
      </c>
    </row>
    <row r="6687">
      <c r="A6687" s="24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5" t="n">
        <v>123.851428</v>
      </c>
    </row>
    <row r="6688">
      <c r="A6688" s="24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5" t="n">
        <v>95.582583</v>
      </c>
    </row>
    <row r="6689">
      <c r="A6689" s="24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5" t="n">
        <v>108.162948</v>
      </c>
    </row>
    <row r="6690">
      <c r="A6690" s="24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5" t="n">
        <v>100.225453</v>
      </c>
    </row>
    <row r="6691">
      <c r="A6691" s="24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5" t="n">
        <v>82.026819</v>
      </c>
    </row>
    <row r="6692">
      <c r="A6692" s="24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5" t="n">
        <v>120.130271</v>
      </c>
    </row>
    <row r="6693">
      <c r="A6693" s="24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5" t="n">
        <v>115.721441</v>
      </c>
    </row>
    <row r="6694">
      <c r="A6694" s="24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5" t="n">
        <v>108.226658</v>
      </c>
    </row>
    <row r="6695">
      <c r="A6695" s="24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5" t="n">
        <v>105.539846</v>
      </c>
    </row>
    <row r="6696">
      <c r="A6696" s="24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5" t="n">
        <v>120.726204</v>
      </c>
    </row>
    <row r="6697">
      <c r="A6697" s="24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5" t="n">
        <v>122.620867</v>
      </c>
    </row>
    <row r="6698">
      <c r="A6698" s="24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5" t="n">
        <v>106.424028</v>
      </c>
    </row>
    <row r="6699">
      <c r="A6699" s="24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5" t="n">
        <v>161.324835</v>
      </c>
    </row>
    <row r="6700">
      <c r="A6700" s="24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5" t="n">
        <v>178.66046</v>
      </c>
    </row>
    <row r="6701">
      <c r="A6701" s="24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5" t="n">
        <v>175.342434</v>
      </c>
    </row>
    <row r="6702">
      <c r="A6702" s="24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5" t="n">
        <v>169.860311</v>
      </c>
    </row>
    <row r="6703">
      <c r="A6703" s="24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5" t="n">
        <v>189.645504</v>
      </c>
    </row>
    <row r="6704">
      <c r="A6704" s="24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5" t="n">
        <v>203.859556</v>
      </c>
    </row>
    <row r="6705">
      <c r="A6705" s="24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5" t="n">
        <v>194.401812</v>
      </c>
    </row>
    <row r="6706">
      <c r="A6706" s="24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5" t="n">
        <v>151.545222</v>
      </c>
    </row>
    <row r="6707">
      <c r="A6707" s="24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5" t="n">
        <v>117.13861</v>
      </c>
    </row>
    <row r="6708">
      <c r="A6708" s="24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5" t="n">
        <v>94.534054</v>
      </c>
    </row>
    <row r="6709">
      <c r="A6709" s="24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5" t="n">
        <v>87.146646</v>
      </c>
    </row>
    <row r="6710">
      <c r="A6710" s="24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5" t="n">
        <v>99.616907</v>
      </c>
    </row>
    <row r="6711">
      <c r="A6711" s="24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5" t="n">
        <v>93.356692</v>
      </c>
    </row>
    <row r="6712">
      <c r="A6712" s="24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5" t="n">
        <v>100.137287</v>
      </c>
    </row>
    <row r="6713">
      <c r="A6713" s="24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5" t="n">
        <v>86.14569899999999</v>
      </c>
    </row>
    <row r="6714">
      <c r="A6714" s="24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5" t="n">
        <v>77.88556199999999</v>
      </c>
    </row>
    <row r="6715">
      <c r="A6715" s="24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5" t="n">
        <v>93.273984</v>
      </c>
    </row>
    <row r="6716">
      <c r="A6716" s="24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5" t="n">
        <v>134.435033</v>
      </c>
    </row>
    <row r="6717">
      <c r="A6717" s="24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5" t="n">
        <v>127.865826</v>
      </c>
    </row>
    <row r="6718">
      <c r="A6718" s="24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5" t="n">
        <v>124.305367</v>
      </c>
    </row>
    <row r="6719">
      <c r="A6719" s="24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5" t="n">
        <v>110.246152</v>
      </c>
    </row>
    <row r="6720">
      <c r="A6720" s="24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5" t="n">
        <v>104.854015</v>
      </c>
    </row>
    <row r="6721">
      <c r="A6721" s="24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5" t="n">
        <v>129.087537</v>
      </c>
    </row>
    <row r="6722">
      <c r="A6722" s="24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5" t="n">
        <v>159.782621</v>
      </c>
    </row>
    <row r="6723">
      <c r="A6723" s="24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5" t="n">
        <v>170.650618</v>
      </c>
    </row>
    <row r="6724">
      <c r="A6724" s="24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5" t="n">
        <v>135.438072</v>
      </c>
    </row>
    <row r="6725">
      <c r="A6725" s="24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5" t="n">
        <v>104.229181</v>
      </c>
    </row>
    <row r="6726">
      <c r="A6726" s="24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5" t="n">
        <v>114.288728</v>
      </c>
    </row>
    <row r="6727">
      <c r="A6727" s="24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5" t="n">
        <v>125.179487</v>
      </c>
    </row>
    <row r="6728">
      <c r="A6728" s="24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5" t="n">
        <v>99.960092</v>
      </c>
    </row>
    <row r="6729">
      <c r="A6729" s="24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5" t="n">
        <v>82.845747</v>
      </c>
    </row>
    <row r="6730">
      <c r="A6730" s="24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5" t="n">
        <v>89.984641</v>
      </c>
    </row>
    <row r="6731">
      <c r="A6731" s="24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5" t="n">
        <v>96.111126</v>
      </c>
    </row>
    <row r="6732">
      <c r="A6732" s="24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5" t="n">
        <v>95.813149</v>
      </c>
    </row>
    <row r="6733">
      <c r="A6733" s="24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5" t="n">
        <v>151.973254</v>
      </c>
    </row>
    <row r="6734">
      <c r="A6734" s="24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5" t="n">
        <v>172.081201</v>
      </c>
    </row>
    <row r="6735">
      <c r="A6735" s="24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5" t="n">
        <v>407.353855</v>
      </c>
    </row>
    <row r="6736">
      <c r="A6736" s="24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5" t="n">
        <v>541.714871</v>
      </c>
    </row>
    <row r="6737">
      <c r="A6737" s="24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5" t="n">
        <v>359.885142</v>
      </c>
    </row>
    <row r="6738">
      <c r="A6738" s="24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5" t="n">
        <v>256.937658</v>
      </c>
    </row>
    <row r="6739">
      <c r="A6739" s="24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5" t="n">
        <v>225.074738</v>
      </c>
    </row>
    <row r="6740">
      <c r="A6740" s="24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5" t="n">
        <v>208.156451</v>
      </c>
    </row>
    <row r="6741">
      <c r="A6741" s="24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5" t="n">
        <v>179.153283</v>
      </c>
    </row>
    <row r="6742">
      <c r="A6742" s="24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5" t="n">
        <v>160.471671</v>
      </c>
    </row>
    <row r="6743">
      <c r="A6743" s="24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5" t="n">
        <v>146.307131</v>
      </c>
    </row>
    <row r="6744">
      <c r="A6744" s="24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5" t="n">
        <v>118.538879</v>
      </c>
    </row>
    <row r="6745">
      <c r="A6745" s="24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5" t="n">
        <v>111.0099</v>
      </c>
    </row>
    <row r="6746">
      <c r="A6746" s="24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5" t="n">
        <v>117.220303</v>
      </c>
    </row>
    <row r="6747">
      <c r="A6747" s="24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5" t="n">
        <v>94.67567</v>
      </c>
    </row>
    <row r="6748">
      <c r="A6748" s="24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5" t="n">
        <v>75.71265</v>
      </c>
    </row>
    <row r="6749">
      <c r="A6749" s="24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5" t="n">
        <v>61.780337</v>
      </c>
    </row>
    <row r="6750">
      <c r="A6750" s="24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5" t="n">
        <v>51.244579</v>
      </c>
    </row>
    <row r="6751">
      <c r="A6751" s="24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5" t="n">
        <v>43.168287</v>
      </c>
    </row>
    <row r="6752">
      <c r="A6752" s="24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5" t="n">
        <v>36.817646</v>
      </c>
    </row>
    <row r="6753">
      <c r="A6753" s="24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5" t="n">
        <v>31.720702</v>
      </c>
    </row>
    <row r="6754">
      <c r="A6754" s="24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5" t="n">
        <v>27.559642</v>
      </c>
    </row>
    <row r="6755">
      <c r="A6755" s="24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5" t="n">
        <v>24.113499</v>
      </c>
    </row>
    <row r="6756">
      <c r="A6756" s="24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5" t="n">
        <v>21.223823</v>
      </c>
    </row>
    <row r="6757">
      <c r="A6757" s="24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5" t="n">
        <v>18.775276</v>
      </c>
    </row>
    <row r="6758">
      <c r="A6758" s="24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5" t="n">
        <v>18.295907</v>
      </c>
    </row>
    <row r="6759">
      <c r="A6759" s="24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5" t="n">
        <v>48.49715</v>
      </c>
    </row>
    <row r="6760">
      <c r="A6760" s="24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5" t="n">
        <v>42.562016</v>
      </c>
    </row>
    <row r="6761">
      <c r="A6761" s="24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5" t="n">
        <v>87.853493</v>
      </c>
    </row>
    <row r="6762">
      <c r="A6762" s="24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5" t="n">
        <v>101.645215</v>
      </c>
    </row>
    <row r="6763">
      <c r="A6763" s="24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5" t="n">
        <v>78.815214</v>
      </c>
    </row>
    <row r="6764">
      <c r="A6764" s="24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5" t="n">
        <v>59.543201</v>
      </c>
    </row>
    <row r="6765">
      <c r="A6765" s="24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5" t="n">
        <v>47.700802</v>
      </c>
    </row>
    <row r="6766">
      <c r="A6766" s="24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5" t="n">
        <v>54.453704</v>
      </c>
    </row>
    <row r="6767">
      <c r="A6767" s="24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5" t="n">
        <v>43.814246</v>
      </c>
    </row>
    <row r="6768">
      <c r="A6768" s="24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5" t="n">
        <v>40.393588</v>
      </c>
    </row>
    <row r="6769">
      <c r="A6769" s="24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5" t="n">
        <v>67.613805</v>
      </c>
    </row>
    <row r="6770">
      <c r="A6770" s="24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5" t="n">
        <v>110.476666</v>
      </c>
    </row>
    <row r="6771">
      <c r="A6771" s="24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5" t="n">
        <v>91.131682</v>
      </c>
    </row>
    <row r="6772">
      <c r="A6772" s="24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5" t="n">
        <v>67.10841499999999</v>
      </c>
    </row>
    <row r="6773">
      <c r="A6773" s="24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5" t="n">
        <v>51.6098</v>
      </c>
    </row>
    <row r="6774">
      <c r="A6774" s="24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5" t="n">
        <v>41.181557</v>
      </c>
    </row>
    <row r="6775">
      <c r="A6775" s="24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5" t="n">
        <v>48.914836</v>
      </c>
    </row>
    <row r="6776">
      <c r="A6776" s="24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5" t="n">
        <v>45.567536</v>
      </c>
    </row>
    <row r="6777">
      <c r="A6777" s="24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5" t="n">
        <v>39.267165</v>
      </c>
    </row>
    <row r="6778">
      <c r="A6778" s="24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5" t="n">
        <v>31.429345</v>
      </c>
    </row>
    <row r="6779">
      <c r="A6779" s="24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5" t="n">
        <v>26.753194</v>
      </c>
    </row>
    <row r="6780">
      <c r="A6780" s="24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5" t="n">
        <v>22.171758</v>
      </c>
    </row>
    <row r="6781">
      <c r="A6781" s="24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5" t="n">
        <v>18.508865</v>
      </c>
    </row>
    <row r="6782">
      <c r="A6782" s="24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5" t="n">
        <v>15.726495</v>
      </c>
    </row>
    <row r="6783">
      <c r="A6783" s="24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5" t="n">
        <v>15.511516</v>
      </c>
    </row>
    <row r="6784">
      <c r="A6784" s="24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5" t="n">
        <v>22.054554</v>
      </c>
    </row>
    <row r="6785">
      <c r="A6785" s="24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5" t="n">
        <v>27.122563</v>
      </c>
    </row>
    <row r="6786">
      <c r="A6786" s="24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5" t="n">
        <v>24.723229</v>
      </c>
    </row>
    <row r="6787">
      <c r="A6787" s="24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5" t="n">
        <v>24.124377</v>
      </c>
    </row>
    <row r="6788">
      <c r="A6788" s="24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5" t="n">
        <v>22.245859</v>
      </c>
    </row>
    <row r="6789">
      <c r="A6789" s="24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5" t="n">
        <v>17.922107</v>
      </c>
    </row>
    <row r="6790">
      <c r="A6790" s="24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5" t="n">
        <v>17.94987</v>
      </c>
    </row>
    <row r="6791">
      <c r="A6791" s="24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5" t="n">
        <v>16.32512</v>
      </c>
    </row>
    <row r="6792">
      <c r="A6792" s="24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5" t="n">
        <v>15.500434</v>
      </c>
    </row>
    <row r="6793">
      <c r="A6793" s="24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5" t="n">
        <v>13.571206</v>
      </c>
    </row>
    <row r="6794">
      <c r="A6794" s="24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5" t="n">
        <v>11.033907</v>
      </c>
    </row>
    <row r="6795">
      <c r="A6795" s="24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5" t="n">
        <v>9.110973</v>
      </c>
    </row>
    <row r="6796">
      <c r="A6796" s="24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5" t="n">
        <v>16.698657</v>
      </c>
    </row>
    <row r="6797">
      <c r="A6797" s="24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5" t="n">
        <v>20.200043</v>
      </c>
    </row>
    <row r="6798">
      <c r="A6798" s="24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5" t="n">
        <v>35.971101</v>
      </c>
    </row>
    <row r="6799">
      <c r="A6799" s="24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5" t="n">
        <v>41.963364</v>
      </c>
    </row>
    <row r="6800">
      <c r="A6800" s="24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5" t="n">
        <v>48.62003</v>
      </c>
    </row>
    <row r="6801">
      <c r="A6801" s="24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5" t="n">
        <v>37.311657</v>
      </c>
    </row>
    <row r="6802">
      <c r="A6802" s="24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5" t="n">
        <v>27.864569</v>
      </c>
    </row>
    <row r="6803">
      <c r="A6803" s="24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5" t="n">
        <v>21.674875</v>
      </c>
    </row>
    <row r="6804">
      <c r="A6804" s="24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5" t="n">
        <v>17.329995</v>
      </c>
    </row>
    <row r="6805">
      <c r="A6805" s="24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5" t="n">
        <v>16.377944</v>
      </c>
    </row>
    <row r="6806">
      <c r="A6806" s="24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5" t="n">
        <v>23.475712</v>
      </c>
    </row>
    <row r="6807">
      <c r="A6807" s="24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5" t="n">
        <v>30.155226</v>
      </c>
    </row>
    <row r="6808">
      <c r="A6808" s="24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5" t="n">
        <v>82.19723999999999</v>
      </c>
    </row>
    <row r="6809">
      <c r="A6809" s="24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5" t="n">
        <v>84.171543</v>
      </c>
    </row>
    <row r="6810">
      <c r="A6810" s="24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5" t="n">
        <v>61.504713</v>
      </c>
    </row>
    <row r="6811">
      <c r="A6811" s="24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5" t="n">
        <v>51.72717</v>
      </c>
    </row>
    <row r="6812">
      <c r="A6812" s="24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5" t="n">
        <v>40.020884</v>
      </c>
    </row>
    <row r="6813">
      <c r="A6813" s="24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5" t="n">
        <v>31.329779</v>
      </c>
    </row>
    <row r="6814">
      <c r="A6814" s="24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5" t="n">
        <v>26.774087</v>
      </c>
    </row>
    <row r="6815">
      <c r="A6815" s="24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5" t="n">
        <v>22.764339</v>
      </c>
    </row>
    <row r="6816">
      <c r="A6816" s="24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5" t="n">
        <v>18.64112</v>
      </c>
    </row>
    <row r="6817">
      <c r="A6817" s="24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5" t="n">
        <v>15.964571</v>
      </c>
    </row>
    <row r="6818">
      <c r="A6818" s="24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5" t="n">
        <v>13.561697</v>
      </c>
    </row>
    <row r="6819">
      <c r="A6819" s="24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5" t="n">
        <v>11.489457</v>
      </c>
    </row>
    <row r="6820">
      <c r="A6820" s="24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5" t="n">
        <v>10.285734</v>
      </c>
    </row>
    <row r="6821">
      <c r="A6821" s="24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5" t="n">
        <v>8.824673000000001</v>
      </c>
    </row>
    <row r="6822">
      <c r="A6822" s="24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5" t="n">
        <v>7.589329</v>
      </c>
    </row>
    <row r="6823">
      <c r="A6823" s="24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5" t="n">
        <v>6.596177</v>
      </c>
    </row>
    <row r="6824">
      <c r="A6824" s="24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5" t="n">
        <v>5.776188</v>
      </c>
    </row>
    <row r="6825">
      <c r="A6825" s="24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5" t="n">
        <v>5.464086</v>
      </c>
    </row>
    <row r="6826">
      <c r="A6826" s="24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5" t="n">
        <v>4.791489</v>
      </c>
    </row>
    <row r="6827">
      <c r="A6827" s="24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5" t="n">
        <v>4.142293</v>
      </c>
    </row>
    <row r="6828">
      <c r="A6828" s="24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5" t="n">
        <v>3.666148</v>
      </c>
    </row>
    <row r="6829">
      <c r="A6829" s="24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5" t="n">
        <v>3.269374</v>
      </c>
    </row>
    <row r="6830">
      <c r="A6830" s="24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5" t="n">
        <v>2.928426</v>
      </c>
    </row>
    <row r="6831">
      <c r="A6831" s="24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5" t="n">
        <v>2.631658</v>
      </c>
    </row>
    <row r="6832">
      <c r="A6832" s="24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5" t="n">
        <v>2.371485</v>
      </c>
    </row>
    <row r="6833">
      <c r="A6833" s="24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5" t="n">
        <v>2.142133</v>
      </c>
    </row>
    <row r="6834">
      <c r="A6834" s="24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5" t="n">
        <v>1.939031</v>
      </c>
    </row>
    <row r="6835">
      <c r="A6835" s="24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5" t="n">
        <v>1.758477</v>
      </c>
    </row>
    <row r="6836">
      <c r="A6836" s="24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5" t="n">
        <v>1.597426</v>
      </c>
    </row>
    <row r="6837">
      <c r="A6837" s="24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5" t="n">
        <v>1.453343</v>
      </c>
    </row>
    <row r="6838">
      <c r="A6838" s="24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5" t="n">
        <v>1.324096</v>
      </c>
    </row>
    <row r="6839">
      <c r="A6839" s="24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5" t="n">
        <v>1.207877</v>
      </c>
    </row>
    <row r="6840">
      <c r="A6840" s="24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5" t="n">
        <v>1.103144</v>
      </c>
    </row>
    <row r="6841">
      <c r="A6841" s="24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5" t="n">
        <v>1.008573</v>
      </c>
    </row>
    <row r="6842">
      <c r="A6842" s="24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5" t="n">
        <v>0.923021</v>
      </c>
    </row>
    <row r="6843">
      <c r="A6843" s="24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5" t="n">
        <v>0.8454970000000001</v>
      </c>
    </row>
    <row r="6844">
      <c r="A6844" s="24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5" t="n">
        <v>0.775137</v>
      </c>
    </row>
    <row r="6845">
      <c r="A6845" s="24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5" t="n">
        <v>0.711188</v>
      </c>
    </row>
    <row r="6846">
      <c r="A6846" s="24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5" t="n">
        <v>0.652987</v>
      </c>
    </row>
    <row r="6847">
      <c r="A6847" s="24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5" t="n">
        <v>1.469216</v>
      </c>
    </row>
    <row r="6848">
      <c r="A6848" s="24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5" t="n">
        <v>14.372992</v>
      </c>
    </row>
    <row r="6849">
      <c r="A6849" s="24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5" t="n">
        <v>77.137024</v>
      </c>
    </row>
    <row r="6850">
      <c r="A6850" s="24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5" t="n">
        <v>111.679154</v>
      </c>
    </row>
    <row r="6851">
      <c r="A6851" s="24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5" t="n">
        <v>105.55711</v>
      </c>
    </row>
    <row r="6852">
      <c r="A6852" s="24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5" t="n">
        <v>85.532213</v>
      </c>
    </row>
    <row r="6853">
      <c r="A6853" s="24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5" t="n">
        <v>89.25933999999999</v>
      </c>
    </row>
    <row r="6854">
      <c r="A6854" s="24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5" t="n">
        <v>88.890607</v>
      </c>
    </row>
    <row r="6855">
      <c r="A6855" s="24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5" t="n">
        <v>74.594109</v>
      </c>
    </row>
    <row r="6856">
      <c r="A6856" s="24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5" t="n">
        <v>76.815861</v>
      </c>
    </row>
    <row r="6857">
      <c r="A6857" s="24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5" t="n">
        <v>66.291175</v>
      </c>
    </row>
    <row r="6858">
      <c r="A6858" s="24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5" t="n">
        <v>56.840643</v>
      </c>
    </row>
    <row r="6859">
      <c r="A6859" s="24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5" t="n">
        <v>45.282866</v>
      </c>
    </row>
    <row r="6860">
      <c r="A6860" s="24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5" t="n">
        <v>36.186107</v>
      </c>
    </row>
    <row r="6861">
      <c r="A6861" s="24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5" t="n">
        <v>57.831066</v>
      </c>
    </row>
    <row r="6862">
      <c r="A6862" s="24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5" t="n">
        <v>77.47596900000001</v>
      </c>
    </row>
    <row r="6863">
      <c r="A6863" s="24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5" t="n">
        <v>115.704866</v>
      </c>
    </row>
    <row r="6864">
      <c r="A6864" s="24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5" t="n">
        <v>107.653462</v>
      </c>
    </row>
    <row r="6865">
      <c r="A6865" s="24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5" t="n">
        <v>104.97244</v>
      </c>
    </row>
    <row r="6866">
      <c r="A6866" s="24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5" t="n">
        <v>122.609784</v>
      </c>
    </row>
    <row r="6867">
      <c r="A6867" s="24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5" t="n">
        <v>106.214357</v>
      </c>
    </row>
    <row r="6868">
      <c r="A6868" s="24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5" t="n">
        <v>90.11750600000001</v>
      </c>
    </row>
    <row r="6869">
      <c r="A6869" s="24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5" t="n">
        <v>71.75664399999999</v>
      </c>
    </row>
    <row r="6870">
      <c r="A6870" s="24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5" t="n">
        <v>67.839349</v>
      </c>
    </row>
    <row r="6871">
      <c r="A6871" s="24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5" t="n">
        <v>64.81784399999999</v>
      </c>
    </row>
    <row r="6872">
      <c r="A6872" s="24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5" t="n">
        <v>51.409561</v>
      </c>
    </row>
    <row r="6873">
      <c r="A6873" s="24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5" t="n">
        <v>40.780014</v>
      </c>
    </row>
    <row r="6874">
      <c r="A6874" s="24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5" t="n">
        <v>47.996742</v>
      </c>
    </row>
    <row r="6875">
      <c r="A6875" s="24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5" t="n">
        <v>54.839567</v>
      </c>
    </row>
    <row r="6876">
      <c r="A6876" s="24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5" t="n">
        <v>99.812355</v>
      </c>
    </row>
    <row r="6877">
      <c r="A6877" s="24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5" t="n">
        <v>110.451503</v>
      </c>
    </row>
    <row r="6878">
      <c r="A6878" s="24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5" t="n">
        <v>83.884665</v>
      </c>
    </row>
    <row r="6879">
      <c r="A6879" s="24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5" t="n">
        <v>64.447041</v>
      </c>
    </row>
    <row r="6880">
      <c r="A6880" s="24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5" t="n">
        <v>57.568306</v>
      </c>
    </row>
    <row r="6881">
      <c r="A6881" s="24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5" t="n">
        <v>81.051143</v>
      </c>
    </row>
    <row r="6882">
      <c r="A6882" s="24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5" t="n">
        <v>79.29333099999999</v>
      </c>
    </row>
    <row r="6883">
      <c r="A6883" s="24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5" t="n">
        <v>64.184736</v>
      </c>
    </row>
    <row r="6884">
      <c r="A6884" s="24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5" t="n">
        <v>50.320902</v>
      </c>
    </row>
    <row r="6885">
      <c r="A6885" s="24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5" t="n">
        <v>42.050139</v>
      </c>
    </row>
    <row r="6886">
      <c r="A6886" s="24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5" t="n">
        <v>64.123373</v>
      </c>
    </row>
    <row r="6887">
      <c r="A6887" s="24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5" t="n">
        <v>62.527472</v>
      </c>
    </row>
    <row r="6888">
      <c r="A6888" s="24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5" t="n">
        <v>48.193922</v>
      </c>
    </row>
    <row r="6889">
      <c r="A6889" s="24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5" t="n">
        <v>37.547776</v>
      </c>
    </row>
    <row r="6890">
      <c r="A6890" s="24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5" t="n">
        <v>30.232395</v>
      </c>
    </row>
    <row r="6891">
      <c r="A6891" s="24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5" t="n">
        <v>24.875758</v>
      </c>
    </row>
    <row r="6892">
      <c r="A6892" s="24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5" t="n">
        <v>20.788114</v>
      </c>
    </row>
    <row r="6893">
      <c r="A6893" s="24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5" t="n">
        <v>18.062842</v>
      </c>
    </row>
    <row r="6894">
      <c r="A6894" s="24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5" t="n">
        <v>15.706927</v>
      </c>
    </row>
    <row r="6895">
      <c r="A6895" s="24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5" t="n">
        <v>13.517679</v>
      </c>
    </row>
    <row r="6896">
      <c r="A6896" s="24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5" t="n">
        <v>11.671696</v>
      </c>
    </row>
    <row r="6897">
      <c r="A6897" s="24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5" t="n">
        <v>10.191521</v>
      </c>
    </row>
    <row r="6898">
      <c r="A6898" s="24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5" t="n">
        <v>8.975652</v>
      </c>
    </row>
    <row r="6899">
      <c r="A6899" s="24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5" t="n">
        <v>8.774527000000001</v>
      </c>
    </row>
    <row r="6900">
      <c r="A6900" s="24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5" t="n">
        <v>9.435128000000001</v>
      </c>
    </row>
    <row r="6901">
      <c r="A6901" s="24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5" t="n">
        <v>13.053926</v>
      </c>
    </row>
    <row r="6902">
      <c r="A6902" s="24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5" t="n">
        <v>12.550852</v>
      </c>
    </row>
    <row r="6903">
      <c r="A6903" s="24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5" t="n">
        <v>10.056134</v>
      </c>
    </row>
    <row r="6904">
      <c r="A6904" s="24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5" t="n">
        <v>8.174206999999999</v>
      </c>
    </row>
    <row r="6905">
      <c r="A6905" s="24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5" t="n">
        <v>6.843721</v>
      </c>
    </row>
    <row r="6906">
      <c r="A6906" s="24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5" t="n">
        <v>5.839053</v>
      </c>
    </row>
    <row r="6907">
      <c r="A6907" s="24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5" t="n">
        <v>5.051638</v>
      </c>
    </row>
    <row r="6908">
      <c r="A6908" s="24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5" t="n">
        <v>4.417716</v>
      </c>
    </row>
    <row r="6909">
      <c r="A6909" s="24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5" t="n">
        <v>3.896443</v>
      </c>
    </row>
    <row r="6910">
      <c r="A6910" s="24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5" t="n">
        <v>3.460232</v>
      </c>
    </row>
    <row r="6911">
      <c r="A6911" s="24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5" t="n">
        <v>3.089804</v>
      </c>
    </row>
    <row r="6912">
      <c r="A6912" s="24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5" t="n">
        <v>2.771419</v>
      </c>
    </row>
    <row r="6913">
      <c r="A6913" s="24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5" t="n">
        <v>2.495063</v>
      </c>
    </row>
    <row r="6914">
      <c r="A6914" s="24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5" t="n">
        <v>2.253245</v>
      </c>
    </row>
    <row r="6915">
      <c r="A6915" s="24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5" t="n">
        <v>2.040232</v>
      </c>
    </row>
    <row r="6916">
      <c r="A6916" s="24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5" t="n">
        <v>1.851543</v>
      </c>
    </row>
    <row r="6917">
      <c r="A6917" s="24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5" t="n">
        <v>2.463394</v>
      </c>
    </row>
    <row r="6918">
      <c r="A6918" s="24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5" t="n">
        <v>2.29972</v>
      </c>
    </row>
    <row r="6919">
      <c r="A6919" s="24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5" t="n">
        <v>2.927904</v>
      </c>
    </row>
    <row r="6920">
      <c r="A6920" s="24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5" t="n">
        <v>8.267742</v>
      </c>
    </row>
    <row r="6921">
      <c r="A6921" s="24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5" t="n">
        <v>17.273632</v>
      </c>
    </row>
    <row r="6922">
      <c r="A6922" s="24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5" t="n">
        <v>16.620162</v>
      </c>
    </row>
    <row r="6923">
      <c r="A6923" s="24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5" t="n">
        <v>12.776802</v>
      </c>
    </row>
    <row r="6924">
      <c r="A6924" s="24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5" t="n">
        <v>11.859629</v>
      </c>
    </row>
    <row r="6925">
      <c r="A6925" s="24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5" t="n">
        <v>19.623583</v>
      </c>
    </row>
    <row r="6926">
      <c r="A6926" s="24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5" t="n">
        <v>33.341118</v>
      </c>
    </row>
    <row r="6927">
      <c r="A6927" s="24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5" t="n">
        <v>44.135887</v>
      </c>
    </row>
    <row r="6928">
      <c r="A6928" s="24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5" t="n">
        <v>40.136766</v>
      </c>
    </row>
    <row r="6929">
      <c r="A6929" s="24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5" t="n">
        <v>31.672033</v>
      </c>
    </row>
    <row r="6930">
      <c r="A6930" s="24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5" t="n">
        <v>24.923367</v>
      </c>
    </row>
    <row r="6931">
      <c r="A6931" s="24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5" t="n">
        <v>23.187839</v>
      </c>
    </row>
    <row r="6932">
      <c r="A6932" s="24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5" t="n">
        <v>19.233377</v>
      </c>
    </row>
    <row r="6933">
      <c r="A6933" s="24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5" t="n">
        <v>15.519349</v>
      </c>
    </row>
    <row r="6934">
      <c r="A6934" s="24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5" t="n">
        <v>12.769854</v>
      </c>
    </row>
    <row r="6935">
      <c r="A6935" s="24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5" t="n">
        <v>14.398147</v>
      </c>
    </row>
    <row r="6936">
      <c r="A6936" s="24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5" t="n">
        <v>14.606463</v>
      </c>
    </row>
    <row r="6937">
      <c r="A6937" s="24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5" t="n">
        <v>24.259596</v>
      </c>
    </row>
    <row r="6938">
      <c r="A6938" s="24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5" t="n">
        <v>21.518834</v>
      </c>
    </row>
    <row r="6939">
      <c r="A6939" s="24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5" t="n">
        <v>16.215362</v>
      </c>
    </row>
    <row r="6940">
      <c r="A6940" s="24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5" t="n">
        <v>12.543575</v>
      </c>
    </row>
    <row r="6941">
      <c r="A6941" s="24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5" t="n">
        <v>10.146052</v>
      </c>
    </row>
    <row r="6942">
      <c r="A6942" s="24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5" t="n">
        <v>8.712863</v>
      </c>
    </row>
    <row r="6943">
      <c r="A6943" s="24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5" t="n">
        <v>7.155644</v>
      </c>
    </row>
    <row r="6944">
      <c r="A6944" s="24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5" t="n">
        <v>5.896118</v>
      </c>
    </row>
    <row r="6945">
      <c r="A6945" s="24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5" t="n">
        <v>5.193532</v>
      </c>
    </row>
    <row r="6946">
      <c r="A6946" s="24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5" t="n">
        <v>19.682495</v>
      </c>
    </row>
    <row r="6947">
      <c r="A6947" s="24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5" t="n">
        <v>31.257398</v>
      </c>
    </row>
    <row r="6948">
      <c r="A6948" s="24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5" t="n">
        <v>49.512428</v>
      </c>
    </row>
    <row r="6949">
      <c r="A6949" s="24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5" t="n">
        <v>40.933043</v>
      </c>
    </row>
    <row r="6950">
      <c r="A6950" s="24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5" t="n">
        <v>71.89298100000001</v>
      </c>
    </row>
    <row r="6951">
      <c r="A6951" s="24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5" t="n">
        <v>57.63315</v>
      </c>
    </row>
    <row r="6952">
      <c r="A6952" s="24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5" t="n">
        <v>47.575945</v>
      </c>
    </row>
    <row r="6953">
      <c r="A6953" s="24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5" t="n">
        <v>37.281882</v>
      </c>
    </row>
    <row r="6954">
      <c r="A6954" s="24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5" t="n">
        <v>30.09674</v>
      </c>
    </row>
    <row r="6955">
      <c r="A6955" s="24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5" t="n">
        <v>66.19211300000001</v>
      </c>
    </row>
    <row r="6956">
      <c r="A6956" s="24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5" t="n">
        <v>76.40297099999999</v>
      </c>
    </row>
    <row r="6957">
      <c r="A6957" s="24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5" t="n">
        <v>59.129277</v>
      </c>
    </row>
    <row r="6958">
      <c r="A6958" s="24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5" t="n">
        <v>44.143829</v>
      </c>
    </row>
    <row r="6959">
      <c r="A6959" s="24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5" t="n">
        <v>37.724284</v>
      </c>
    </row>
    <row r="6960">
      <c r="A6960" s="24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5" t="n">
        <v>34.418225</v>
      </c>
    </row>
    <row r="6961">
      <c r="A6961" s="24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5" t="n">
        <v>27.764706</v>
      </c>
    </row>
    <row r="6962">
      <c r="A6962" s="24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5" t="n">
        <v>22.21858</v>
      </c>
    </row>
    <row r="6963">
      <c r="A6963" s="24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5" t="n">
        <v>18.184146</v>
      </c>
    </row>
    <row r="6964">
      <c r="A6964" s="24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5" t="n">
        <v>15.119735</v>
      </c>
    </row>
    <row r="6965">
      <c r="A6965" s="24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5" t="n">
        <v>12.731578</v>
      </c>
    </row>
    <row r="6966">
      <c r="A6966" s="24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5" t="n">
        <v>10.842449</v>
      </c>
    </row>
    <row r="6967">
      <c r="A6967" s="24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5" t="n">
        <v>9.322053</v>
      </c>
    </row>
    <row r="6968">
      <c r="A6968" s="24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5" t="n">
        <v>8.079155</v>
      </c>
    </row>
    <row r="6969">
      <c r="A6969" s="24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5" t="n">
        <v>7.049597</v>
      </c>
    </row>
    <row r="6970">
      <c r="A6970" s="24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5" t="n">
        <v>6.187002</v>
      </c>
    </row>
    <row r="6971">
      <c r="A6971" s="24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5" t="n">
        <v>5.457238</v>
      </c>
    </row>
    <row r="6972">
      <c r="A6972" s="24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5" t="n">
        <v>4.834663</v>
      </c>
    </row>
    <row r="6973">
      <c r="A6973" s="24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5" t="n">
        <v>4.299659</v>
      </c>
    </row>
    <row r="6974">
      <c r="A6974" s="24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5" t="n">
        <v>3.836976</v>
      </c>
    </row>
    <row r="6975">
      <c r="A6975" s="24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5" t="n">
        <v>3.729407</v>
      </c>
    </row>
    <row r="6976">
      <c r="A6976" s="24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5" t="n">
        <v>25.471423</v>
      </c>
    </row>
    <row r="6977">
      <c r="A6977" s="24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5" t="n">
        <v>24.421928</v>
      </c>
    </row>
    <row r="6978">
      <c r="A6978" s="24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5" t="n">
        <v>21.868063</v>
      </c>
    </row>
    <row r="6979">
      <c r="A6979" s="24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5" t="n">
        <v>21.865629</v>
      </c>
    </row>
    <row r="6980">
      <c r="A6980" s="24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5" t="n">
        <v>25.563481</v>
      </c>
    </row>
    <row r="6981">
      <c r="A6981" s="24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5" t="n">
        <v>26.950233</v>
      </c>
    </row>
    <row r="6982">
      <c r="A6982" s="24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5" t="n">
        <v>31.306742</v>
      </c>
    </row>
    <row r="6983">
      <c r="A6983" s="24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5" t="n">
        <v>71.42732100000001</v>
      </c>
    </row>
    <row r="6984">
      <c r="A6984" s="24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5" t="n">
        <v>59.297409</v>
      </c>
    </row>
    <row r="6985">
      <c r="A6985" s="24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5" t="n">
        <v>43.029891</v>
      </c>
    </row>
    <row r="6986">
      <c r="A6986" s="24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5" t="n">
        <v>32.44369</v>
      </c>
    </row>
    <row r="6987">
      <c r="A6987" s="24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5" t="n">
        <v>25.18486</v>
      </c>
    </row>
    <row r="6988">
      <c r="A6988" s="24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5" t="n">
        <v>20.017667</v>
      </c>
    </row>
    <row r="6989">
      <c r="A6989" s="24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5" t="n">
        <v>23.799897</v>
      </c>
    </row>
    <row r="6990">
      <c r="A6990" s="24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5" t="n">
        <v>27.06155</v>
      </c>
    </row>
    <row r="6991">
      <c r="A6991" s="24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5" t="n">
        <v>50.021875</v>
      </c>
    </row>
    <row r="6992">
      <c r="A6992" s="24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5" t="n">
        <v>103.029988</v>
      </c>
    </row>
    <row r="6993">
      <c r="A6993" s="24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5" t="n">
        <v>120.669613</v>
      </c>
    </row>
    <row r="6994">
      <c r="A6994" s="24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5" t="n">
        <v>118.622139</v>
      </c>
    </row>
    <row r="6995">
      <c r="A6995" s="24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5" t="n">
        <v>91.921344</v>
      </c>
    </row>
    <row r="6996">
      <c r="A6996" s="24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5" t="n">
        <v>70.734993</v>
      </c>
    </row>
    <row r="6997">
      <c r="A6997" s="24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5" t="n">
        <v>55.562737</v>
      </c>
    </row>
    <row r="6998">
      <c r="A6998" s="24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5" t="n">
        <v>68.28170900000001</v>
      </c>
    </row>
    <row r="6999">
      <c r="A6999" s="24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5" t="n">
        <v>61.971314</v>
      </c>
    </row>
    <row r="7000">
      <c r="A7000" s="24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5" t="n">
        <v>59.569213</v>
      </c>
    </row>
    <row r="7001">
      <c r="A7001" s="24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5" t="n">
        <v>47.816498</v>
      </c>
    </row>
    <row r="7002">
      <c r="A7002" s="24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5" t="n">
        <v>67.589294</v>
      </c>
    </row>
    <row r="7003">
      <c r="A7003" s="24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5" t="n">
        <v>59.511106</v>
      </c>
    </row>
    <row r="7004">
      <c r="A7004" s="24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5" t="n">
        <v>49.401314</v>
      </c>
    </row>
    <row r="7005">
      <c r="A7005" s="24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5" t="n">
        <v>57.100534</v>
      </c>
    </row>
    <row r="7006">
      <c r="A7006" s="24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5" t="n">
        <v>80.203631</v>
      </c>
    </row>
    <row r="7007">
      <c r="A7007" s="24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5" t="n">
        <v>91.212988</v>
      </c>
    </row>
    <row r="7008">
      <c r="A7008" s="24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5" t="n">
        <v>119.012163</v>
      </c>
    </row>
    <row r="7009">
      <c r="A7009" s="24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5" t="n">
        <v>113.838429</v>
      </c>
    </row>
    <row r="7010">
      <c r="A7010" s="24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5" t="n">
        <v>149.233218</v>
      </c>
    </row>
    <row r="7011">
      <c r="A7011" s="24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5" t="n">
        <v>184.418009</v>
      </c>
    </row>
    <row r="7012">
      <c r="A7012" s="24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5" t="n">
        <v>189.152144</v>
      </c>
    </row>
    <row r="7013">
      <c r="A7013" s="24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5" t="n">
        <v>181.634862</v>
      </c>
    </row>
    <row r="7014">
      <c r="A7014" s="24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5" t="n">
        <v>160.801031</v>
      </c>
    </row>
    <row r="7015">
      <c r="A7015" s="24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5" t="n">
        <v>123.578092</v>
      </c>
    </row>
    <row r="7016">
      <c r="A7016" s="24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5" t="n">
        <v>99.436685</v>
      </c>
    </row>
    <row r="7017">
      <c r="A7017" s="24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5" t="n">
        <v>83.498749</v>
      </c>
    </row>
    <row r="7018">
      <c r="A7018" s="24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5" t="n">
        <v>127.588607</v>
      </c>
    </row>
    <row r="7019">
      <c r="A7019" s="24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5" t="n">
        <v>132.104842</v>
      </c>
    </row>
    <row r="7020">
      <c r="A7020" s="24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5" t="n">
        <v>100.305978</v>
      </c>
    </row>
    <row r="7021">
      <c r="A7021" s="24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5" t="n">
        <v>96.865793</v>
      </c>
    </row>
    <row r="7022">
      <c r="A7022" s="24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5" t="n">
        <v>78.51954600000001</v>
      </c>
    </row>
    <row r="7023">
      <c r="A7023" s="24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5" t="n">
        <v>69.628906</v>
      </c>
    </row>
    <row r="7024">
      <c r="A7024" s="24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5" t="n">
        <v>104.271786</v>
      </c>
    </row>
    <row r="7025">
      <c r="A7025" s="24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5" t="n">
        <v>106.205354</v>
      </c>
    </row>
    <row r="7026">
      <c r="A7026" s="24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5" t="n">
        <v>142.997563</v>
      </c>
    </row>
    <row r="7027">
      <c r="A7027" s="24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5" t="n">
        <v>150.509213</v>
      </c>
    </row>
    <row r="7028">
      <c r="A7028" s="24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5" t="n">
        <v>117.004206</v>
      </c>
    </row>
    <row r="7029">
      <c r="A7029" s="24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5" t="n">
        <v>111.863661</v>
      </c>
    </row>
    <row r="7030">
      <c r="A7030" s="24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5" t="n">
        <v>92.615864</v>
      </c>
    </row>
    <row r="7031">
      <c r="A7031" s="24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5" t="n">
        <v>88.656021</v>
      </c>
    </row>
    <row r="7032">
      <c r="A7032" s="24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5" t="n">
        <v>71.22795000000001</v>
      </c>
    </row>
    <row r="7033">
      <c r="A7033" s="24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5" t="n">
        <v>56.662046</v>
      </c>
    </row>
    <row r="7034">
      <c r="A7034" s="24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5" t="n">
        <v>104.244563</v>
      </c>
    </row>
    <row r="7035">
      <c r="A7035" s="24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5" t="n">
        <v>137.020119</v>
      </c>
    </row>
    <row r="7036">
      <c r="A7036" s="24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5" t="n">
        <v>168.715717</v>
      </c>
    </row>
    <row r="7037">
      <c r="A7037" s="24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5" t="n">
        <v>187.161003</v>
      </c>
    </row>
    <row r="7038">
      <c r="A7038" s="24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5" t="n">
        <v>182.488367</v>
      </c>
    </row>
    <row r="7039">
      <c r="A7039" s="24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5" t="n">
        <v>188.092166</v>
      </c>
    </row>
    <row r="7040">
      <c r="A7040" s="24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5" t="n">
        <v>171.683881</v>
      </c>
    </row>
    <row r="7041">
      <c r="A7041" s="24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5" t="n">
        <v>134.838019</v>
      </c>
    </row>
    <row r="7042">
      <c r="A7042" s="24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5" t="n">
        <v>104.884392</v>
      </c>
    </row>
    <row r="7043">
      <c r="A7043" s="24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5" t="n">
        <v>84.837981</v>
      </c>
    </row>
    <row r="7044">
      <c r="A7044" s="24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5" t="n">
        <v>74.56186099999999</v>
      </c>
    </row>
    <row r="7045">
      <c r="A7045" s="24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5" t="n">
        <v>61.164353</v>
      </c>
    </row>
    <row r="7046">
      <c r="A7046" s="24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5" t="n">
        <v>50.321318</v>
      </c>
    </row>
    <row r="7047">
      <c r="A7047" s="24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5" t="n">
        <v>62.795006</v>
      </c>
    </row>
    <row r="7048">
      <c r="A7048" s="24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5" t="n">
        <v>52.101129</v>
      </c>
    </row>
    <row r="7049">
      <c r="A7049" s="24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5" t="n">
        <v>92.169067</v>
      </c>
    </row>
    <row r="7050">
      <c r="A7050" s="24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5" t="n">
        <v>113.106761</v>
      </c>
    </row>
    <row r="7051">
      <c r="A7051" s="24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5" t="n">
        <v>86.450298</v>
      </c>
    </row>
    <row r="7052">
      <c r="A7052" s="24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5" t="n">
        <v>69.472292</v>
      </c>
    </row>
    <row r="7053">
      <c r="A7053" s="24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5" t="n">
        <v>54.92948</v>
      </c>
    </row>
    <row r="7054">
      <c r="A7054" s="24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5" t="n">
        <v>82.04136699999999</v>
      </c>
    </row>
    <row r="7055">
      <c r="A7055" s="24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5" t="n">
        <v>125.643714</v>
      </c>
    </row>
    <row r="7056">
      <c r="A7056" s="24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5" t="n">
        <v>118.455463</v>
      </c>
    </row>
    <row r="7057">
      <c r="A7057" s="24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5" t="n">
        <v>89.498741</v>
      </c>
    </row>
    <row r="7058">
      <c r="A7058" s="24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5" t="n">
        <v>106.46633</v>
      </c>
    </row>
    <row r="7059">
      <c r="A7059" s="24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5" t="n">
        <v>96.272076</v>
      </c>
    </row>
    <row r="7060">
      <c r="A7060" s="24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5" t="n">
        <v>84.58593999999999</v>
      </c>
    </row>
    <row r="7061">
      <c r="A7061" s="24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5" t="n">
        <v>113.688106</v>
      </c>
    </row>
    <row r="7062">
      <c r="A7062" s="24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5" t="n">
        <v>100.046477</v>
      </c>
    </row>
    <row r="7063">
      <c r="A7063" s="24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5" t="n">
        <v>135.74234</v>
      </c>
    </row>
    <row r="7064">
      <c r="A7064" s="24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5" t="n">
        <v>182.654697</v>
      </c>
    </row>
    <row r="7065">
      <c r="A7065" s="24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5" t="n">
        <v>187.184941</v>
      </c>
    </row>
    <row r="7066">
      <c r="A7066" s="24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5" t="n">
        <v>179.585495</v>
      </c>
    </row>
    <row r="7067">
      <c r="A7067" s="24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5" t="n">
        <v>142.6096</v>
      </c>
    </row>
    <row r="7068">
      <c r="A7068" s="24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5" t="n">
        <v>137.148298</v>
      </c>
    </row>
    <row r="7069">
      <c r="A7069" s="24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5" t="n">
        <v>181.988126</v>
      </c>
    </row>
    <row r="7070">
      <c r="A7070" s="24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5" t="n">
        <v>225.487764</v>
      </c>
    </row>
    <row r="7071">
      <c r="A7071" s="24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5" t="n">
        <v>335.278559</v>
      </c>
    </row>
    <row r="7072">
      <c r="A7072" s="24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5" t="n">
        <v>373.138804</v>
      </c>
    </row>
    <row r="7073">
      <c r="A7073" s="24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5" t="n">
        <v>286.378805</v>
      </c>
    </row>
    <row r="7074">
      <c r="A7074" s="24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5" t="n">
        <v>233.425442</v>
      </c>
    </row>
    <row r="7075">
      <c r="A7075" s="24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5" t="n">
        <v>208.653436</v>
      </c>
    </row>
    <row r="7076">
      <c r="A7076" s="24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5" t="n">
        <v>170.028196</v>
      </c>
    </row>
    <row r="7077">
      <c r="A7077" s="24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5" t="n">
        <v>200.780242</v>
      </c>
    </row>
    <row r="7078">
      <c r="A7078" s="24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5" t="n">
        <v>212.104981</v>
      </c>
    </row>
    <row r="7079">
      <c r="A7079" s="24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5" t="n">
        <v>218.678892</v>
      </c>
    </row>
    <row r="7080">
      <c r="A7080" s="24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5" t="n">
        <v>215.457533</v>
      </c>
    </row>
    <row r="7081">
      <c r="A7081" s="24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5" t="n">
        <v>223.42328</v>
      </c>
    </row>
    <row r="7082">
      <c r="A7082" s="24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5" t="n">
        <v>220.52184</v>
      </c>
    </row>
    <row r="7083">
      <c r="A7083" s="24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5" t="n">
        <v>227.138962</v>
      </c>
    </row>
    <row r="7084">
      <c r="A7084" s="24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5" t="n">
        <v>217.92557</v>
      </c>
    </row>
    <row r="7085">
      <c r="A7085" s="24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5" t="n">
        <v>229.581088</v>
      </c>
    </row>
    <row r="7086">
      <c r="A7086" s="24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5" t="n">
        <v>236.227652</v>
      </c>
    </row>
    <row r="7087">
      <c r="A7087" s="24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5" t="n">
        <v>236.43118</v>
      </c>
    </row>
    <row r="7088">
      <c r="A7088" s="24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5" t="n">
        <v>257.45264</v>
      </c>
    </row>
    <row r="7089">
      <c r="A7089" s="24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5" t="n">
        <v>451.544067</v>
      </c>
    </row>
    <row r="7090">
      <c r="A7090" s="24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5" t="n">
        <v>492.423436</v>
      </c>
    </row>
    <row r="7091">
      <c r="A7091" s="24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5" t="n">
        <v>329.34399</v>
      </c>
    </row>
    <row r="7092">
      <c r="A7092" s="24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5" t="n">
        <v>272.461603</v>
      </c>
    </row>
    <row r="7093">
      <c r="A7093" s="24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5" t="n">
        <v>250.797778</v>
      </c>
    </row>
    <row r="7094">
      <c r="A7094" s="24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5" t="n">
        <v>399.447475</v>
      </c>
    </row>
    <row r="7095">
      <c r="A7095" s="24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5" t="n">
        <v>530.47039</v>
      </c>
    </row>
    <row r="7096">
      <c r="A7096" s="24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5" t="n">
        <v>452.288119</v>
      </c>
    </row>
    <row r="7097">
      <c r="A7097" s="24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5" t="n">
        <v>337.442965</v>
      </c>
    </row>
    <row r="7098">
      <c r="A7098" s="24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5" t="n">
        <v>291.014317</v>
      </c>
    </row>
    <row r="7099">
      <c r="A7099" s="24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5" t="n">
        <v>266.996383</v>
      </c>
    </row>
    <row r="7100">
      <c r="A7100" s="24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5" t="n">
        <v>243.99767</v>
      </c>
    </row>
    <row r="7101">
      <c r="A7101" s="24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5" t="n">
        <v>237.32249</v>
      </c>
    </row>
    <row r="7102">
      <c r="A7102" s="24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5" t="n">
        <v>267.94135</v>
      </c>
    </row>
    <row r="7103">
      <c r="A7103" s="24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5" t="n">
        <v>395.161478</v>
      </c>
    </row>
    <row r="7104">
      <c r="A7104" s="24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5" t="n">
        <v>567.959801</v>
      </c>
    </row>
    <row r="7105">
      <c r="A7105" s="24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5" t="n">
        <v>530.335334</v>
      </c>
    </row>
    <row r="7106">
      <c r="A7106" s="24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5" t="n">
        <v>510.688681</v>
      </c>
    </row>
    <row r="7107">
      <c r="A7107" s="24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5" t="n">
        <v>532.235802</v>
      </c>
    </row>
    <row r="7108">
      <c r="A7108" s="24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5" t="n">
        <v>407.808433</v>
      </c>
    </row>
    <row r="7109">
      <c r="A7109" s="24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5" t="n">
        <v>325.381308</v>
      </c>
    </row>
    <row r="7110">
      <c r="A7110" s="24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5" t="n">
        <v>287.552899</v>
      </c>
    </row>
    <row r="7111">
      <c r="A7111" s="24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5" t="n">
        <v>264.640367</v>
      </c>
    </row>
    <row r="7112">
      <c r="A7112" s="24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5" t="n">
        <v>523.217192</v>
      </c>
    </row>
    <row r="7113">
      <c r="A7113" s="24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5" t="n">
        <v>842.4863</v>
      </c>
    </row>
    <row r="7114">
      <c r="A7114" s="24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5" t="n">
        <v>764.015132</v>
      </c>
    </row>
    <row r="7115">
      <c r="A7115" s="24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5" t="n">
        <v>591.330391</v>
      </c>
    </row>
    <row r="7116">
      <c r="A7116" s="24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5" t="n">
        <v>571.583047</v>
      </c>
    </row>
    <row r="7117">
      <c r="A7117" s="24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5" t="n">
        <v>470.240196</v>
      </c>
    </row>
    <row r="7118">
      <c r="A7118" s="24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5" t="n">
        <v>354.772827</v>
      </c>
    </row>
    <row r="7119">
      <c r="A7119" s="24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5" t="n">
        <v>580.293123</v>
      </c>
    </row>
    <row r="7120">
      <c r="A7120" s="24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5" t="n">
        <v>663.262968</v>
      </c>
    </row>
    <row r="7121">
      <c r="A7121" s="24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5" t="n">
        <v>423.353368</v>
      </c>
    </row>
    <row r="7122">
      <c r="A7122" s="24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5" t="n">
        <v>311.949896</v>
      </c>
    </row>
    <row r="7123">
      <c r="A7123" s="24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5" t="n">
        <v>333.931665</v>
      </c>
    </row>
    <row r="7124">
      <c r="A7124" s="24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5" t="n">
        <v>469.426699</v>
      </c>
    </row>
    <row r="7125">
      <c r="A7125" s="24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5" t="n">
        <v>482.55072</v>
      </c>
    </row>
    <row r="7126">
      <c r="A7126" s="24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5" t="n">
        <v>436.350502</v>
      </c>
    </row>
    <row r="7127">
      <c r="A7127" s="24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5" t="n">
        <v>471.651702</v>
      </c>
    </row>
    <row r="7128">
      <c r="A7128" s="24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5" t="n">
        <v>395.138271</v>
      </c>
    </row>
    <row r="7129">
      <c r="A7129" s="24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5" t="n">
        <v>293.474314</v>
      </c>
    </row>
    <row r="7130">
      <c r="A7130" s="24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5" t="n">
        <v>261.940239</v>
      </c>
    </row>
    <row r="7131">
      <c r="A7131" s="24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5" t="n">
        <v>218.713821</v>
      </c>
    </row>
    <row r="7132">
      <c r="A7132" s="24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5" t="n">
        <v>175.901113</v>
      </c>
    </row>
    <row r="7133">
      <c r="A7133" s="24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5" t="n">
        <v>139.512787</v>
      </c>
    </row>
    <row r="7134">
      <c r="A7134" s="24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5" t="n">
        <v>112.584739</v>
      </c>
    </row>
    <row r="7135">
      <c r="A7135" s="24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5" t="n">
        <v>107.598266</v>
      </c>
    </row>
    <row r="7136">
      <c r="A7136" s="24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5" t="n">
        <v>89.93092900000001</v>
      </c>
    </row>
    <row r="7137">
      <c r="A7137" s="24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5" t="n">
        <v>75.440375</v>
      </c>
    </row>
    <row r="7138">
      <c r="A7138" s="24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5" t="n">
        <v>105.46744</v>
      </c>
    </row>
    <row r="7139">
      <c r="A7139" s="24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5" t="n">
        <v>95.040254</v>
      </c>
    </row>
    <row r="7140">
      <c r="A7140" s="24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5" t="n">
        <v>128.605991</v>
      </c>
    </row>
    <row r="7141">
      <c r="A7141" s="24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5" t="n">
        <v>140.533462</v>
      </c>
    </row>
    <row r="7142">
      <c r="A7142" s="24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5" t="n">
        <v>127.401598</v>
      </c>
    </row>
    <row r="7143">
      <c r="A7143" s="24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5" t="n">
        <v>100.229265</v>
      </c>
    </row>
    <row r="7144">
      <c r="A7144" s="24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5" t="n">
        <v>92.08181999999999</v>
      </c>
    </row>
    <row r="7145">
      <c r="A7145" s="24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5" t="n">
        <v>76.727807</v>
      </c>
    </row>
    <row r="7146">
      <c r="A7146" s="24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5" t="n">
        <v>62.137661</v>
      </c>
    </row>
    <row r="7147">
      <c r="A7147" s="24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5" t="n">
        <v>51.212658</v>
      </c>
    </row>
    <row r="7148">
      <c r="A7148" s="24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5" t="n">
        <v>43.171275</v>
      </c>
    </row>
    <row r="7149">
      <c r="A7149" s="24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5" t="n">
        <v>36.75853</v>
      </c>
    </row>
    <row r="7150">
      <c r="A7150" s="24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5" t="n">
        <v>31.883802</v>
      </c>
    </row>
    <row r="7151">
      <c r="A7151" s="24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5" t="n">
        <v>83.230391</v>
      </c>
    </row>
    <row r="7152">
      <c r="A7152" s="24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5" t="n">
        <v>141.76872</v>
      </c>
    </row>
    <row r="7153">
      <c r="A7153" s="24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5" t="n">
        <v>157.990037</v>
      </c>
    </row>
    <row r="7154">
      <c r="A7154" s="24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5" t="n">
        <v>142.105321</v>
      </c>
    </row>
    <row r="7155">
      <c r="A7155" s="24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5" t="n">
        <v>121.693997</v>
      </c>
    </row>
    <row r="7156">
      <c r="A7156" s="24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5" t="n">
        <v>135.039289</v>
      </c>
    </row>
    <row r="7157">
      <c r="A7157" s="24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5" t="n">
        <v>120.247759</v>
      </c>
    </row>
    <row r="7158">
      <c r="A7158" s="24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5" t="n">
        <v>108.513233</v>
      </c>
    </row>
    <row r="7159">
      <c r="A7159" s="24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5" t="n">
        <v>86.086224</v>
      </c>
    </row>
    <row r="7160">
      <c r="A7160" s="24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5" t="n">
        <v>81.059979</v>
      </c>
    </row>
    <row r="7161">
      <c r="A7161" s="24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5" t="n">
        <v>76.27711499999999</v>
      </c>
    </row>
    <row r="7162">
      <c r="A7162" s="24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5" t="n">
        <v>62.038826</v>
      </c>
    </row>
    <row r="7163">
      <c r="A7163" s="24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5" t="n">
        <v>61.626593</v>
      </c>
    </row>
    <row r="7164">
      <c r="A7164" s="24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5" t="n">
        <v>100.922949</v>
      </c>
    </row>
    <row r="7165">
      <c r="A7165" s="24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5" t="n">
        <v>138.255099</v>
      </c>
    </row>
    <row r="7166">
      <c r="A7166" s="24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5" t="n">
        <v>120.970533</v>
      </c>
    </row>
    <row r="7167">
      <c r="A7167" s="24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5" t="n">
        <v>98.990821</v>
      </c>
    </row>
    <row r="7168">
      <c r="A7168" s="24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5" t="n">
        <v>140.651799</v>
      </c>
    </row>
    <row r="7169">
      <c r="A7169" s="24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5" t="n">
        <v>147.671296</v>
      </c>
    </row>
    <row r="7170">
      <c r="A7170" s="24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5" t="n">
        <v>110.852282</v>
      </c>
    </row>
    <row r="7171">
      <c r="A7171" s="24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5" t="n">
        <v>99.616685</v>
      </c>
    </row>
    <row r="7172">
      <c r="A7172" s="24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5" t="n">
        <v>138.388098</v>
      </c>
    </row>
    <row r="7173">
      <c r="A7173" s="24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5" t="n">
        <v>184.783694</v>
      </c>
    </row>
    <row r="7174">
      <c r="A7174" s="24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5" t="n">
        <v>197.754107</v>
      </c>
    </row>
    <row r="7175">
      <c r="A7175" s="24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5" t="n">
        <v>188.329202</v>
      </c>
    </row>
    <row r="7176">
      <c r="A7176" s="24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5" t="n">
        <v>181.415387</v>
      </c>
    </row>
    <row r="7177">
      <c r="A7177" s="24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5" t="n">
        <v>147.615257</v>
      </c>
    </row>
    <row r="7178">
      <c r="A7178" s="24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5" t="n">
        <v>129.293844</v>
      </c>
    </row>
    <row r="7179">
      <c r="A7179" s="24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5" t="n">
        <v>138.371065</v>
      </c>
    </row>
    <row r="7180">
      <c r="A7180" s="24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5" t="n">
        <v>125.045038</v>
      </c>
    </row>
    <row r="7181">
      <c r="A7181" s="24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5" t="n">
        <v>121.72245</v>
      </c>
    </row>
    <row r="7182">
      <c r="A7182" s="24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5" t="n">
        <v>110.834059</v>
      </c>
    </row>
    <row r="7183">
      <c r="A7183" s="24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5" t="n">
        <v>87.979696</v>
      </c>
    </row>
    <row r="7184">
      <c r="A7184" s="24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5" t="n">
        <v>127.486499</v>
      </c>
    </row>
    <row r="7185">
      <c r="A7185" s="24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5" t="n">
        <v>162.489969</v>
      </c>
    </row>
    <row r="7186">
      <c r="A7186" s="24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5" t="n">
        <v>261.791345</v>
      </c>
    </row>
    <row r="7187">
      <c r="A7187" s="24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5" t="n">
        <v>296.022045</v>
      </c>
    </row>
    <row r="7188">
      <c r="A7188" s="24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5" t="n">
        <v>241.048676</v>
      </c>
    </row>
    <row r="7189">
      <c r="A7189" s="24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5" t="n">
        <v>222.840356</v>
      </c>
    </row>
    <row r="7190">
      <c r="A7190" s="24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5" t="n">
        <v>212.102598</v>
      </c>
    </row>
    <row r="7191">
      <c r="A7191" s="24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5" t="n">
        <v>212.985899</v>
      </c>
    </row>
    <row r="7192">
      <c r="A7192" s="24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5" t="n">
        <v>202.029238</v>
      </c>
    </row>
    <row r="7193">
      <c r="A7193" s="24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5" t="n">
        <v>163.495698</v>
      </c>
    </row>
    <row r="7194">
      <c r="A7194" s="24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5" t="n">
        <v>147.883063</v>
      </c>
    </row>
    <row r="7195">
      <c r="A7195" s="24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5" t="n">
        <v>214.647677</v>
      </c>
    </row>
    <row r="7196">
      <c r="A7196" s="24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5" t="n">
        <v>227.283932</v>
      </c>
    </row>
    <row r="7197">
      <c r="A7197" s="24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5" t="n">
        <v>203.810674</v>
      </c>
    </row>
    <row r="7198">
      <c r="A7198" s="24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5" t="n">
        <v>192.241227</v>
      </c>
    </row>
    <row r="7199">
      <c r="A7199" s="24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5" t="n">
        <v>195.332312</v>
      </c>
    </row>
    <row r="7200">
      <c r="A7200" s="24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5" t="n">
        <v>171.926519</v>
      </c>
    </row>
    <row r="7201">
      <c r="A7201" s="24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5" t="n">
        <v>148.552206</v>
      </c>
    </row>
    <row r="7202">
      <c r="A7202" s="24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5" t="n">
        <v>116.882202</v>
      </c>
    </row>
    <row r="7203">
      <c r="A7203" s="24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5" t="n">
        <v>97.204689</v>
      </c>
    </row>
    <row r="7204">
      <c r="A7204" s="24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5" t="n">
        <v>91.265111</v>
      </c>
    </row>
    <row r="7205">
      <c r="A7205" s="24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5" t="n">
        <v>88.289922</v>
      </c>
    </row>
    <row r="7206">
      <c r="A7206" s="24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5" t="n">
        <v>76.411582</v>
      </c>
    </row>
    <row r="7207">
      <c r="A7207" s="24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5" t="n">
        <v>80.302774</v>
      </c>
    </row>
    <row r="7208">
      <c r="A7208" s="24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5" t="n">
        <v>93.626644</v>
      </c>
    </row>
    <row r="7209">
      <c r="A7209" s="24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5" t="n">
        <v>96.840424</v>
      </c>
    </row>
    <row r="7210">
      <c r="A7210" s="24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5" t="n">
        <v>128.878646</v>
      </c>
    </row>
    <row r="7211">
      <c r="A7211" s="24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5" t="n">
        <v>123.212997</v>
      </c>
    </row>
    <row r="7212">
      <c r="A7212" s="24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5" t="n">
        <v>114.262042</v>
      </c>
    </row>
    <row r="7213">
      <c r="A7213" s="24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5" t="n">
        <v>131.773488</v>
      </c>
    </row>
    <row r="7214">
      <c r="A7214" s="24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5" t="n">
        <v>105.003822</v>
      </c>
    </row>
    <row r="7215">
      <c r="A7215" s="24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5" t="n">
        <v>123.463887</v>
      </c>
    </row>
    <row r="7216">
      <c r="A7216" s="24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5" t="n">
        <v>167.317402</v>
      </c>
    </row>
    <row r="7217">
      <c r="A7217" s="24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5" t="n">
        <v>191.682609</v>
      </c>
    </row>
    <row r="7218">
      <c r="A7218" s="24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5" t="n">
        <v>196.989143</v>
      </c>
    </row>
    <row r="7219">
      <c r="A7219" s="24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5" t="n">
        <v>194.199482</v>
      </c>
    </row>
    <row r="7220">
      <c r="A7220" s="24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5" t="n">
        <v>194.353323</v>
      </c>
    </row>
    <row r="7221">
      <c r="A7221" s="24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5" t="n">
        <v>208.852242</v>
      </c>
    </row>
    <row r="7222">
      <c r="A7222" s="24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5" t="n">
        <v>215.024408</v>
      </c>
    </row>
    <row r="7223">
      <c r="A7223" s="24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5" t="n">
        <v>188.076625</v>
      </c>
    </row>
    <row r="7224">
      <c r="A7224" s="24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5" t="n">
        <v>182.49853</v>
      </c>
    </row>
    <row r="7225">
      <c r="A7225" s="24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5" t="n">
        <v>178.829331</v>
      </c>
    </row>
    <row r="7226">
      <c r="A7226" s="24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5" t="n">
        <v>158.220315</v>
      </c>
    </row>
    <row r="7227">
      <c r="A7227" s="24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5" t="n">
        <v>139.637374</v>
      </c>
    </row>
    <row r="7228">
      <c r="A7228" s="24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5" t="n">
        <v>110.311994</v>
      </c>
    </row>
    <row r="7229">
      <c r="A7229" s="24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5" t="n">
        <v>87.99763799999999</v>
      </c>
    </row>
    <row r="7230">
      <c r="A7230" s="24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5" t="n">
        <v>121.452111</v>
      </c>
    </row>
    <row r="7231">
      <c r="A7231" s="24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5" t="n">
        <v>111.722864</v>
      </c>
    </row>
    <row r="7232">
      <c r="A7232" s="24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5" t="n">
        <v>97.620311</v>
      </c>
    </row>
    <row r="7233">
      <c r="A7233" s="24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5" t="n">
        <v>112.705505</v>
      </c>
    </row>
    <row r="7234">
      <c r="A7234" s="24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5" t="n">
        <v>146.386731</v>
      </c>
    </row>
    <row r="7235">
      <c r="A7235" s="24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5" t="n">
        <v>131.36023</v>
      </c>
    </row>
    <row r="7236">
      <c r="A7236" s="24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5" t="n">
        <v>102.360733</v>
      </c>
    </row>
    <row r="7237">
      <c r="A7237" s="24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5" t="n">
        <v>80.581141</v>
      </c>
    </row>
    <row r="7238">
      <c r="A7238" s="24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5" t="n">
        <v>88.450259</v>
      </c>
    </row>
    <row r="7239">
      <c r="A7239" s="24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5" t="n">
        <v>91.91556300000001</v>
      </c>
    </row>
    <row r="7240">
      <c r="A7240" s="24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5" t="n">
        <v>123.253224</v>
      </c>
    </row>
    <row r="7241">
      <c r="A7241" s="24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5" t="n">
        <v>106.027361</v>
      </c>
    </row>
    <row r="7242">
      <c r="A7242" s="24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5" t="n">
        <v>81.601896</v>
      </c>
    </row>
    <row r="7243">
      <c r="A7243" s="24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5" t="n">
        <v>65.321844</v>
      </c>
    </row>
    <row r="7244">
      <c r="A7244" s="24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5" t="n">
        <v>82.023207</v>
      </c>
    </row>
    <row r="7245">
      <c r="A7245" s="24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5" t="n">
        <v>86.692239</v>
      </c>
    </row>
    <row r="7246">
      <c r="A7246" s="24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5" t="n">
        <v>119.016835</v>
      </c>
    </row>
    <row r="7247">
      <c r="A7247" s="24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5" t="n">
        <v>100.627168</v>
      </c>
    </row>
    <row r="7248">
      <c r="A7248" s="24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5" t="n">
        <v>83.24747499999999</v>
      </c>
    </row>
    <row r="7249">
      <c r="A7249" s="24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5" t="n">
        <v>65.70745700000001</v>
      </c>
    </row>
    <row r="7250">
      <c r="A7250" s="24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5" t="n">
        <v>57.080038</v>
      </c>
    </row>
    <row r="7251">
      <c r="A7251" s="24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5" t="n">
        <v>117.733019</v>
      </c>
    </row>
    <row r="7252">
      <c r="A7252" s="24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5" t="n">
        <v>151.854009</v>
      </c>
    </row>
    <row r="7253">
      <c r="A7253" s="24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5" t="n">
        <v>161.694675</v>
      </c>
    </row>
    <row r="7254">
      <c r="A7254" s="24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5" t="n">
        <v>171.750661</v>
      </c>
    </row>
    <row r="7255">
      <c r="A7255" s="24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5" t="n">
        <v>160.26313</v>
      </c>
    </row>
    <row r="7256">
      <c r="A7256" s="24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5" t="n">
        <v>122.714875</v>
      </c>
    </row>
    <row r="7257">
      <c r="A7257" s="24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5" t="n">
        <v>99.39061100000001</v>
      </c>
    </row>
    <row r="7258">
      <c r="A7258" s="24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5" t="n">
        <v>80.469542</v>
      </c>
    </row>
    <row r="7259">
      <c r="A7259" s="24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5" t="n">
        <v>64.901972</v>
      </c>
    </row>
    <row r="7260">
      <c r="A7260" s="24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5" t="n">
        <v>81.051362</v>
      </c>
    </row>
    <row r="7261">
      <c r="A7261" s="24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5" t="n">
        <v>106.18187</v>
      </c>
    </row>
    <row r="7262">
      <c r="A7262" s="24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5" t="n">
        <v>115.668369</v>
      </c>
    </row>
    <row r="7263">
      <c r="A7263" s="24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5" t="n">
        <v>124.078516</v>
      </c>
    </row>
    <row r="7264">
      <c r="A7264" s="24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5" t="n">
        <v>96.26599299999999</v>
      </c>
    </row>
    <row r="7265">
      <c r="A7265" s="24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5" t="n">
        <v>86.719584</v>
      </c>
    </row>
    <row r="7266">
      <c r="A7266" s="24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5" t="n">
        <v>68.93760399999999</v>
      </c>
    </row>
    <row r="7267">
      <c r="A7267" s="24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5" t="n">
        <v>65.176193</v>
      </c>
    </row>
    <row r="7268">
      <c r="A7268" s="24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5" t="n">
        <v>70.54867400000001</v>
      </c>
    </row>
    <row r="7269">
      <c r="A7269" s="24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5" t="n">
        <v>63.043899</v>
      </c>
    </row>
    <row r="7270">
      <c r="A7270" s="24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5" t="n">
        <v>105.672167</v>
      </c>
    </row>
    <row r="7271">
      <c r="A7271" s="24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5" t="n">
        <v>102.498589</v>
      </c>
    </row>
    <row r="7272">
      <c r="A7272" s="24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5" t="n">
        <v>85.949147</v>
      </c>
    </row>
    <row r="7273">
      <c r="A7273" s="24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5" t="n">
        <v>104.809746</v>
      </c>
    </row>
    <row r="7274">
      <c r="A7274" s="24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5" t="n">
        <v>93.40348</v>
      </c>
    </row>
    <row r="7275">
      <c r="A7275" s="24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5" t="n">
        <v>104.086494</v>
      </c>
    </row>
    <row r="7276">
      <c r="A7276" s="24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5" t="n">
        <v>139.113166</v>
      </c>
    </row>
    <row r="7277">
      <c r="A7277" s="24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5" t="n">
        <v>138.568635</v>
      </c>
    </row>
    <row r="7278">
      <c r="A7278" s="24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5" t="n">
        <v>128.777298</v>
      </c>
    </row>
    <row r="7279">
      <c r="A7279" s="24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5" t="n">
        <v>107.259641</v>
      </c>
    </row>
    <row r="7280">
      <c r="A7280" s="24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5" t="n">
        <v>86.46342300000001</v>
      </c>
    </row>
    <row r="7281">
      <c r="A7281" s="24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5" t="n">
        <v>68.793037</v>
      </c>
    </row>
    <row r="7282">
      <c r="A7282" s="24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5" t="n">
        <v>91.17127600000001</v>
      </c>
    </row>
    <row r="7283">
      <c r="A7283" s="24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5" t="n">
        <v>108.301992</v>
      </c>
    </row>
    <row r="7284">
      <c r="A7284" s="24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5" t="n">
        <v>84.486602</v>
      </c>
    </row>
    <row r="7285">
      <c r="A7285" s="24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5" t="n">
        <v>78.075897</v>
      </c>
    </row>
    <row r="7286">
      <c r="A7286" s="24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5" t="n">
        <v>74.42712899999999</v>
      </c>
    </row>
    <row r="7287">
      <c r="A7287" s="24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5" t="n">
        <v>92.74357000000001</v>
      </c>
    </row>
    <row r="7288">
      <c r="A7288" s="24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5" t="n">
        <v>76.120276</v>
      </c>
    </row>
    <row r="7289">
      <c r="A7289" s="24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5" t="n">
        <v>72.251943</v>
      </c>
    </row>
    <row r="7290">
      <c r="A7290" s="24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5" t="n">
        <v>59.609959</v>
      </c>
    </row>
    <row r="7291">
      <c r="A7291" s="24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5" t="n">
        <v>54.582349</v>
      </c>
    </row>
    <row r="7292">
      <c r="A7292" s="24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5" t="n">
        <v>70.13309099999999</v>
      </c>
    </row>
    <row r="7293">
      <c r="A7293" s="24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5" t="n">
        <v>76.65592100000001</v>
      </c>
    </row>
    <row r="7294">
      <c r="A7294" s="24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5" t="n">
        <v>61.293733</v>
      </c>
    </row>
    <row r="7295">
      <c r="A7295" s="24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5" t="n">
        <v>51.952355</v>
      </c>
    </row>
    <row r="7296">
      <c r="A7296" s="24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5" t="n">
        <v>44.587641</v>
      </c>
    </row>
    <row r="7297">
      <c r="A7297" s="24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5" t="n">
        <v>92.92320599999999</v>
      </c>
    </row>
    <row r="7298">
      <c r="A7298" s="24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5" t="n">
        <v>101.503357</v>
      </c>
    </row>
    <row r="7299">
      <c r="A7299" s="24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5" t="n">
        <v>79.74158300000001</v>
      </c>
    </row>
    <row r="7300">
      <c r="A7300" s="24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5" t="n">
        <v>65.143348</v>
      </c>
    </row>
    <row r="7301">
      <c r="A7301" s="24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5" t="n">
        <v>72.00394799999999</v>
      </c>
    </row>
    <row r="7302">
      <c r="A7302" s="24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5" t="n">
        <v>57.554425</v>
      </c>
    </row>
    <row r="7303">
      <c r="A7303" s="24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5" t="n">
        <v>53.532887</v>
      </c>
    </row>
    <row r="7304">
      <c r="A7304" s="24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5" t="n">
        <v>73.108418</v>
      </c>
    </row>
    <row r="7305">
      <c r="A7305" s="24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5" t="n">
        <v>63.971452</v>
      </c>
    </row>
    <row r="7306">
      <c r="A7306" s="24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5" t="n">
        <v>112.671974</v>
      </c>
    </row>
    <row r="7307">
      <c r="A7307" s="24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5" t="n">
        <v>130.674343</v>
      </c>
    </row>
    <row r="7308">
      <c r="A7308" s="24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5" t="n">
        <v>99.09446</v>
      </c>
    </row>
    <row r="7309">
      <c r="A7309" s="24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5" t="n">
        <v>79.86790000000001</v>
      </c>
    </row>
    <row r="7310">
      <c r="A7310" s="24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5" t="n">
        <v>98.41907999999999</v>
      </c>
    </row>
    <row r="7311">
      <c r="A7311" s="24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5" t="n">
        <v>87.953553</v>
      </c>
    </row>
    <row r="7312">
      <c r="A7312" s="24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5" t="n">
        <v>67.548737</v>
      </c>
    </row>
    <row r="7313">
      <c r="A7313" s="24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5" t="n">
        <v>65.099726</v>
      </c>
    </row>
    <row r="7314">
      <c r="A7314" s="24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5" t="n">
        <v>52.430851</v>
      </c>
    </row>
    <row r="7315">
      <c r="A7315" s="24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5" t="n">
        <v>57.120781</v>
      </c>
    </row>
    <row r="7316">
      <c r="A7316" s="24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5" t="n">
        <v>69.96773399999999</v>
      </c>
    </row>
    <row r="7317">
      <c r="A7317" s="24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5" t="n">
        <v>59.708383</v>
      </c>
    </row>
    <row r="7318">
      <c r="A7318" s="24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5" t="n">
        <v>50.66757</v>
      </c>
    </row>
    <row r="7319">
      <c r="A7319" s="24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5" t="n">
        <v>43.532589</v>
      </c>
    </row>
    <row r="7320">
      <c r="A7320" s="24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5" t="n">
        <v>40.06509</v>
      </c>
    </row>
    <row r="7321">
      <c r="A7321" s="24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5" t="n">
        <v>63.053556</v>
      </c>
    </row>
    <row r="7322">
      <c r="A7322" s="24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5" t="n">
        <v>51.883756</v>
      </c>
    </row>
    <row r="7323">
      <c r="A7323" s="24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5" t="n">
        <v>43.053392</v>
      </c>
    </row>
    <row r="7324">
      <c r="A7324" s="24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5" t="n">
        <v>42.133514</v>
      </c>
    </row>
    <row r="7325">
      <c r="A7325" s="24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5" t="n">
        <v>35.937795</v>
      </c>
    </row>
    <row r="7326">
      <c r="A7326" s="24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5" t="n">
        <v>89.590991</v>
      </c>
    </row>
    <row r="7327">
      <c r="A7327" s="24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5" t="n">
        <v>101.78613</v>
      </c>
    </row>
    <row r="7328">
      <c r="A7328" s="24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5" t="n">
        <v>106.46251</v>
      </c>
    </row>
    <row r="7329">
      <c r="A7329" s="24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5" t="n">
        <v>87.487815</v>
      </c>
    </row>
    <row r="7330">
      <c r="A7330" s="24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5" t="n">
        <v>69.807856</v>
      </c>
    </row>
    <row r="7331">
      <c r="A7331" s="24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5" t="n">
        <v>54.195804</v>
      </c>
    </row>
    <row r="7332">
      <c r="A7332" s="24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5" t="n">
        <v>43.827288</v>
      </c>
    </row>
    <row r="7333">
      <c r="A7333" s="24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5" t="n">
        <v>46.97767</v>
      </c>
    </row>
    <row r="7334">
      <c r="A7334" s="24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5" t="n">
        <v>40.000517</v>
      </c>
    </row>
    <row r="7335">
      <c r="A7335" s="24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5" t="n">
        <v>35.654519</v>
      </c>
    </row>
    <row r="7336">
      <c r="A7336" s="24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5" t="n">
        <v>43.513595</v>
      </c>
    </row>
    <row r="7337">
      <c r="A7337" s="24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5" t="n">
        <v>42.864396</v>
      </c>
    </row>
    <row r="7338">
      <c r="A7338" s="24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5" t="n">
        <v>77.825383</v>
      </c>
    </row>
    <row r="7339">
      <c r="A7339" s="24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5" t="n">
        <v>61.699872</v>
      </c>
    </row>
    <row r="7340">
      <c r="A7340" s="24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5" t="n">
        <v>46.734729</v>
      </c>
    </row>
    <row r="7341">
      <c r="A7341" s="24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5" t="n">
        <v>64.792438</v>
      </c>
    </row>
    <row r="7342">
      <c r="A7342" s="24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5" t="n">
        <v>56.177149</v>
      </c>
    </row>
    <row r="7343">
      <c r="A7343" s="24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5" t="n">
        <v>105.43132</v>
      </c>
    </row>
    <row r="7344">
      <c r="A7344" s="24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5" t="n">
        <v>125.792977</v>
      </c>
    </row>
    <row r="7345">
      <c r="A7345" s="24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5" t="n">
        <v>112.190536</v>
      </c>
    </row>
    <row r="7346">
      <c r="A7346" s="24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5" t="n">
        <v>85.676418</v>
      </c>
    </row>
    <row r="7347">
      <c r="A7347" s="24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5" t="n">
        <v>85.421656</v>
      </c>
    </row>
    <row r="7348">
      <c r="A7348" s="24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5" t="n">
        <v>67.392088</v>
      </c>
    </row>
    <row r="7349">
      <c r="A7349" s="24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5" t="n">
        <v>52.46815</v>
      </c>
    </row>
    <row r="7350">
      <c r="A7350" s="24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5" t="n">
        <v>45.782482</v>
      </c>
    </row>
    <row r="7351">
      <c r="A7351" s="24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5" t="n">
        <v>40.095667</v>
      </c>
    </row>
    <row r="7352">
      <c r="A7352" s="24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5" t="n">
        <v>86.32946699999999</v>
      </c>
    </row>
    <row r="7353">
      <c r="A7353" s="24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5" t="n">
        <v>82.0441</v>
      </c>
    </row>
    <row r="7354">
      <c r="A7354" s="24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5" t="n">
        <v>78.95589699999999</v>
      </c>
    </row>
    <row r="7355">
      <c r="A7355" s="24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5" t="n">
        <v>68.40344399999999</v>
      </c>
    </row>
    <row r="7356">
      <c r="A7356" s="24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5" t="n">
        <v>66.286119</v>
      </c>
    </row>
    <row r="7357">
      <c r="A7357" s="24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5" t="n">
        <v>53.596378</v>
      </c>
    </row>
    <row r="7358">
      <c r="A7358" s="24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5" t="n">
        <v>45.888862</v>
      </c>
    </row>
    <row r="7359">
      <c r="A7359" s="24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5" t="n">
        <v>55.770245</v>
      </c>
    </row>
    <row r="7360">
      <c r="A7360" s="24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5" t="n">
        <v>44.879696</v>
      </c>
    </row>
    <row r="7361">
      <c r="A7361" s="24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5" t="n">
        <v>69.9622</v>
      </c>
    </row>
    <row r="7362">
      <c r="A7362" s="24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5" t="n">
        <v>68.38585</v>
      </c>
    </row>
    <row r="7363">
      <c r="A7363" s="24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5" t="n">
        <v>125.553953</v>
      </c>
    </row>
    <row r="7364">
      <c r="A7364" s="24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5" t="n">
        <v>146.013577</v>
      </c>
    </row>
    <row r="7365">
      <c r="A7365" s="24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5" t="n">
        <v>157.133436</v>
      </c>
    </row>
    <row r="7366">
      <c r="A7366" s="24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5" t="n">
        <v>177.306041</v>
      </c>
    </row>
    <row r="7367">
      <c r="A7367" s="24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5" t="n">
        <v>162.930978</v>
      </c>
    </row>
    <row r="7368">
      <c r="A7368" s="24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5" t="n">
        <v>123.116189</v>
      </c>
    </row>
    <row r="7369">
      <c r="A7369" s="24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5" t="n">
        <v>119.555731</v>
      </c>
    </row>
    <row r="7370">
      <c r="A7370" s="24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5" t="n">
        <v>105.583254</v>
      </c>
    </row>
    <row r="7371">
      <c r="A7371" s="24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5" t="n">
        <v>83.28319999999999</v>
      </c>
    </row>
    <row r="7372">
      <c r="A7372" s="24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5" t="n">
        <v>65.896158</v>
      </c>
    </row>
    <row r="7373">
      <c r="A7373" s="24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5" t="n">
        <v>53.291339</v>
      </c>
    </row>
    <row r="7374">
      <c r="A7374" s="24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5" t="n">
        <v>59.54221</v>
      </c>
    </row>
    <row r="7375">
      <c r="A7375" s="24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5" t="n">
        <v>69.397001</v>
      </c>
    </row>
    <row r="7376">
      <c r="A7376" s="24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5" t="n">
        <v>57.754182</v>
      </c>
    </row>
    <row r="7377">
      <c r="A7377" s="24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5" t="n">
        <v>45.842727</v>
      </c>
    </row>
    <row r="7378">
      <c r="A7378" s="24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5" t="n">
        <v>40.292145</v>
      </c>
    </row>
    <row r="7379">
      <c r="A7379" s="24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5" t="n">
        <v>37.000796</v>
      </c>
    </row>
    <row r="7380">
      <c r="A7380" s="24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5" t="n">
        <v>35.864692</v>
      </c>
    </row>
    <row r="7381">
      <c r="A7381" s="24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5" t="n">
        <v>43.20439</v>
      </c>
    </row>
    <row r="7382">
      <c r="A7382" s="24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5" t="n">
        <v>48.132673</v>
      </c>
    </row>
    <row r="7383">
      <c r="A7383" s="24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5" t="n">
        <v>41.353665</v>
      </c>
    </row>
    <row r="7384">
      <c r="A7384" s="24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5" t="n">
        <v>43.416128</v>
      </c>
    </row>
    <row r="7385">
      <c r="A7385" s="24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5" t="n">
        <v>58.193817</v>
      </c>
    </row>
    <row r="7386">
      <c r="A7386" s="24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5" t="n">
        <v>46.555094</v>
      </c>
    </row>
    <row r="7387">
      <c r="A7387" s="24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5" t="n">
        <v>38.280212</v>
      </c>
    </row>
    <row r="7388">
      <c r="A7388" s="24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5" t="n">
        <v>33.305331</v>
      </c>
    </row>
    <row r="7389">
      <c r="A7389" s="24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5" t="n">
        <v>57.597222</v>
      </c>
    </row>
    <row r="7390">
      <c r="A7390" s="24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5" t="n">
        <v>52.353558</v>
      </c>
    </row>
    <row r="7391">
      <c r="A7391" s="24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5" t="n">
        <v>40.304598</v>
      </c>
    </row>
    <row r="7392">
      <c r="A7392" s="24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5" t="n">
        <v>32.423672</v>
      </c>
    </row>
    <row r="7393">
      <c r="A7393" s="24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5" t="n">
        <v>34.864984</v>
      </c>
    </row>
    <row r="7394">
      <c r="A7394" s="24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5" t="n">
        <v>30.447063</v>
      </c>
    </row>
    <row r="7395">
      <c r="A7395" s="24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5" t="n">
        <v>35.425446</v>
      </c>
    </row>
    <row r="7396">
      <c r="A7396" s="24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5" t="n">
        <v>86.030765</v>
      </c>
    </row>
    <row r="7397">
      <c r="A7397" s="24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5" t="n">
        <v>112.861394</v>
      </c>
    </row>
    <row r="7398">
      <c r="A7398" s="24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5" t="n">
        <v>100.065131</v>
      </c>
    </row>
    <row r="7399">
      <c r="A7399" s="24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5" t="n">
        <v>74.895099</v>
      </c>
    </row>
    <row r="7400">
      <c r="A7400" s="24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5" t="n">
        <v>100.361599</v>
      </c>
    </row>
    <row r="7401">
      <c r="A7401" s="24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5" t="n">
        <v>97.598069</v>
      </c>
    </row>
    <row r="7402">
      <c r="A7402" s="24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5" t="n">
        <v>132.29679</v>
      </c>
    </row>
    <row r="7403">
      <c r="A7403" s="24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5" t="n">
        <v>122.151402</v>
      </c>
    </row>
    <row r="7404">
      <c r="A7404" s="24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5" t="n">
        <v>107.0877</v>
      </c>
    </row>
    <row r="7405">
      <c r="A7405" s="24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5" t="n">
        <v>95.604451</v>
      </c>
    </row>
    <row r="7406">
      <c r="A7406" s="24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5" t="n">
        <v>74.102779</v>
      </c>
    </row>
    <row r="7407">
      <c r="A7407" s="24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5" t="n">
        <v>86.640829</v>
      </c>
    </row>
    <row r="7408">
      <c r="A7408" s="24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5" t="n">
        <v>71.76481099999999</v>
      </c>
    </row>
    <row r="7409">
      <c r="A7409" s="24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5" t="n">
        <v>56.792911</v>
      </c>
    </row>
    <row r="7410">
      <c r="A7410" s="24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5" t="n">
        <v>63.216229</v>
      </c>
    </row>
    <row r="7411">
      <c r="A7411" s="24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5" t="n">
        <v>51.476115</v>
      </c>
    </row>
    <row r="7412">
      <c r="A7412" s="24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5" t="n">
        <v>40.713237</v>
      </c>
    </row>
    <row r="7413">
      <c r="A7413" s="24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5" t="n">
        <v>36.697261</v>
      </c>
    </row>
    <row r="7414">
      <c r="A7414" s="24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5" t="n">
        <v>30.695142</v>
      </c>
    </row>
    <row r="7415">
      <c r="A7415" s="24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5" t="n">
        <v>25.402867</v>
      </c>
    </row>
    <row r="7416">
      <c r="A7416" s="24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5" t="n">
        <v>21.382449</v>
      </c>
    </row>
    <row r="7417">
      <c r="A7417" s="24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5" t="n">
        <v>18.245582</v>
      </c>
    </row>
    <row r="7418">
      <c r="A7418" s="24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5" t="n">
        <v>15.990006</v>
      </c>
    </row>
    <row r="7419">
      <c r="A7419" s="24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5" t="n">
        <v>62.118221</v>
      </c>
    </row>
    <row r="7420">
      <c r="A7420" s="24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5" t="n">
        <v>60.019871</v>
      </c>
    </row>
    <row r="7421">
      <c r="A7421" s="24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5" t="n">
        <v>47.828743</v>
      </c>
    </row>
    <row r="7422">
      <c r="A7422" s="24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5" t="n">
        <v>37.193696</v>
      </c>
    </row>
    <row r="7423">
      <c r="A7423" s="24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5" t="n">
        <v>29.091388</v>
      </c>
    </row>
    <row r="7424">
      <c r="A7424" s="24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5" t="n">
        <v>23.630414</v>
      </c>
    </row>
    <row r="7425">
      <c r="A7425" s="24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5" t="n">
        <v>19.476879</v>
      </c>
    </row>
    <row r="7426">
      <c r="A7426" s="24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5" t="n">
        <v>20.373399</v>
      </c>
    </row>
    <row r="7427">
      <c r="A7427" s="24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5" t="n">
        <v>17.014574</v>
      </c>
    </row>
    <row r="7428">
      <c r="A7428" s="24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5" t="n">
        <v>14.007125</v>
      </c>
    </row>
    <row r="7429">
      <c r="A7429" s="24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5" t="n">
        <v>15.753624</v>
      </c>
    </row>
    <row r="7430">
      <c r="A7430" s="24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5" t="n">
        <v>19.88882</v>
      </c>
    </row>
    <row r="7431">
      <c r="A7431" s="24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5" t="n">
        <v>18.423261</v>
      </c>
    </row>
    <row r="7432">
      <c r="A7432" s="24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5" t="n">
        <v>16.482152</v>
      </c>
    </row>
    <row r="7433">
      <c r="A7433" s="24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5" t="n">
        <v>22.122479</v>
      </c>
    </row>
    <row r="7434">
      <c r="A7434" s="24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5" t="n">
        <v>19.088855</v>
      </c>
    </row>
    <row r="7435">
      <c r="A7435" s="24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5" t="n">
        <v>20.334023</v>
      </c>
    </row>
    <row r="7436">
      <c r="A7436" s="24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5" t="n">
        <v>22.693096</v>
      </c>
    </row>
    <row r="7437">
      <c r="A7437" s="24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5" t="n">
        <v>32.357476</v>
      </c>
    </row>
    <row r="7438">
      <c r="A7438" s="24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5" t="n">
        <v>43.02048</v>
      </c>
    </row>
    <row r="7439">
      <c r="A7439" s="24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5" t="n">
        <v>106.533471</v>
      </c>
    </row>
    <row r="7440">
      <c r="A7440" s="24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5" t="n">
        <v>129.985338</v>
      </c>
    </row>
    <row r="7441">
      <c r="A7441" s="24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5" t="n">
        <v>114.39342</v>
      </c>
    </row>
    <row r="7442">
      <c r="A7442" s="24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5" t="n">
        <v>85.52594499999999</v>
      </c>
    </row>
    <row r="7443">
      <c r="A7443" s="24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5" t="n">
        <v>67.315051</v>
      </c>
    </row>
    <row r="7444">
      <c r="A7444" s="24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5" t="n">
        <v>93.818089</v>
      </c>
    </row>
    <row r="7445">
      <c r="A7445" s="24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5" t="n">
        <v>80.89499499999999</v>
      </c>
    </row>
    <row r="7446">
      <c r="A7446" s="24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5" t="n">
        <v>118.665788</v>
      </c>
    </row>
    <row r="7447">
      <c r="A7447" s="24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5" t="n">
        <v>133.667517</v>
      </c>
    </row>
    <row r="7448">
      <c r="A7448" s="24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5" t="n">
        <v>136.128544</v>
      </c>
    </row>
    <row r="7449">
      <c r="A7449" s="24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5" t="n">
        <v>131.877818</v>
      </c>
    </row>
    <row r="7450">
      <c r="A7450" s="24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5" t="n">
        <v>127.0889</v>
      </c>
    </row>
    <row r="7451">
      <c r="A7451" s="24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5" t="n">
        <v>130.538791</v>
      </c>
    </row>
    <row r="7452">
      <c r="A7452" s="24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5" t="n">
        <v>136.54382</v>
      </c>
    </row>
    <row r="7453">
      <c r="A7453" s="24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5" t="n">
        <v>167.933348</v>
      </c>
    </row>
    <row r="7454">
      <c r="A7454" s="24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5" t="n">
        <v>178.653257</v>
      </c>
    </row>
    <row r="7455">
      <c r="A7455" s="24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5" t="n">
        <v>140.234461</v>
      </c>
    </row>
    <row r="7456">
      <c r="A7456" s="24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5" t="n">
        <v>106.982219</v>
      </c>
    </row>
    <row r="7457">
      <c r="A7457" s="24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5" t="n">
        <v>84.04634299999999</v>
      </c>
    </row>
    <row r="7458">
      <c r="A7458" s="24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5" t="n">
        <v>67.241449</v>
      </c>
    </row>
    <row r="7459">
      <c r="A7459" s="24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5" t="n">
        <v>54.784401</v>
      </c>
    </row>
    <row r="7460">
      <c r="A7460" s="24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5" t="n">
        <v>45.376373</v>
      </c>
    </row>
    <row r="7461">
      <c r="A7461" s="24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5" t="n">
        <v>38.144521</v>
      </c>
    </row>
    <row r="7462">
      <c r="A7462" s="24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5" t="n">
        <v>32.59897</v>
      </c>
    </row>
    <row r="7463">
      <c r="A7463" s="24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5" t="n">
        <v>28.096432</v>
      </c>
    </row>
    <row r="7464">
      <c r="A7464" s="24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5" t="n">
        <v>70.846481</v>
      </c>
    </row>
    <row r="7465">
      <c r="A7465" s="24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5" t="n">
        <v>67.229507</v>
      </c>
    </row>
    <row r="7466">
      <c r="A7466" s="24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5" t="n">
        <v>57.243766</v>
      </c>
    </row>
    <row r="7467">
      <c r="A7467" s="24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5" t="n">
        <v>44.644357</v>
      </c>
    </row>
    <row r="7468">
      <c r="A7468" s="24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5" t="n">
        <v>35.409871</v>
      </c>
    </row>
    <row r="7469">
      <c r="A7469" s="24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5" t="n">
        <v>28.929832</v>
      </c>
    </row>
    <row r="7470">
      <c r="A7470" s="24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5" t="n">
        <v>24.039582</v>
      </c>
    </row>
    <row r="7471">
      <c r="A7471" s="24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5" t="n">
        <v>20.417776</v>
      </c>
    </row>
    <row r="7472">
      <c r="A7472" s="24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5" t="n">
        <v>17.880454</v>
      </c>
    </row>
    <row r="7473">
      <c r="A7473" s="24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5" t="n">
        <v>65.53659399999999</v>
      </c>
    </row>
    <row r="7474">
      <c r="A7474" s="24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5" t="n">
        <v>107.687078</v>
      </c>
    </row>
    <row r="7475">
      <c r="A7475" s="24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5" t="n">
        <v>199.627111</v>
      </c>
    </row>
    <row r="7476">
      <c r="A7476" s="24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5" t="n">
        <v>223.108537</v>
      </c>
    </row>
    <row r="7477">
      <c r="A7477" s="24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5" t="n">
        <v>188.703394</v>
      </c>
    </row>
    <row r="7478">
      <c r="A7478" s="24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5" t="n">
        <v>184.748888</v>
      </c>
    </row>
    <row r="7479">
      <c r="A7479" s="24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5" t="n">
        <v>170.58323</v>
      </c>
    </row>
    <row r="7480">
      <c r="A7480" s="24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5" t="n">
        <v>137.751403</v>
      </c>
    </row>
    <row r="7481">
      <c r="A7481" s="24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5" t="n">
        <v>111.29047</v>
      </c>
    </row>
    <row r="7482">
      <c r="A7482" s="24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5" t="n">
        <v>94.872061</v>
      </c>
    </row>
    <row r="7483">
      <c r="A7483" s="24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5" t="n">
        <v>80.755426</v>
      </c>
    </row>
    <row r="7484">
      <c r="A7484" s="24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5" t="n">
        <v>68.089682</v>
      </c>
    </row>
    <row r="7485">
      <c r="A7485" s="24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5" t="n">
        <v>57.193082</v>
      </c>
    </row>
    <row r="7486">
      <c r="A7486" s="24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5" t="n">
        <v>51.857825</v>
      </c>
    </row>
    <row r="7487">
      <c r="A7487" s="24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5" t="n">
        <v>46.208124</v>
      </c>
    </row>
    <row r="7488">
      <c r="A7488" s="24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5" t="n">
        <v>50.18652</v>
      </c>
    </row>
    <row r="7489">
      <c r="A7489" s="24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5" t="n">
        <v>50.364714</v>
      </c>
    </row>
    <row r="7490">
      <c r="A7490" s="24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5" t="n">
        <v>46.782765</v>
      </c>
    </row>
    <row r="7491">
      <c r="A7491" s="24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5" t="n">
        <v>94.024119</v>
      </c>
    </row>
    <row r="7492">
      <c r="A7492" s="24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5" t="n">
        <v>84.22243899999999</v>
      </c>
    </row>
    <row r="7493">
      <c r="A7493" s="24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5" t="n">
        <v>109.679342</v>
      </c>
    </row>
    <row r="7494">
      <c r="A7494" s="24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5" t="n">
        <v>146.542376</v>
      </c>
    </row>
    <row r="7495">
      <c r="A7495" s="24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5" t="n">
        <v>140.684566</v>
      </c>
    </row>
    <row r="7496">
      <c r="A7496" s="24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5" t="n">
        <v>135.868011</v>
      </c>
    </row>
    <row r="7497">
      <c r="A7497" s="24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5" t="n">
        <v>117.409698</v>
      </c>
    </row>
    <row r="7498">
      <c r="A7498" s="24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5" t="n">
        <v>100.657338</v>
      </c>
    </row>
    <row r="7499">
      <c r="A7499" s="24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5" t="n">
        <v>82.255388</v>
      </c>
    </row>
    <row r="7500">
      <c r="A7500" s="24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5" t="n">
        <v>79.564706</v>
      </c>
    </row>
    <row r="7501">
      <c r="A7501" s="24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5" t="n">
        <v>102.675007</v>
      </c>
    </row>
    <row r="7502">
      <c r="A7502" s="24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5" t="n">
        <v>107.495946</v>
      </c>
    </row>
    <row r="7503">
      <c r="A7503" s="24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5" t="n">
        <v>93.15007199999999</v>
      </c>
    </row>
    <row r="7504">
      <c r="A7504" s="24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5" t="n">
        <v>111.542668</v>
      </c>
    </row>
    <row r="7505">
      <c r="A7505" s="24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5" t="n">
        <v>129.881485</v>
      </c>
    </row>
    <row r="7506">
      <c r="A7506" s="24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5" t="n">
        <v>129.212369</v>
      </c>
    </row>
    <row r="7507">
      <c r="A7507" s="24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5" t="n">
        <v>112.758054</v>
      </c>
    </row>
    <row r="7508">
      <c r="A7508" s="24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5" t="n">
        <v>169.058214</v>
      </c>
    </row>
    <row r="7509">
      <c r="A7509" s="24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5" t="n">
        <v>185.32328</v>
      </c>
    </row>
    <row r="7510">
      <c r="A7510" s="24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5" t="n">
        <v>178.060161</v>
      </c>
    </row>
    <row r="7511">
      <c r="A7511" s="24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5" t="n">
        <v>183.229459</v>
      </c>
    </row>
    <row r="7512">
      <c r="A7512" s="24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5" t="n">
        <v>201.602227</v>
      </c>
    </row>
    <row r="7513">
      <c r="A7513" s="24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5" t="n">
        <v>206.985863</v>
      </c>
    </row>
    <row r="7514">
      <c r="A7514" s="24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5" t="n">
        <v>185.226048</v>
      </c>
    </row>
    <row r="7515">
      <c r="A7515" s="24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5" t="n">
        <v>199.56395</v>
      </c>
    </row>
    <row r="7516">
      <c r="A7516" s="24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5" t="n">
        <v>164.73772</v>
      </c>
    </row>
    <row r="7517">
      <c r="A7517" s="24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5" t="n">
        <v>125.951083</v>
      </c>
    </row>
    <row r="7518">
      <c r="A7518" s="24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5" t="n">
        <v>99.70684900000001</v>
      </c>
    </row>
    <row r="7519">
      <c r="A7519" s="24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5" t="n">
        <v>82.70810299999999</v>
      </c>
    </row>
    <row r="7520">
      <c r="A7520" s="24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5" t="n">
        <v>81.144378</v>
      </c>
    </row>
    <row r="7521">
      <c r="A7521" s="24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5" t="n">
        <v>70.912457</v>
      </c>
    </row>
    <row r="7522">
      <c r="A7522" s="24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5" t="n">
        <v>63.122667</v>
      </c>
    </row>
    <row r="7523">
      <c r="A7523" s="24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5" t="n">
        <v>56.506178</v>
      </c>
    </row>
    <row r="7524">
      <c r="A7524" s="24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5" t="n">
        <v>53.211785</v>
      </c>
    </row>
    <row r="7525">
      <c r="A7525" s="24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5" t="n">
        <v>63.290715</v>
      </c>
    </row>
    <row r="7526">
      <c r="A7526" s="24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5" t="n">
        <v>110.767338</v>
      </c>
    </row>
    <row r="7527">
      <c r="A7527" s="24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5" t="n">
        <v>107.545133</v>
      </c>
    </row>
    <row r="7528">
      <c r="A7528" s="24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5" t="n">
        <v>88.625137</v>
      </c>
    </row>
    <row r="7529">
      <c r="A7529" s="24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5" t="n">
        <v>87.60316899999999</v>
      </c>
    </row>
    <row r="7530">
      <c r="A7530" s="24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5" t="n">
        <v>126.844153</v>
      </c>
    </row>
    <row r="7531">
      <c r="A7531" s="24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5" t="n">
        <v>127.477037</v>
      </c>
    </row>
    <row r="7532">
      <c r="A7532" s="24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5" t="n">
        <v>117.646187</v>
      </c>
    </row>
    <row r="7533">
      <c r="A7533" s="24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5" t="n">
        <v>90.781434</v>
      </c>
    </row>
    <row r="7534">
      <c r="A7534" s="24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5" t="n">
        <v>70.842572</v>
      </c>
    </row>
    <row r="7535">
      <c r="A7535" s="24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5" t="n">
        <v>56.577222</v>
      </c>
    </row>
    <row r="7536">
      <c r="A7536" s="24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5" t="n">
        <v>47.465409</v>
      </c>
    </row>
    <row r="7537">
      <c r="A7537" s="24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5" t="n">
        <v>50.312764</v>
      </c>
    </row>
    <row r="7538">
      <c r="A7538" s="24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5" t="n">
        <v>46.655863</v>
      </c>
    </row>
    <row r="7539">
      <c r="A7539" s="24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5" t="n">
        <v>43.924126</v>
      </c>
    </row>
    <row r="7540">
      <c r="A7540" s="24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5" t="n">
        <v>39.353625</v>
      </c>
    </row>
    <row r="7541">
      <c r="A7541" s="24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5" t="n">
        <v>69.449135</v>
      </c>
    </row>
    <row r="7542">
      <c r="A7542" s="24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5" t="n">
        <v>80.80549600000001</v>
      </c>
    </row>
    <row r="7543">
      <c r="A7543" s="24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5" t="n">
        <v>63.52474</v>
      </c>
    </row>
    <row r="7544">
      <c r="A7544" s="24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5" t="n">
        <v>62.889999</v>
      </c>
    </row>
    <row r="7545">
      <c r="A7545" s="24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5" t="n">
        <v>55.514425</v>
      </c>
    </row>
    <row r="7546">
      <c r="A7546" s="24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5" t="n">
        <v>99.59225499999999</v>
      </c>
    </row>
    <row r="7547">
      <c r="A7547" s="24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5" t="n">
        <v>131.127966</v>
      </c>
    </row>
    <row r="7548">
      <c r="A7548" s="24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5" t="n">
        <v>125.409215</v>
      </c>
    </row>
    <row r="7549">
      <c r="A7549" s="24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5" t="n">
        <v>143.702829</v>
      </c>
    </row>
    <row r="7550">
      <c r="A7550" s="24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5" t="n">
        <v>134.198646</v>
      </c>
    </row>
    <row r="7551">
      <c r="A7551" s="24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5" t="n">
        <v>114.734722</v>
      </c>
    </row>
    <row r="7552">
      <c r="A7552" s="24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5" t="n">
        <v>102.023323</v>
      </c>
    </row>
    <row r="7553">
      <c r="A7553" s="24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5" t="n">
        <v>115.826873</v>
      </c>
    </row>
    <row r="7554">
      <c r="A7554" s="24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5" t="n">
        <v>102.885888</v>
      </c>
    </row>
    <row r="7555">
      <c r="A7555" s="24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5" t="n">
        <v>112.655988</v>
      </c>
    </row>
    <row r="7556">
      <c r="A7556" s="24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5" t="n">
        <v>103.764636</v>
      </c>
    </row>
    <row r="7557">
      <c r="A7557" s="24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5" t="n">
        <v>95.770437</v>
      </c>
    </row>
    <row r="7558">
      <c r="A7558" s="24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5" t="n">
        <v>117.835167</v>
      </c>
    </row>
    <row r="7559">
      <c r="A7559" s="24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5" t="n">
        <v>103.896994</v>
      </c>
    </row>
    <row r="7560">
      <c r="A7560" s="24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5" t="n">
        <v>119.27417</v>
      </c>
    </row>
    <row r="7561">
      <c r="A7561" s="24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5" t="n">
        <v>135.460996</v>
      </c>
    </row>
    <row r="7562">
      <c r="A7562" s="24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5" t="n">
        <v>120.787767</v>
      </c>
    </row>
    <row r="7563">
      <c r="A7563" s="24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5" t="n">
        <v>112.608904</v>
      </c>
    </row>
    <row r="7564">
      <c r="A7564" s="24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5" t="n">
        <v>109.865509</v>
      </c>
    </row>
    <row r="7565">
      <c r="A7565" s="24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5" t="n">
        <v>117.863516</v>
      </c>
    </row>
    <row r="7566">
      <c r="A7566" s="24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5" t="n">
        <v>102.346286</v>
      </c>
    </row>
    <row r="7567">
      <c r="A7567" s="24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5" t="n">
        <v>119.354093</v>
      </c>
    </row>
    <row r="7568">
      <c r="A7568" s="24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5" t="n">
        <v>105.944517</v>
      </c>
    </row>
    <row r="7569">
      <c r="A7569" s="24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5" t="n">
        <v>100.905562</v>
      </c>
    </row>
    <row r="7570">
      <c r="A7570" s="24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5" t="n">
        <v>137.041302</v>
      </c>
    </row>
    <row r="7571">
      <c r="A7571" s="24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5" t="n">
        <v>148.572998</v>
      </c>
    </row>
    <row r="7572">
      <c r="A7572" s="24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5" t="n">
        <v>120.521677</v>
      </c>
    </row>
    <row r="7573">
      <c r="A7573" s="24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5" t="n">
        <v>153.023359</v>
      </c>
    </row>
    <row r="7574">
      <c r="A7574" s="24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5" t="n">
        <v>173.553697</v>
      </c>
    </row>
    <row r="7575">
      <c r="A7575" s="24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5" t="n">
        <v>158.976769</v>
      </c>
    </row>
    <row r="7576">
      <c r="A7576" s="24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5" t="n">
        <v>192.559362</v>
      </c>
    </row>
    <row r="7577">
      <c r="A7577" s="24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5" t="n">
        <v>202.738271</v>
      </c>
    </row>
    <row r="7578">
      <c r="A7578" s="24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5" t="n">
        <v>202.661523</v>
      </c>
    </row>
    <row r="7579">
      <c r="A7579" s="24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5" t="n">
        <v>203.589786</v>
      </c>
    </row>
    <row r="7580">
      <c r="A7580" s="24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5" t="n">
        <v>175.094403</v>
      </c>
    </row>
    <row r="7581">
      <c r="A7581" s="24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5" t="n">
        <v>145.40946</v>
      </c>
    </row>
    <row r="7582">
      <c r="A7582" s="24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5" t="n">
        <v>118.052394</v>
      </c>
    </row>
    <row r="7583">
      <c r="A7583" s="24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5" t="n">
        <v>152.414302</v>
      </c>
    </row>
    <row r="7584">
      <c r="A7584" s="24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5" t="n">
        <v>151.432984</v>
      </c>
    </row>
    <row r="7585">
      <c r="A7585" s="24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5" t="n">
        <v>132.269393</v>
      </c>
    </row>
    <row r="7586">
      <c r="A7586" s="24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5" t="n">
        <v>167.408746</v>
      </c>
    </row>
    <row r="7587">
      <c r="A7587" s="24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5" t="n">
        <v>168.379459</v>
      </c>
    </row>
    <row r="7588">
      <c r="A7588" s="24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5" t="n">
        <v>127.28141</v>
      </c>
    </row>
    <row r="7589">
      <c r="A7589" s="24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5" t="n">
        <v>146.308706</v>
      </c>
    </row>
    <row r="7590">
      <c r="A7590" s="24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5" t="n">
        <v>174.55507</v>
      </c>
    </row>
    <row r="7591">
      <c r="A7591" s="24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5" t="n">
        <v>149.456348</v>
      </c>
    </row>
    <row r="7592">
      <c r="A7592" s="24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5" t="n">
        <v>124.369916</v>
      </c>
    </row>
    <row r="7593">
      <c r="A7593" s="24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5" t="n">
        <v>98.276634</v>
      </c>
    </row>
    <row r="7594">
      <c r="A7594" s="24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5" t="n">
        <v>87.036452</v>
      </c>
    </row>
    <row r="7595">
      <c r="A7595" s="24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5" t="n">
        <v>84.568397</v>
      </c>
    </row>
    <row r="7596">
      <c r="A7596" s="24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5" t="n">
        <v>80.59317799999999</v>
      </c>
    </row>
    <row r="7597">
      <c r="A7597" s="24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5" t="n">
        <v>96.07606199999999</v>
      </c>
    </row>
    <row r="7598">
      <c r="A7598" s="24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5" t="n">
        <v>77.18960800000001</v>
      </c>
    </row>
    <row r="7599">
      <c r="A7599" s="24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5" t="n">
        <v>62.573665</v>
      </c>
    </row>
    <row r="7600">
      <c r="A7600" s="24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5" t="n">
        <v>58.820244</v>
      </c>
    </row>
    <row r="7601">
      <c r="A7601" s="24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5" t="n">
        <v>54.435965</v>
      </c>
    </row>
    <row r="7602">
      <c r="A7602" s="24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5" t="n">
        <v>57.51055</v>
      </c>
    </row>
    <row r="7603">
      <c r="A7603" s="24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5" t="n">
        <v>46.90863</v>
      </c>
    </row>
    <row r="7604">
      <c r="A7604" s="24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5" t="n">
        <v>54.025768</v>
      </c>
    </row>
    <row r="7605">
      <c r="A7605" s="24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5" t="n">
        <v>101.268033</v>
      </c>
    </row>
    <row r="7606">
      <c r="A7606" s="24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5" t="n">
        <v>93.937685</v>
      </c>
    </row>
    <row r="7607">
      <c r="A7607" s="24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5" t="n">
        <v>81.187279</v>
      </c>
    </row>
    <row r="7608">
      <c r="A7608" s="24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5" t="n">
        <v>92.67427000000001</v>
      </c>
    </row>
    <row r="7609">
      <c r="A7609" s="24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5" t="n">
        <v>72.803416</v>
      </c>
    </row>
    <row r="7610">
      <c r="A7610" s="24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5" t="n">
        <v>57.010378</v>
      </c>
    </row>
    <row r="7611">
      <c r="A7611" s="24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5" t="n">
        <v>54.924245</v>
      </c>
    </row>
    <row r="7612">
      <c r="A7612" s="24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5" t="n">
        <v>102.331025</v>
      </c>
    </row>
    <row r="7613">
      <c r="A7613" s="24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5" t="n">
        <v>124.771459</v>
      </c>
    </row>
    <row r="7614">
      <c r="A7614" s="24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5" t="n">
        <v>122.520521</v>
      </c>
    </row>
    <row r="7615">
      <c r="A7615" s="24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5" t="n">
        <v>95.629985</v>
      </c>
    </row>
    <row r="7616">
      <c r="A7616" s="24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5" t="n">
        <v>73.017186</v>
      </c>
    </row>
    <row r="7617">
      <c r="A7617" s="24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5" t="n">
        <v>64.030287</v>
      </c>
    </row>
    <row r="7618">
      <c r="A7618" s="24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5" t="n">
        <v>70.09590300000001</v>
      </c>
    </row>
    <row r="7619">
      <c r="A7619" s="24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5" t="n">
        <v>78.646338</v>
      </c>
    </row>
    <row r="7620">
      <c r="A7620" s="24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5" t="n">
        <v>75.128298</v>
      </c>
    </row>
    <row r="7621">
      <c r="A7621" s="24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5" t="n">
        <v>62.802848</v>
      </c>
    </row>
    <row r="7622">
      <c r="A7622" s="24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5" t="n">
        <v>65.220444</v>
      </c>
    </row>
    <row r="7623">
      <c r="A7623" s="24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5" t="n">
        <v>61.291802</v>
      </c>
    </row>
    <row r="7624">
      <c r="A7624" s="24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5" t="n">
        <v>57.501848</v>
      </c>
    </row>
    <row r="7625">
      <c r="A7625" s="24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5" t="n">
        <v>66.78879499999999</v>
      </c>
    </row>
    <row r="7626">
      <c r="A7626" s="24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5" t="n">
        <v>67.39028</v>
      </c>
    </row>
    <row r="7627">
      <c r="A7627" s="24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5" t="n">
        <v>70.253055</v>
      </c>
    </row>
    <row r="7628">
      <c r="A7628" s="24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5" t="n">
        <v>92.67877900000001</v>
      </c>
    </row>
    <row r="7629">
      <c r="A7629" s="24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5" t="n">
        <v>100.54706</v>
      </c>
    </row>
    <row r="7630">
      <c r="A7630" s="24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5" t="n">
        <v>98.69943600000001</v>
      </c>
    </row>
    <row r="7631">
      <c r="A7631" s="24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5" t="n">
        <v>109.539282</v>
      </c>
    </row>
    <row r="7632">
      <c r="A7632" s="24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5" t="n">
        <v>134.769176</v>
      </c>
    </row>
    <row r="7633">
      <c r="A7633" s="24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5" t="n">
        <v>104.312667</v>
      </c>
    </row>
    <row r="7634">
      <c r="A7634" s="24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5" t="n">
        <v>81.02461099999999</v>
      </c>
    </row>
    <row r="7635">
      <c r="A7635" s="24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5" t="n">
        <v>114.998286</v>
      </c>
    </row>
    <row r="7636">
      <c r="A7636" s="24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5" t="n">
        <v>91.537537</v>
      </c>
    </row>
    <row r="7637">
      <c r="A7637" s="24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5" t="n">
        <v>69.30997600000001</v>
      </c>
    </row>
    <row r="7638">
      <c r="A7638" s="24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5" t="n">
        <v>57.950851</v>
      </c>
    </row>
    <row r="7639">
      <c r="A7639" s="24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5" t="n">
        <v>50.216605</v>
      </c>
    </row>
    <row r="7640">
      <c r="A7640" s="24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5" t="n">
        <v>47.672594</v>
      </c>
    </row>
    <row r="7641">
      <c r="A7641" s="24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5" t="n">
        <v>62.110445</v>
      </c>
    </row>
    <row r="7642">
      <c r="A7642" s="24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5" t="n">
        <v>51.00449</v>
      </c>
    </row>
    <row r="7643">
      <c r="A7643" s="24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5" t="n">
        <v>94.04434000000001</v>
      </c>
    </row>
    <row r="7644">
      <c r="A7644" s="24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5" t="n">
        <v>77.10710400000001</v>
      </c>
    </row>
    <row r="7645">
      <c r="A7645" s="24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5" t="n">
        <v>63.051713</v>
      </c>
    </row>
    <row r="7646">
      <c r="A7646" s="24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5" t="n">
        <v>63.896958</v>
      </c>
    </row>
    <row r="7647">
      <c r="A7647" s="24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5" t="n">
        <v>95.903865</v>
      </c>
    </row>
    <row r="7648">
      <c r="A7648" s="24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5" t="n">
        <v>90.552913</v>
      </c>
    </row>
    <row r="7649">
      <c r="A7649" s="24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5" t="n">
        <v>99.422279</v>
      </c>
    </row>
    <row r="7650">
      <c r="A7650" s="24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5" t="n">
        <v>85.88617499999999</v>
      </c>
    </row>
    <row r="7651">
      <c r="A7651" s="24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5" t="n">
        <v>98.467309</v>
      </c>
    </row>
    <row r="7652">
      <c r="A7652" s="24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5" t="n">
        <v>84.41038399999999</v>
      </c>
    </row>
    <row r="7653">
      <c r="A7653" s="24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5" t="n">
        <v>65.36167</v>
      </c>
    </row>
    <row r="7654">
      <c r="A7654" s="24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5" t="n">
        <v>62.117881</v>
      </c>
    </row>
    <row r="7655">
      <c r="A7655" s="24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5" t="n">
        <v>66.676523</v>
      </c>
    </row>
    <row r="7656">
      <c r="A7656" s="24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5" t="n">
        <v>111.408424</v>
      </c>
    </row>
    <row r="7657">
      <c r="A7657" s="24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5" t="n">
        <v>142.373413</v>
      </c>
    </row>
    <row r="7658">
      <c r="A7658" s="24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5" t="n">
        <v>121.834134</v>
      </c>
    </row>
    <row r="7659">
      <c r="A7659" s="24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5" t="n">
        <v>104.065861</v>
      </c>
    </row>
    <row r="7660">
      <c r="A7660" s="24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5" t="n">
        <v>80.364046</v>
      </c>
    </row>
    <row r="7661">
      <c r="A7661" s="24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5" t="n">
        <v>118.018512</v>
      </c>
    </row>
    <row r="7662">
      <c r="A7662" s="24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5" t="n">
        <v>142.984583</v>
      </c>
    </row>
    <row r="7663">
      <c r="A7663" s="24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5" t="n">
        <v>109.809091</v>
      </c>
    </row>
    <row r="7664">
      <c r="A7664" s="24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5" t="n">
        <v>87.70296</v>
      </c>
    </row>
    <row r="7665">
      <c r="A7665" s="24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5" t="n">
        <v>119.949643</v>
      </c>
    </row>
    <row r="7666">
      <c r="A7666" s="24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5" t="n">
        <v>149.169677</v>
      </c>
    </row>
    <row r="7667">
      <c r="A7667" s="24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5" t="n">
        <v>132.704368</v>
      </c>
    </row>
    <row r="7668">
      <c r="A7668" s="24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5" t="n">
        <v>103.881612</v>
      </c>
    </row>
    <row r="7669">
      <c r="A7669" s="24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5" t="n">
        <v>91.518505</v>
      </c>
    </row>
    <row r="7670">
      <c r="A7670" s="24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5" t="n">
        <v>103.098421</v>
      </c>
    </row>
    <row r="7671">
      <c r="A7671" s="24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5" t="n">
        <v>138.736873</v>
      </c>
    </row>
    <row r="7672">
      <c r="A7672" s="24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5" t="n">
        <v>166.418827</v>
      </c>
    </row>
    <row r="7673">
      <c r="A7673" s="24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5" t="n">
        <v>147.023971</v>
      </c>
    </row>
    <row r="7674">
      <c r="A7674" s="24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5" t="n">
        <v>123.112766</v>
      </c>
    </row>
    <row r="7675">
      <c r="A7675" s="24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5" t="n">
        <v>99.46215599999999</v>
      </c>
    </row>
    <row r="7676">
      <c r="A7676" s="24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5" t="n">
        <v>81.03449000000001</v>
      </c>
    </row>
    <row r="7677">
      <c r="A7677" s="24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5" t="n">
        <v>85.51582500000001</v>
      </c>
    </row>
    <row r="7678">
      <c r="A7678" s="24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5" t="n">
        <v>107.516486</v>
      </c>
    </row>
    <row r="7679">
      <c r="A7679" s="24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5" t="n">
        <v>99.502047</v>
      </c>
    </row>
    <row r="7680">
      <c r="A7680" s="24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5" t="n">
        <v>83.81469800000001</v>
      </c>
    </row>
    <row r="7681">
      <c r="A7681" s="24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5" t="n">
        <v>121.777142</v>
      </c>
    </row>
    <row r="7682">
      <c r="A7682" s="24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5" t="n">
        <v>126.557268</v>
      </c>
    </row>
    <row r="7683">
      <c r="A7683" s="24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5" t="n">
        <v>102.370315</v>
      </c>
    </row>
    <row r="7684">
      <c r="A7684" s="24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5" t="n">
        <v>78.658186</v>
      </c>
    </row>
    <row r="7685">
      <c r="A7685" s="24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5" t="n">
        <v>65.639145</v>
      </c>
    </row>
    <row r="7686">
      <c r="A7686" s="24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5" t="n">
        <v>53.508757</v>
      </c>
    </row>
    <row r="7687">
      <c r="A7687" s="24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5" t="n">
        <v>53.916238</v>
      </c>
    </row>
    <row r="7688">
      <c r="A7688" s="24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5" t="n">
        <v>45.227337</v>
      </c>
    </row>
    <row r="7689">
      <c r="A7689" s="24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5" t="n">
        <v>42.628647</v>
      </c>
    </row>
    <row r="7690">
      <c r="A7690" s="24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5" t="n">
        <v>54.323963</v>
      </c>
    </row>
    <row r="7691">
      <c r="A7691" s="24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5" t="n">
        <v>61.080555</v>
      </c>
    </row>
    <row r="7692">
      <c r="A7692" s="24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5" t="n">
        <v>122.651344</v>
      </c>
    </row>
    <row r="7693">
      <c r="A7693" s="24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5" t="n">
        <v>143.845265</v>
      </c>
    </row>
    <row r="7694">
      <c r="A7694" s="24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5" t="n">
        <v>153.351882</v>
      </c>
    </row>
    <row r="7695">
      <c r="A7695" s="24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5" t="n">
        <v>145.450435</v>
      </c>
    </row>
    <row r="7696">
      <c r="A7696" s="24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5" t="n">
        <v>117.206915</v>
      </c>
    </row>
    <row r="7697">
      <c r="A7697" s="24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5" t="n">
        <v>90.699248</v>
      </c>
    </row>
    <row r="7698">
      <c r="A7698" s="24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5" t="n">
        <v>100.893623</v>
      </c>
    </row>
    <row r="7699">
      <c r="A7699" s="24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5" t="n">
        <v>80.380909</v>
      </c>
    </row>
    <row r="7700">
      <c r="A7700" s="24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5" t="n">
        <v>62.449676</v>
      </c>
    </row>
    <row r="7701">
      <c r="A7701" s="24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5" t="n">
        <v>50.884039</v>
      </c>
    </row>
    <row r="7702">
      <c r="A7702" s="24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5" t="n">
        <v>48.360028</v>
      </c>
    </row>
    <row r="7703">
      <c r="A7703" s="24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5" t="n">
        <v>43.257439</v>
      </c>
    </row>
    <row r="7704">
      <c r="A7704" s="24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5" t="n">
        <v>39.616445</v>
      </c>
    </row>
    <row r="7705">
      <c r="A7705" s="24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5" t="n">
        <v>34.722728</v>
      </c>
    </row>
    <row r="7706">
      <c r="A7706" s="24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5" t="n">
        <v>30.099397</v>
      </c>
    </row>
    <row r="7707">
      <c r="A7707" s="24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5" t="n">
        <v>25.586925</v>
      </c>
    </row>
    <row r="7708">
      <c r="A7708" s="24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5" t="n">
        <v>22.157711</v>
      </c>
    </row>
    <row r="7709">
      <c r="A7709" s="24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5" t="n">
        <v>21.854447</v>
      </c>
    </row>
    <row r="7710">
      <c r="A7710" s="24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5" t="n">
        <v>30.48028</v>
      </c>
    </row>
    <row r="7711">
      <c r="A7711" s="24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5" t="n">
        <v>27.1525</v>
      </c>
    </row>
    <row r="7712">
      <c r="A7712" s="24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5" t="n">
        <v>23.659345</v>
      </c>
    </row>
    <row r="7713">
      <c r="A7713" s="24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5" t="n">
        <v>33.581996</v>
      </c>
    </row>
    <row r="7714">
      <c r="A7714" s="24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5" t="n">
        <v>31.984849</v>
      </c>
    </row>
    <row r="7715">
      <c r="A7715" s="24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5" t="n">
        <v>91.76096200000001</v>
      </c>
    </row>
    <row r="7716">
      <c r="A7716" s="24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5" t="n">
        <v>126.20203</v>
      </c>
    </row>
    <row r="7717">
      <c r="A7717" s="24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5" t="n">
        <v>141.717249</v>
      </c>
    </row>
    <row r="7718">
      <c r="A7718" s="24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5" t="n">
        <v>158.768739</v>
      </c>
    </row>
    <row r="7719">
      <c r="A7719" s="24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5" t="n">
        <v>178.037185</v>
      </c>
    </row>
    <row r="7720">
      <c r="A7720" s="24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5" t="n">
        <v>149.615754</v>
      </c>
    </row>
    <row r="7721">
      <c r="A7721" s="24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5" t="n">
        <v>134.341062</v>
      </c>
    </row>
    <row r="7722">
      <c r="A7722" s="24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5" t="n">
        <v>108.82346</v>
      </c>
    </row>
    <row r="7723">
      <c r="A7723" s="24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5" t="n">
        <v>87.485512</v>
      </c>
    </row>
    <row r="7724">
      <c r="A7724" s="24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5" t="n">
        <v>80.19695400000001</v>
      </c>
    </row>
    <row r="7725">
      <c r="A7725" s="24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5" t="n">
        <v>122.024206</v>
      </c>
    </row>
    <row r="7726">
      <c r="A7726" s="24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5" t="n">
        <v>153.065843</v>
      </c>
    </row>
    <row r="7727">
      <c r="A7727" s="24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5" t="n">
        <v>177.131242</v>
      </c>
    </row>
    <row r="7728">
      <c r="A7728" s="24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5" t="n">
        <v>207.12293</v>
      </c>
    </row>
    <row r="7729">
      <c r="A7729" s="24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5" t="n">
        <v>204.87901</v>
      </c>
    </row>
    <row r="7730">
      <c r="A7730" s="24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5" t="n">
        <v>196.341013</v>
      </c>
    </row>
    <row r="7731">
      <c r="A7731" s="24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5" t="n">
        <v>164.017896</v>
      </c>
    </row>
    <row r="7732">
      <c r="A7732" s="24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5" t="n">
        <v>125.886459</v>
      </c>
    </row>
    <row r="7733">
      <c r="A7733" s="24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5" t="n">
        <v>101.155683</v>
      </c>
    </row>
    <row r="7734">
      <c r="A7734" s="24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5" t="n">
        <v>86.77805600000001</v>
      </c>
    </row>
    <row r="7735">
      <c r="A7735" s="24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5" t="n">
        <v>70.770089</v>
      </c>
    </row>
    <row r="7736">
      <c r="A7736" s="24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5" t="n">
        <v>57.888597</v>
      </c>
    </row>
    <row r="7737">
      <c r="A7737" s="24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5" t="n">
        <v>48.26452</v>
      </c>
    </row>
    <row r="7738">
      <c r="A7738" s="24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5" t="n">
        <v>40.974753</v>
      </c>
    </row>
    <row r="7739">
      <c r="A7739" s="24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5" t="n">
        <v>56.344367</v>
      </c>
    </row>
    <row r="7740">
      <c r="A7740" s="24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5" t="n">
        <v>60.707298</v>
      </c>
    </row>
    <row r="7741">
      <c r="A7741" s="24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5" t="n">
        <v>74.529595</v>
      </c>
    </row>
    <row r="7742">
      <c r="A7742" s="24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5" t="n">
        <v>65.422442</v>
      </c>
    </row>
    <row r="7743">
      <c r="A7743" s="24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5" t="n">
        <v>54.330341</v>
      </c>
    </row>
    <row r="7744">
      <c r="A7744" s="24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5" t="n">
        <v>87.066429</v>
      </c>
    </row>
    <row r="7745">
      <c r="A7745" s="24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5" t="n">
        <v>140.805139</v>
      </c>
    </row>
    <row r="7746">
      <c r="A7746" s="24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5" t="n">
        <v>156.333831</v>
      </c>
    </row>
    <row r="7747">
      <c r="A7747" s="24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5" t="n">
        <v>133.343262</v>
      </c>
    </row>
    <row r="7748">
      <c r="A7748" s="24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5" t="n">
        <v>138.01429</v>
      </c>
    </row>
    <row r="7749">
      <c r="A7749" s="24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5" t="n">
        <v>107.092938</v>
      </c>
    </row>
    <row r="7750">
      <c r="A7750" s="24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5" t="n">
        <v>85.27700299999999</v>
      </c>
    </row>
    <row r="7751">
      <c r="A7751" s="24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5" t="n">
        <v>119.961011</v>
      </c>
    </row>
    <row r="7752">
      <c r="A7752" s="24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5" t="n">
        <v>126.319374</v>
      </c>
    </row>
    <row r="7753">
      <c r="A7753" s="24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5" t="n">
        <v>97.31815400000001</v>
      </c>
    </row>
    <row r="7754">
      <c r="A7754" s="24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5" t="n">
        <v>130.76527</v>
      </c>
    </row>
    <row r="7755">
      <c r="A7755" s="24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5" t="n">
        <v>110.774689</v>
      </c>
    </row>
    <row r="7756">
      <c r="A7756" s="24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5" t="n">
        <v>119.260289</v>
      </c>
    </row>
    <row r="7757">
      <c r="A7757" s="24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5" t="n">
        <v>158.6334</v>
      </c>
    </row>
    <row r="7758">
      <c r="A7758" s="24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5" t="n">
        <v>163.680893</v>
      </c>
    </row>
    <row r="7759">
      <c r="A7759" s="24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5" t="n">
        <v>122.689702</v>
      </c>
    </row>
    <row r="7760">
      <c r="A7760" s="24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5" t="n">
        <v>100.902791</v>
      </c>
    </row>
    <row r="7761">
      <c r="A7761" s="24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5" t="n">
        <v>149.162178</v>
      </c>
    </row>
    <row r="7762">
      <c r="A7762" s="24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5" t="n">
        <v>168.220562</v>
      </c>
    </row>
    <row r="7763">
      <c r="A7763" s="24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5" t="n">
        <v>152.378146</v>
      </c>
    </row>
    <row r="7764">
      <c r="A7764" s="24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5" t="n">
        <v>129.497506</v>
      </c>
    </row>
    <row r="7765">
      <c r="A7765" s="24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5" t="n">
        <v>139.732418</v>
      </c>
    </row>
    <row r="7766">
      <c r="A7766" s="24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5" t="n">
        <v>120.247532</v>
      </c>
    </row>
    <row r="7767">
      <c r="A7767" s="24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5" t="n">
        <v>97.30440900000001</v>
      </c>
    </row>
    <row r="7768">
      <c r="A7768" s="24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5" t="n">
        <v>77.494173</v>
      </c>
    </row>
    <row r="7769">
      <c r="A7769" s="24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5" t="n">
        <v>62.42355</v>
      </c>
    </row>
    <row r="7770">
      <c r="A7770" s="24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5" t="n">
        <v>51.267341</v>
      </c>
    </row>
    <row r="7771">
      <c r="A7771" s="24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5" t="n">
        <v>42.866205</v>
      </c>
    </row>
    <row r="7772">
      <c r="A7772" s="24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5" t="n">
        <v>41.543178</v>
      </c>
    </row>
    <row r="7773">
      <c r="A7773" s="24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5" t="n">
        <v>37.887854</v>
      </c>
    </row>
    <row r="7774">
      <c r="A7774" s="24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5" t="n">
        <v>36.251214</v>
      </c>
    </row>
    <row r="7775">
      <c r="A7775" s="24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5" t="n">
        <v>32.473022</v>
      </c>
    </row>
    <row r="7776">
      <c r="A7776" s="24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5" t="n">
        <v>28.183346</v>
      </c>
    </row>
    <row r="7777">
      <c r="A7777" s="24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5" t="n">
        <v>51.573771</v>
      </c>
    </row>
    <row r="7778">
      <c r="A7778" s="24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5" t="n">
        <v>56.256807</v>
      </c>
    </row>
    <row r="7779">
      <c r="A7779" s="24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5" t="n">
        <v>44.123724</v>
      </c>
    </row>
    <row r="7780">
      <c r="A7780" s="24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5" t="n">
        <v>34.391617</v>
      </c>
    </row>
    <row r="7781">
      <c r="A7781" s="24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5" t="n">
        <v>33.157364</v>
      </c>
    </row>
    <row r="7782">
      <c r="A7782" s="24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5" t="n">
        <v>47.293051</v>
      </c>
    </row>
    <row r="7783">
      <c r="A7783" s="24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5" t="n">
        <v>48.288377</v>
      </c>
    </row>
    <row r="7784">
      <c r="A7784" s="24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5" t="n">
        <v>39.095112</v>
      </c>
    </row>
    <row r="7785">
      <c r="A7785" s="24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5" t="n">
        <v>33.729289</v>
      </c>
    </row>
    <row r="7786">
      <c r="A7786" s="24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5" t="n">
        <v>35.958421</v>
      </c>
    </row>
    <row r="7787">
      <c r="A7787" s="24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5" t="n">
        <v>55.853657</v>
      </c>
    </row>
    <row r="7788">
      <c r="A7788" s="24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5" t="n">
        <v>45.160627</v>
      </c>
    </row>
    <row r="7789">
      <c r="A7789" s="24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5" t="n">
        <v>34.342635</v>
      </c>
    </row>
    <row r="7790">
      <c r="A7790" s="24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5" t="n">
        <v>29.752589</v>
      </c>
    </row>
    <row r="7791">
      <c r="A7791" s="24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5" t="n">
        <v>65.891918</v>
      </c>
    </row>
    <row r="7792">
      <c r="A7792" s="24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5" t="n">
        <v>78.533537</v>
      </c>
    </row>
    <row r="7793">
      <c r="A7793" s="24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5" t="n">
        <v>113.370872</v>
      </c>
    </row>
    <row r="7794">
      <c r="A7794" s="24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5" t="n">
        <v>121.705069</v>
      </c>
    </row>
    <row r="7795">
      <c r="A7795" s="24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5" t="n">
        <v>92.04838599999999</v>
      </c>
    </row>
    <row r="7796">
      <c r="A7796" s="24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5" t="n">
        <v>68.740844</v>
      </c>
    </row>
    <row r="7797">
      <c r="A7797" s="24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5" t="n">
        <v>53.478889</v>
      </c>
    </row>
    <row r="7798">
      <c r="A7798" s="24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5" t="n">
        <v>50.270437</v>
      </c>
    </row>
    <row r="7799">
      <c r="A7799" s="24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5" t="n">
        <v>41.864753</v>
      </c>
    </row>
    <row r="7800">
      <c r="A7800" s="24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5" t="n">
        <v>49.801801</v>
      </c>
    </row>
    <row r="7801">
      <c r="A7801" s="24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5" t="n">
        <v>41.574684</v>
      </c>
    </row>
    <row r="7802">
      <c r="A7802" s="24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5" t="n">
        <v>39.480722</v>
      </c>
    </row>
    <row r="7803">
      <c r="A7803" s="24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5" t="n">
        <v>36.36871</v>
      </c>
    </row>
    <row r="7804">
      <c r="A7804" s="24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5" t="n">
        <v>44.210671</v>
      </c>
    </row>
    <row r="7805">
      <c r="A7805" s="24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5" t="n">
        <v>52.986965</v>
      </c>
    </row>
    <row r="7806">
      <c r="A7806" s="24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5" t="n">
        <v>98.50180899999999</v>
      </c>
    </row>
    <row r="7807">
      <c r="A7807" s="24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5" t="n">
        <v>84.947254</v>
      </c>
    </row>
    <row r="7808">
      <c r="A7808" s="24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5" t="n">
        <v>75.209361</v>
      </c>
    </row>
    <row r="7809">
      <c r="A7809" s="24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5" t="n">
        <v>76.49544400000001</v>
      </c>
    </row>
    <row r="7810">
      <c r="A7810" s="24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5" t="n">
        <v>66.420068</v>
      </c>
    </row>
    <row r="7811">
      <c r="A7811" s="24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5" t="n">
        <v>67.14976799999999</v>
      </c>
    </row>
    <row r="7812">
      <c r="A7812" s="24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5" t="n">
        <v>55.536311</v>
      </c>
    </row>
    <row r="7813">
      <c r="A7813" s="24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5" t="n">
        <v>59.552808</v>
      </c>
    </row>
    <row r="7814">
      <c r="A7814" s="24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5" t="n">
        <v>68.292967</v>
      </c>
    </row>
    <row r="7815">
      <c r="A7815" s="24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5" t="n">
        <v>53.983409</v>
      </c>
    </row>
    <row r="7816">
      <c r="A7816" s="24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5" t="n">
        <v>41.516422</v>
      </c>
    </row>
    <row r="7817">
      <c r="A7817" s="24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5" t="n">
        <v>49.629386</v>
      </c>
    </row>
    <row r="7818">
      <c r="A7818" s="24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5" t="n">
        <v>54.519185</v>
      </c>
    </row>
    <row r="7819">
      <c r="A7819" s="24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5" t="n">
        <v>57.388345</v>
      </c>
    </row>
    <row r="7820">
      <c r="A7820" s="24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5" t="n">
        <v>53.23404</v>
      </c>
    </row>
    <row r="7821">
      <c r="A7821" s="24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5" t="n">
        <v>41.379158</v>
      </c>
    </row>
    <row r="7822">
      <c r="A7822" s="24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5" t="n">
        <v>33.027707</v>
      </c>
    </row>
    <row r="7823">
      <c r="A7823" s="24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5" t="n">
        <v>33.088871</v>
      </c>
    </row>
    <row r="7824">
      <c r="A7824" s="24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5" t="n">
        <v>31.32759</v>
      </c>
    </row>
    <row r="7825">
      <c r="A7825" s="24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5" t="n">
        <v>37.870734</v>
      </c>
    </row>
    <row r="7826">
      <c r="A7826" s="24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5" t="n">
        <v>42.49706</v>
      </c>
    </row>
    <row r="7827">
      <c r="A7827" s="24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5" t="n">
        <v>52.559728</v>
      </c>
    </row>
    <row r="7828">
      <c r="A7828" s="24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5" t="n">
        <v>44.118076</v>
      </c>
    </row>
    <row r="7829">
      <c r="A7829" s="24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5" t="n">
        <v>51.142018</v>
      </c>
    </row>
    <row r="7830">
      <c r="A7830" s="24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5" t="n">
        <v>68.21343899999999</v>
      </c>
    </row>
    <row r="7831">
      <c r="A7831" s="24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5" t="n">
        <v>55.596336</v>
      </c>
    </row>
    <row r="7832">
      <c r="A7832" s="24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5" t="n">
        <v>47.356704</v>
      </c>
    </row>
    <row r="7833">
      <c r="A7833" s="24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5" t="n">
        <v>37.243066</v>
      </c>
    </row>
    <row r="7834">
      <c r="A7834" s="24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5" t="n">
        <v>29.327255</v>
      </c>
    </row>
    <row r="7835">
      <c r="A7835" s="24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5" t="n">
        <v>31.041533</v>
      </c>
    </row>
    <row r="7836">
      <c r="A7836" s="24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5" t="n">
        <v>27.066825</v>
      </c>
    </row>
    <row r="7837">
      <c r="A7837" s="24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5" t="n">
        <v>64.23237899999999</v>
      </c>
    </row>
    <row r="7838">
      <c r="A7838" s="24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5" t="n">
        <v>61.785978</v>
      </c>
    </row>
    <row r="7839">
      <c r="A7839" s="24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5" t="n">
        <v>71.041647</v>
      </c>
    </row>
    <row r="7840">
      <c r="A7840" s="24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5" t="n">
        <v>70.285235</v>
      </c>
    </row>
    <row r="7841">
      <c r="A7841" s="24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5" t="n">
        <v>79.27876999999999</v>
      </c>
    </row>
    <row r="7842">
      <c r="A7842" s="24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5" t="n">
        <v>86.414468</v>
      </c>
    </row>
    <row r="7843">
      <c r="A7843" s="24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5" t="n">
        <v>68.59720299999999</v>
      </c>
    </row>
    <row r="7844">
      <c r="A7844" s="24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5" t="n">
        <v>57.911269</v>
      </c>
    </row>
    <row r="7845">
      <c r="A7845" s="24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5" t="n">
        <v>97.347185</v>
      </c>
    </row>
    <row r="7846">
      <c r="A7846" s="24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5" t="n">
        <v>88.14600900000001</v>
      </c>
    </row>
    <row r="7847">
      <c r="A7847" s="24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5" t="n">
        <v>67.204184</v>
      </c>
    </row>
    <row r="7848">
      <c r="A7848" s="24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5" t="n">
        <v>61.182127</v>
      </c>
    </row>
    <row r="7849">
      <c r="A7849" s="24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5" t="n">
        <v>48.639453</v>
      </c>
    </row>
    <row r="7850">
      <c r="A7850" s="24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5" t="n">
        <v>43.501685</v>
      </c>
    </row>
    <row r="7851">
      <c r="A7851" s="24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5" t="n">
        <v>90.77029400000001</v>
      </c>
    </row>
    <row r="7852">
      <c r="A7852" s="24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5" t="n">
        <v>108.89372</v>
      </c>
    </row>
    <row r="7853">
      <c r="A7853" s="24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5" t="n">
        <v>108.939409</v>
      </c>
    </row>
    <row r="7854">
      <c r="A7854" s="24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5" t="n">
        <v>82.55525799999999</v>
      </c>
    </row>
    <row r="7855">
      <c r="A7855" s="24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5" t="n">
        <v>62.474613</v>
      </c>
    </row>
    <row r="7856">
      <c r="A7856" s="24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5" t="n">
        <v>48.971492</v>
      </c>
    </row>
    <row r="7857">
      <c r="A7857" s="24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5" t="n">
        <v>57.890491</v>
      </c>
    </row>
    <row r="7858">
      <c r="A7858" s="24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5" t="n">
        <v>65.655253</v>
      </c>
    </row>
    <row r="7859">
      <c r="A7859" s="24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5" t="n">
        <v>258.396429</v>
      </c>
    </row>
    <row r="7860">
      <c r="A7860" s="24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5" t="n">
        <v>617.191823</v>
      </c>
    </row>
    <row r="7861">
      <c r="A7861" s="24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5" t="n">
        <v>600.411789</v>
      </c>
    </row>
    <row r="7862">
      <c r="A7862" s="24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5" t="n">
        <v>318.139891</v>
      </c>
    </row>
    <row r="7863">
      <c r="A7863" s="24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5" t="n">
        <v>218.048258</v>
      </c>
    </row>
    <row r="7864">
      <c r="A7864" s="24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5" t="n">
        <v>391.006295</v>
      </c>
    </row>
    <row r="7865">
      <c r="A7865" s="24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5" t="n">
        <v>447.103763</v>
      </c>
    </row>
    <row r="7866">
      <c r="A7866" s="24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5" t="n">
        <v>280.482234</v>
      </c>
    </row>
    <row r="7867">
      <c r="A7867" s="24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5" t="n">
        <v>398.919488</v>
      </c>
    </row>
    <row r="7868">
      <c r="A7868" s="24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5" t="n">
        <v>432.12575</v>
      </c>
    </row>
    <row r="7869">
      <c r="A7869" s="24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5" t="n">
        <v>289.744516</v>
      </c>
    </row>
    <row r="7870">
      <c r="A7870" s="24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5" t="n">
        <v>240.299695</v>
      </c>
    </row>
    <row r="7871">
      <c r="A7871" s="24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5" t="n">
        <v>194.07101</v>
      </c>
    </row>
    <row r="7872">
      <c r="A7872" s="24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5" t="n">
        <v>204.703475</v>
      </c>
    </row>
    <row r="7873">
      <c r="A7873" s="24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5" t="n">
        <v>186.490445</v>
      </c>
    </row>
    <row r="7874">
      <c r="A7874" s="24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5" t="n">
        <v>214.11431</v>
      </c>
    </row>
    <row r="7875">
      <c r="A7875" s="24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5" t="n">
        <v>214.224252</v>
      </c>
    </row>
    <row r="7876">
      <c r="A7876" s="24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5" t="n">
        <v>173.266393</v>
      </c>
    </row>
    <row r="7877">
      <c r="A7877" s="24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5" t="n">
        <v>134.562458</v>
      </c>
    </row>
    <row r="7878">
      <c r="A7878" s="24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5" t="n">
        <v>106.688005</v>
      </c>
    </row>
    <row r="7879">
      <c r="A7879" s="24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5" t="n">
        <v>86.44130699999999</v>
      </c>
    </row>
    <row r="7880">
      <c r="A7880" s="24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5" t="n">
        <v>71.274843</v>
      </c>
    </row>
    <row r="7881">
      <c r="A7881" s="24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5" t="n">
        <v>60.057994</v>
      </c>
    </row>
    <row r="7882">
      <c r="A7882" s="24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5" t="n">
        <v>97.758025</v>
      </c>
    </row>
    <row r="7883">
      <c r="A7883" s="24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5" t="n">
        <v>137.747245</v>
      </c>
    </row>
    <row r="7884">
      <c r="A7884" s="24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5" t="n">
        <v>181.283855</v>
      </c>
    </row>
    <row r="7885">
      <c r="A7885" s="24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5" t="n">
        <v>187.229854</v>
      </c>
    </row>
    <row r="7886">
      <c r="A7886" s="24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5" t="n">
        <v>167.29387</v>
      </c>
    </row>
    <row r="7887">
      <c r="A7887" s="24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5" t="n">
        <v>133.093646</v>
      </c>
    </row>
    <row r="7888">
      <c r="A7888" s="24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5" t="n">
        <v>119.217399</v>
      </c>
    </row>
    <row r="7889">
      <c r="A7889" s="24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5" t="n">
        <v>147.595868</v>
      </c>
    </row>
    <row r="7890">
      <c r="A7890" s="24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5" t="n">
        <v>120.418489</v>
      </c>
    </row>
    <row r="7891">
      <c r="A7891" s="24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5" t="n">
        <v>93.37516599999999</v>
      </c>
    </row>
    <row r="7892">
      <c r="A7892" s="24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5" t="n">
        <v>130.552066</v>
      </c>
    </row>
    <row r="7893">
      <c r="A7893" s="24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5" t="n">
        <v>153.074619</v>
      </c>
    </row>
    <row r="7894">
      <c r="A7894" s="24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5" t="n">
        <v>121.967027</v>
      </c>
    </row>
    <row r="7895">
      <c r="A7895" s="24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5" t="n">
        <v>124.331533</v>
      </c>
    </row>
    <row r="7896">
      <c r="A7896" s="24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5" t="n">
        <v>139.132885</v>
      </c>
    </row>
    <row r="7897">
      <c r="A7897" s="24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5" t="n">
        <v>114.623216</v>
      </c>
    </row>
    <row r="7898">
      <c r="A7898" s="24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5" t="n">
        <v>96.608571</v>
      </c>
    </row>
    <row r="7899">
      <c r="A7899" s="24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5" t="n">
        <v>77.92288499999999</v>
      </c>
    </row>
    <row r="7900">
      <c r="A7900" s="24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5" t="n">
        <v>63.153524</v>
      </c>
    </row>
    <row r="7901">
      <c r="A7901" s="24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5" t="n">
        <v>95.346526</v>
      </c>
    </row>
    <row r="7902">
      <c r="A7902" s="24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5" t="n">
        <v>143.5902</v>
      </c>
    </row>
    <row r="7903">
      <c r="A7903" s="24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5" t="n">
        <v>166.053153</v>
      </c>
    </row>
    <row r="7904">
      <c r="A7904" s="24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5" t="n">
        <v>180.859175</v>
      </c>
    </row>
    <row r="7905">
      <c r="A7905" s="24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5" t="n">
        <v>176.420657</v>
      </c>
    </row>
    <row r="7906">
      <c r="A7906" s="24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5" t="n">
        <v>136.35138</v>
      </c>
    </row>
    <row r="7907">
      <c r="A7907" s="24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5" t="n">
        <v>136.746629</v>
      </c>
    </row>
    <row r="7908">
      <c r="A7908" s="24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5" t="n">
        <v>135.681291</v>
      </c>
    </row>
    <row r="7909">
      <c r="A7909" s="24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5" t="n">
        <v>165.046025</v>
      </c>
    </row>
    <row r="7910">
      <c r="A7910" s="24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5" t="n">
        <v>162.933622</v>
      </c>
    </row>
    <row r="7911">
      <c r="A7911" s="24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5" t="n">
        <v>200.721126</v>
      </c>
    </row>
    <row r="7912">
      <c r="A7912" s="24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5" t="n">
        <v>210.027077</v>
      </c>
    </row>
    <row r="7913">
      <c r="A7913" s="24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5" t="n">
        <v>221.283338</v>
      </c>
    </row>
    <row r="7914">
      <c r="A7914" s="24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5" t="n">
        <v>219.74019</v>
      </c>
    </row>
    <row r="7915">
      <c r="A7915" s="24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5" t="n">
        <v>209.265181</v>
      </c>
    </row>
    <row r="7916">
      <c r="A7916" s="24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5" t="n">
        <v>222.460846</v>
      </c>
    </row>
    <row r="7917">
      <c r="A7917" s="24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5" t="n">
        <v>229.054369</v>
      </c>
    </row>
    <row r="7918">
      <c r="A7918" s="24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5" t="n">
        <v>222.871185</v>
      </c>
    </row>
    <row r="7919">
      <c r="A7919" s="24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5" t="n">
        <v>196.205852</v>
      </c>
    </row>
    <row r="7920">
      <c r="A7920" s="24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5" t="n">
        <v>160.325427</v>
      </c>
    </row>
    <row r="7921">
      <c r="A7921" s="24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5" t="n">
        <v>147.062428</v>
      </c>
    </row>
    <row r="7922">
      <c r="A7922" s="24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5" t="n">
        <v>175.554543</v>
      </c>
    </row>
    <row r="7923">
      <c r="A7923" s="24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5" t="n">
        <v>164.710343</v>
      </c>
    </row>
    <row r="7924">
      <c r="A7924" s="24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5" t="n">
        <v>141.160245</v>
      </c>
    </row>
    <row r="7925">
      <c r="A7925" s="24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5" t="n">
        <v>113.109048</v>
      </c>
    </row>
    <row r="7926">
      <c r="A7926" s="24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5" t="n">
        <v>107.112943</v>
      </c>
    </row>
    <row r="7927">
      <c r="A7927" s="24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5" t="n">
        <v>88.725705</v>
      </c>
    </row>
    <row r="7928">
      <c r="A7928" s="24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5" t="n">
        <v>136.816299</v>
      </c>
    </row>
    <row r="7929">
      <c r="A7929" s="24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5" t="n">
        <v>156.755319</v>
      </c>
    </row>
    <row r="7930">
      <c r="A7930" s="24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5" t="n">
        <v>140.776865</v>
      </c>
    </row>
    <row r="7931">
      <c r="A7931" s="24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5" t="n">
        <v>110.217759</v>
      </c>
    </row>
    <row r="7932">
      <c r="A7932" s="24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5" t="n">
        <v>90.760318</v>
      </c>
    </row>
    <row r="7933">
      <c r="A7933" s="24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5" t="n">
        <v>74.776968</v>
      </c>
    </row>
    <row r="7934">
      <c r="A7934" s="24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5" t="n">
        <v>99.58055899999999</v>
      </c>
    </row>
    <row r="7935">
      <c r="A7935" s="24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5" t="n">
        <v>154.692003</v>
      </c>
    </row>
    <row r="7936">
      <c r="A7936" s="24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5" t="n">
        <v>172.023418</v>
      </c>
    </row>
    <row r="7937">
      <c r="A7937" s="24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5" t="n">
        <v>161.195163</v>
      </c>
    </row>
    <row r="7938">
      <c r="A7938" s="24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5" t="n">
        <v>123.554776</v>
      </c>
    </row>
    <row r="7939">
      <c r="A7939" s="24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5" t="n">
        <v>132.766137</v>
      </c>
    </row>
    <row r="7940">
      <c r="A7940" s="24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5" t="n">
        <v>127.222785</v>
      </c>
    </row>
    <row r="7941">
      <c r="A7941" s="24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5" t="n">
        <v>99.06357800000001</v>
      </c>
    </row>
    <row r="7942">
      <c r="A7942" s="24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5" t="n">
        <v>77.421937</v>
      </c>
    </row>
    <row r="7943">
      <c r="A7943" s="24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5" t="n">
        <v>62.952237</v>
      </c>
    </row>
    <row r="7944">
      <c r="A7944" s="24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5" t="n">
        <v>101.774499</v>
      </c>
    </row>
    <row r="7945">
      <c r="A7945" s="24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5" t="n">
        <v>86.059895</v>
      </c>
    </row>
    <row r="7946">
      <c r="A7946" s="24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5" t="n">
        <v>86.14706700000001</v>
      </c>
    </row>
    <row r="7947">
      <c r="A7947" s="24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5" t="n">
        <v>89.487448</v>
      </c>
    </row>
    <row r="7948">
      <c r="A7948" s="24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5" t="n">
        <v>72.505563</v>
      </c>
    </row>
    <row r="7949">
      <c r="A7949" s="24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5" t="n">
        <v>68.922194</v>
      </c>
    </row>
    <row r="7950">
      <c r="A7950" s="24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5" t="n">
        <v>66.43678199999999</v>
      </c>
    </row>
    <row r="7951">
      <c r="A7951" s="24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5" t="n">
        <v>56.161876</v>
      </c>
    </row>
    <row r="7952">
      <c r="A7952" s="24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5" t="n">
        <v>107.995931</v>
      </c>
    </row>
    <row r="7953">
      <c r="A7953" s="24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5" t="n">
        <v>127.173116</v>
      </c>
    </row>
    <row r="7954">
      <c r="A7954" s="24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5" t="n">
        <v>110.508888</v>
      </c>
    </row>
    <row r="7955">
      <c r="A7955" s="24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5" t="n">
        <v>146.565983</v>
      </c>
    </row>
    <row r="7956">
      <c r="A7956" s="24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5" t="n">
        <v>151.972178</v>
      </c>
    </row>
    <row r="7957">
      <c r="A7957" s="24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5" t="n">
        <v>132.445535</v>
      </c>
    </row>
    <row r="7958">
      <c r="A7958" s="24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5" t="n">
        <v>170.576398</v>
      </c>
    </row>
    <row r="7959">
      <c r="A7959" s="24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5" t="n">
        <v>181.484</v>
      </c>
    </row>
    <row r="7960">
      <c r="A7960" s="24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5" t="n">
        <v>152.282322</v>
      </c>
    </row>
    <row r="7961">
      <c r="A7961" s="24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5" t="n">
        <v>118.980329</v>
      </c>
    </row>
    <row r="7962">
      <c r="A7962" s="24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5" t="n">
        <v>102.38013</v>
      </c>
    </row>
    <row r="7963">
      <c r="A7963" s="24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5" t="n">
        <v>128.750641</v>
      </c>
    </row>
    <row r="7964">
      <c r="A7964" s="24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5" t="n">
        <v>116.246101</v>
      </c>
    </row>
    <row r="7965">
      <c r="A7965" s="24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5" t="n">
        <v>95.374743</v>
      </c>
    </row>
    <row r="7966">
      <c r="A7966" s="24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5" t="n">
        <v>76.60836399999999</v>
      </c>
    </row>
    <row r="7967">
      <c r="A7967" s="24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5" t="n">
        <v>62.397639</v>
      </c>
    </row>
    <row r="7968">
      <c r="A7968" s="24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5" t="n">
        <v>52.746364</v>
      </c>
    </row>
    <row r="7969">
      <c r="A7969" s="24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5" t="n">
        <v>43.794927</v>
      </c>
    </row>
    <row r="7970">
      <c r="A7970" s="24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5" t="n">
        <v>36.720909</v>
      </c>
    </row>
    <row r="7971">
      <c r="A7971" s="24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5" t="n">
        <v>31.213656</v>
      </c>
    </row>
    <row r="7972">
      <c r="A7972" s="24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5" t="n">
        <v>26.823213</v>
      </c>
    </row>
    <row r="7973">
      <c r="A7973" s="24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5" t="n">
        <v>23.256975</v>
      </c>
    </row>
    <row r="7974">
      <c r="A7974" s="24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5" t="n">
        <v>20.31447</v>
      </c>
    </row>
    <row r="7975">
      <c r="A7975" s="24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5" t="n">
        <v>17.855075</v>
      </c>
    </row>
    <row r="7976">
      <c r="A7976" s="24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5" t="n">
        <v>15.943754</v>
      </c>
    </row>
    <row r="7977">
      <c r="A7977" s="24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5" t="n">
        <v>19.752576</v>
      </c>
    </row>
    <row r="7978">
      <c r="A7978" s="24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5" t="n">
        <v>36.919639</v>
      </c>
    </row>
    <row r="7979">
      <c r="A7979" s="24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5" t="n">
        <v>35.35611</v>
      </c>
    </row>
    <row r="7980">
      <c r="A7980" s="24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5" t="n">
        <v>34.012188</v>
      </c>
    </row>
    <row r="7981">
      <c r="A7981" s="24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5" t="n">
        <v>45.141293</v>
      </c>
    </row>
    <row r="7982">
      <c r="A7982" s="24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5" t="n">
        <v>43.665594</v>
      </c>
    </row>
    <row r="7983">
      <c r="A7983" s="24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5" t="n">
        <v>45.735734</v>
      </c>
    </row>
    <row r="7984">
      <c r="A7984" s="24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5" t="n">
        <v>42.102195</v>
      </c>
    </row>
    <row r="7985">
      <c r="A7985" s="24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5" t="n">
        <v>56.422809</v>
      </c>
    </row>
    <row r="7986">
      <c r="A7986" s="24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5" t="n">
        <v>52.232767</v>
      </c>
    </row>
    <row r="7987">
      <c r="A7987" s="24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5" t="n">
        <v>52.977086</v>
      </c>
    </row>
    <row r="7988">
      <c r="A7988" s="24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5" t="n">
        <v>42.824624</v>
      </c>
    </row>
    <row r="7989">
      <c r="A7989" s="24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5" t="n">
        <v>35.867992</v>
      </c>
    </row>
    <row r="7990">
      <c r="A7990" s="24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5" t="n">
        <v>30.6721</v>
      </c>
    </row>
    <row r="7991">
      <c r="A7991" s="24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5" t="n">
        <v>44.68334</v>
      </c>
    </row>
    <row r="7992">
      <c r="A7992" s="24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5" t="n">
        <v>36.018925</v>
      </c>
    </row>
    <row r="7993">
      <c r="A7993" s="24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5" t="n">
        <v>41.197038</v>
      </c>
    </row>
    <row r="7994">
      <c r="A7994" s="24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5" t="n">
        <v>34.548737</v>
      </c>
    </row>
    <row r="7995">
      <c r="A7995" s="24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5" t="n">
        <v>66.39988099999999</v>
      </c>
    </row>
    <row r="7996">
      <c r="A7996" s="24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5" t="n">
        <v>100.365726</v>
      </c>
    </row>
    <row r="7997">
      <c r="A7997" s="24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5" t="n">
        <v>117.364762</v>
      </c>
    </row>
    <row r="7998">
      <c r="A7998" s="24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5" t="n">
        <v>108.582902</v>
      </c>
    </row>
    <row r="7999">
      <c r="A7999" s="24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5" t="n">
        <v>96.60192499999999</v>
      </c>
    </row>
    <row r="8000">
      <c r="A8000" s="24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5" t="n">
        <v>97.443876</v>
      </c>
    </row>
    <row r="8001">
      <c r="A8001" s="24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5" t="n">
        <v>80.41000200000001</v>
      </c>
    </row>
    <row r="8002">
      <c r="A8002" s="24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5" t="n">
        <v>65.12639799999999</v>
      </c>
    </row>
    <row r="8003">
      <c r="A8003" s="24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5" t="n">
        <v>52.250963</v>
      </c>
    </row>
    <row r="8004">
      <c r="A8004" s="24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5" t="n">
        <v>48.53733</v>
      </c>
    </row>
    <row r="8005">
      <c r="A8005" s="24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5" t="n">
        <v>65.220223</v>
      </c>
    </row>
    <row r="8006">
      <c r="A8006" s="24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5" t="n">
        <v>64.959795</v>
      </c>
    </row>
    <row r="8007">
      <c r="A8007" s="24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5" t="n">
        <v>53.929295</v>
      </c>
    </row>
    <row r="8008">
      <c r="A8008" s="24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5" t="n">
        <v>56.470728</v>
      </c>
    </row>
    <row r="8009">
      <c r="A8009" s="24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5" t="n">
        <v>111.223141</v>
      </c>
    </row>
    <row r="8010">
      <c r="A8010" s="24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5" t="n">
        <v>136.66968</v>
      </c>
    </row>
    <row r="8011">
      <c r="A8011" s="24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5" t="n">
        <v>116.993014</v>
      </c>
    </row>
    <row r="8012">
      <c r="A8012" s="24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5" t="n">
        <v>127.651515</v>
      </c>
    </row>
    <row r="8013">
      <c r="A8013" s="24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5" t="n">
        <v>99.592062</v>
      </c>
    </row>
    <row r="8014">
      <c r="A8014" s="24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5" t="n">
        <v>83.38361399999999</v>
      </c>
    </row>
    <row r="8015">
      <c r="A8015" s="24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5" t="n">
        <v>65.36595699999999</v>
      </c>
    </row>
    <row r="8016">
      <c r="A8016" s="24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5" t="n">
        <v>51.676614</v>
      </c>
    </row>
    <row r="8017">
      <c r="A8017" s="24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5" t="n">
        <v>41.87987</v>
      </c>
    </row>
    <row r="8018">
      <c r="A8018" s="24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5" t="n">
        <v>34.556022</v>
      </c>
    </row>
    <row r="8019">
      <c r="A8019" s="24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5" t="n">
        <v>29.344684</v>
      </c>
    </row>
    <row r="8020">
      <c r="A8020" s="24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5" t="n">
        <v>68.25865899999999</v>
      </c>
    </row>
    <row r="8021">
      <c r="A8021" s="24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5" t="n">
        <v>78.816394</v>
      </c>
    </row>
    <row r="8022">
      <c r="A8022" s="24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5" t="n">
        <v>71.747387</v>
      </c>
    </row>
    <row r="8023">
      <c r="A8023" s="24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5" t="n">
        <v>88.05225900000001</v>
      </c>
    </row>
    <row r="8024">
      <c r="A8024" s="24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5" t="n">
        <v>106.923057</v>
      </c>
    </row>
    <row r="8025">
      <c r="A8025" s="24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5" t="n">
        <v>121.967812</v>
      </c>
    </row>
    <row r="8026">
      <c r="A8026" s="24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5" t="n">
        <v>151.882602</v>
      </c>
    </row>
    <row r="8027">
      <c r="A8027" s="24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5" t="n">
        <v>143.4796</v>
      </c>
    </row>
    <row r="8028">
      <c r="A8028" s="24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5" t="n">
        <v>126.922905</v>
      </c>
    </row>
    <row r="8029">
      <c r="A8029" s="24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5" t="n">
        <v>183.132424</v>
      </c>
    </row>
    <row r="8030">
      <c r="A8030" s="24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5" t="n">
        <v>192.05713</v>
      </c>
    </row>
    <row r="8031">
      <c r="A8031" s="24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5" t="n">
        <v>179.218306</v>
      </c>
    </row>
    <row r="8032">
      <c r="A8032" s="24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5" t="n">
        <v>157.443546</v>
      </c>
    </row>
    <row r="8033">
      <c r="A8033" s="24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5" t="n">
        <v>131.095511</v>
      </c>
    </row>
    <row r="8034">
      <c r="A8034" s="24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5" t="n">
        <v>166.4361</v>
      </c>
    </row>
    <row r="8035">
      <c r="A8035" s="24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5" t="n">
        <v>341.363489</v>
      </c>
    </row>
    <row r="8036">
      <c r="A8036" s="24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5" t="n">
        <v>409.682022</v>
      </c>
    </row>
    <row r="8037">
      <c r="A8037" s="24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5" t="n">
        <v>283.603836</v>
      </c>
    </row>
    <row r="8038">
      <c r="A8038" s="24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5" t="n">
        <v>228.316123</v>
      </c>
    </row>
    <row r="8039">
      <c r="A8039" s="24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5" t="n">
        <v>215.517498</v>
      </c>
    </row>
    <row r="8040">
      <c r="A8040" s="24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5" t="n">
        <v>197.047944</v>
      </c>
    </row>
    <row r="8041">
      <c r="A8041" s="24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5" t="n">
        <v>151.435113</v>
      </c>
    </row>
    <row r="8042">
      <c r="A8042" s="24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5" t="n">
        <v>116.998059</v>
      </c>
    </row>
    <row r="8043">
      <c r="A8043" s="24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5" t="n">
        <v>93.31545300000001</v>
      </c>
    </row>
    <row r="8044">
      <c r="A8044" s="24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5" t="n">
        <v>90.94001299999999</v>
      </c>
    </row>
    <row r="8045">
      <c r="A8045" s="24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5" t="n">
        <v>76.97688599999999</v>
      </c>
    </row>
    <row r="8046">
      <c r="A8046" s="24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5" t="n">
        <v>62.76443</v>
      </c>
    </row>
    <row r="8047">
      <c r="A8047" s="24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5" t="n">
        <v>80.937006</v>
      </c>
    </row>
    <row r="8048">
      <c r="A8048" s="24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5" t="n">
        <v>90.545106</v>
      </c>
    </row>
    <row r="8049">
      <c r="A8049" s="24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5" t="n">
        <v>102.958537</v>
      </c>
    </row>
    <row r="8050">
      <c r="A8050" s="24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5" t="n">
        <v>81.49898</v>
      </c>
    </row>
    <row r="8051">
      <c r="A8051" s="24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5" t="n">
        <v>64.511262</v>
      </c>
    </row>
    <row r="8052">
      <c r="A8052" s="24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5" t="n">
        <v>55.586305</v>
      </c>
    </row>
    <row r="8053">
      <c r="A8053" s="24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5" t="n">
        <v>45.546175</v>
      </c>
    </row>
    <row r="8054">
      <c r="A8054" s="24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5" t="n">
        <v>37.683375</v>
      </c>
    </row>
    <row r="8055">
      <c r="A8055" s="24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5" t="n">
        <v>48.519199</v>
      </c>
    </row>
    <row r="8056">
      <c r="A8056" s="24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5" t="n">
        <v>48.568591</v>
      </c>
    </row>
    <row r="8057">
      <c r="A8057" s="24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5" t="n">
        <v>49.9765</v>
      </c>
    </row>
    <row r="8058">
      <c r="A8058" s="24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5" t="n">
        <v>48.693271</v>
      </c>
    </row>
    <row r="8059">
      <c r="A8059" s="24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5" t="n">
        <v>38.90494</v>
      </c>
    </row>
    <row r="8060">
      <c r="A8060" s="24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5" t="n">
        <v>50.541762</v>
      </c>
    </row>
    <row r="8061">
      <c r="A8061" s="24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5" t="n">
        <v>58.374415</v>
      </c>
    </row>
    <row r="8062">
      <c r="A8062" s="24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5" t="n">
        <v>51.70565</v>
      </c>
    </row>
    <row r="8063">
      <c r="A8063" s="24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5" t="n">
        <v>44.043192</v>
      </c>
    </row>
    <row r="8064">
      <c r="A8064" s="24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5" t="n">
        <v>41.630676</v>
      </c>
    </row>
    <row r="8065">
      <c r="A8065" s="24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5" t="n">
        <v>44.912155</v>
      </c>
    </row>
    <row r="8066">
      <c r="A8066" s="24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5" t="n">
        <v>51.285168</v>
      </c>
    </row>
    <row r="8067">
      <c r="A8067" s="24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5" t="n">
        <v>64.594678</v>
      </c>
    </row>
    <row r="8068">
      <c r="A8068" s="24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5" t="n">
        <v>111.956728</v>
      </c>
    </row>
    <row r="8069">
      <c r="A8069" s="24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5" t="n">
        <v>133.244939</v>
      </c>
    </row>
    <row r="8070">
      <c r="A8070" s="24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5" t="n">
        <v>157.712595</v>
      </c>
    </row>
    <row r="8071">
      <c r="A8071" s="24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5" t="n">
        <v>141.397618</v>
      </c>
    </row>
    <row r="8072">
      <c r="A8072" s="24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5" t="n">
        <v>108.368547</v>
      </c>
    </row>
    <row r="8073">
      <c r="A8073" s="24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5" t="n">
        <v>129.063215</v>
      </c>
    </row>
    <row r="8074">
      <c r="A8074" s="24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5" t="n">
        <v>101.76765</v>
      </c>
    </row>
    <row r="8075">
      <c r="A8075" s="24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5" t="n">
        <v>82.822547</v>
      </c>
    </row>
    <row r="8076">
      <c r="A8076" s="24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5" t="n">
        <v>78.902111</v>
      </c>
    </row>
    <row r="8077">
      <c r="A8077" s="24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5" t="n">
        <v>64.017743</v>
      </c>
    </row>
    <row r="8078">
      <c r="A8078" s="24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5" t="n">
        <v>63.940211</v>
      </c>
    </row>
    <row r="8079">
      <c r="A8079" s="24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5" t="n">
        <v>80.16112200000001</v>
      </c>
    </row>
    <row r="8080">
      <c r="A8080" s="24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5" t="n">
        <v>73.96640600000001</v>
      </c>
    </row>
    <row r="8081">
      <c r="A8081" s="24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5" t="n">
        <v>58.972743</v>
      </c>
    </row>
    <row r="8082">
      <c r="A8082" s="24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5" t="n">
        <v>47.012857</v>
      </c>
    </row>
    <row r="8083">
      <c r="A8083" s="24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5" t="n">
        <v>41.491573</v>
      </c>
    </row>
    <row r="8084">
      <c r="A8084" s="24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5" t="n">
        <v>34.210289</v>
      </c>
    </row>
    <row r="8085">
      <c r="A8085" s="24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5" t="n">
        <v>36.545675</v>
      </c>
    </row>
    <row r="8086">
      <c r="A8086" s="24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5" t="n">
        <v>37.855705</v>
      </c>
    </row>
    <row r="8087">
      <c r="A8087" s="24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5" t="n">
        <v>96.79569499999999</v>
      </c>
    </row>
    <row r="8088">
      <c r="A8088" s="24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5" t="n">
        <v>139.106038</v>
      </c>
    </row>
    <row r="8089">
      <c r="A8089" s="24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5" t="n">
        <v>150.554238</v>
      </c>
    </row>
    <row r="8090">
      <c r="A8090" s="24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5" t="n">
        <v>172.280898</v>
      </c>
    </row>
    <row r="8091">
      <c r="A8091" s="24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5" t="n">
        <v>179.650831</v>
      </c>
    </row>
    <row r="8092">
      <c r="A8092" s="24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5" t="n">
        <v>158.334987</v>
      </c>
    </row>
    <row r="8093">
      <c r="A8093" s="24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5" t="n">
        <v>127.144075</v>
      </c>
    </row>
    <row r="8094">
      <c r="A8094" s="24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5" t="n">
        <v>100.611513</v>
      </c>
    </row>
    <row r="8095">
      <c r="A8095" s="24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5" t="n">
        <v>79.828823</v>
      </c>
    </row>
    <row r="8096">
      <c r="A8096" s="24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5" t="n">
        <v>76.016993</v>
      </c>
    </row>
    <row r="8097">
      <c r="A8097" s="24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5" t="n">
        <v>61.897031</v>
      </c>
    </row>
    <row r="8098">
      <c r="A8098" s="24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5" t="n">
        <v>51.113828</v>
      </c>
    </row>
    <row r="8099">
      <c r="A8099" s="24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5" t="n">
        <v>63.540826</v>
      </c>
    </row>
    <row r="8100">
      <c r="A8100" s="24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5" t="n">
        <v>52.198411</v>
      </c>
    </row>
    <row r="8101">
      <c r="A8101" s="24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5" t="n">
        <v>45.977511</v>
      </c>
    </row>
    <row r="8102">
      <c r="A8102" s="24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5" t="n">
        <v>71.968971</v>
      </c>
    </row>
    <row r="8103">
      <c r="A8103" s="24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5" t="n">
        <v>92.436353</v>
      </c>
    </row>
    <row r="8104">
      <c r="A8104" s="24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5" t="n">
        <v>86.847781</v>
      </c>
    </row>
    <row r="8105">
      <c r="A8105" s="24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5" t="n">
        <v>67.813468</v>
      </c>
    </row>
    <row r="8106">
      <c r="A8106" s="24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5" t="n">
        <v>52.345833</v>
      </c>
    </row>
    <row r="8107">
      <c r="A8107" s="24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5" t="n">
        <v>49.420712</v>
      </c>
    </row>
    <row r="8108">
      <c r="A8108" s="24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5" t="n">
        <v>46.053853</v>
      </c>
    </row>
    <row r="8109">
      <c r="A8109" s="24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5" t="n">
        <v>59.794366</v>
      </c>
    </row>
    <row r="8110">
      <c r="A8110" s="24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5" t="n">
        <v>48.235441</v>
      </c>
    </row>
    <row r="8111">
      <c r="A8111" s="24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5" t="n">
        <v>63.162785</v>
      </c>
    </row>
    <row r="8112">
      <c r="A8112" s="24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5" t="n">
        <v>52.500597</v>
      </c>
    </row>
    <row r="8113">
      <c r="A8113" s="24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5" t="n">
        <v>41.358832</v>
      </c>
    </row>
    <row r="8114">
      <c r="A8114" s="24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5" t="n">
        <v>43.259401</v>
      </c>
    </row>
    <row r="8115">
      <c r="A8115" s="24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5" t="n">
        <v>55.136807</v>
      </c>
    </row>
    <row r="8116">
      <c r="A8116" s="24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5" t="n">
        <v>57.004695</v>
      </c>
    </row>
    <row r="8117">
      <c r="A8117" s="24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5" t="n">
        <v>49.806399</v>
      </c>
    </row>
    <row r="8118">
      <c r="A8118" s="24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5" t="n">
        <v>40.20036</v>
      </c>
    </row>
    <row r="8119">
      <c r="A8119" s="24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5" t="n">
        <v>37.246861</v>
      </c>
    </row>
    <row r="8120">
      <c r="A8120" s="24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5" t="n">
        <v>84.336775</v>
      </c>
    </row>
    <row r="8121">
      <c r="A8121" s="24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5" t="n">
        <v>82.093841</v>
      </c>
    </row>
    <row r="8122">
      <c r="A8122" s="24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5" t="n">
        <v>97.92355999999999</v>
      </c>
    </row>
    <row r="8123">
      <c r="A8123" s="24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5" t="n">
        <v>75.985482</v>
      </c>
    </row>
    <row r="8124">
      <c r="A8124" s="24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5" t="n">
        <v>59.23529</v>
      </c>
    </row>
    <row r="8125">
      <c r="A8125" s="24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5" t="n">
        <v>49.373</v>
      </c>
    </row>
    <row r="8126">
      <c r="A8126" s="24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5" t="n">
        <v>78.29671999999999</v>
      </c>
    </row>
    <row r="8127">
      <c r="A8127" s="24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5" t="n">
        <v>71.477436</v>
      </c>
    </row>
    <row r="8128">
      <c r="A8128" s="24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5" t="n">
        <v>111.581667</v>
      </c>
    </row>
    <row r="8129">
      <c r="A8129" s="24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5" t="n">
        <v>141.917369</v>
      </c>
    </row>
    <row r="8130">
      <c r="A8130" s="24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5" t="n">
        <v>143.39139</v>
      </c>
    </row>
    <row r="8131">
      <c r="A8131" s="24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5" t="n">
        <v>125.88535</v>
      </c>
    </row>
    <row r="8132">
      <c r="A8132" s="24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5" t="n">
        <v>125.983876</v>
      </c>
    </row>
    <row r="8133">
      <c r="A8133" s="24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5" t="n">
        <v>109.560396</v>
      </c>
    </row>
    <row r="8134">
      <c r="A8134" s="24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5" t="n">
        <v>101.54332</v>
      </c>
    </row>
    <row r="8135">
      <c r="A8135" s="24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5" t="n">
        <v>92.567323</v>
      </c>
    </row>
    <row r="8136">
      <c r="A8136" s="24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5" t="n">
        <v>79.379992</v>
      </c>
    </row>
    <row r="8137">
      <c r="A8137" s="24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5" t="n">
        <v>75.067369</v>
      </c>
    </row>
    <row r="8138">
      <c r="A8138" s="24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5" t="n">
        <v>72.335596</v>
      </c>
    </row>
    <row r="8139">
      <c r="A8139" s="24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5" t="n">
        <v>58.154087</v>
      </c>
    </row>
    <row r="8140">
      <c r="A8140" s="24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5" t="n">
        <v>64.15431700000001</v>
      </c>
    </row>
    <row r="8141">
      <c r="A8141" s="24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5" t="n">
        <v>52.523217</v>
      </c>
    </row>
    <row r="8142">
      <c r="A8142" s="24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5" t="n">
        <v>44.379741</v>
      </c>
    </row>
    <row r="8143">
      <c r="A8143" s="24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5" t="n">
        <v>56.095395</v>
      </c>
    </row>
    <row r="8144">
      <c r="A8144" s="24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5" t="n">
        <v>141.878244</v>
      </c>
    </row>
    <row r="8145">
      <c r="A8145" s="24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5" t="n">
        <v>168.605472</v>
      </c>
    </row>
    <row r="8146">
      <c r="A8146" s="24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5" t="n">
        <v>154.721579</v>
      </c>
    </row>
    <row r="8147">
      <c r="A8147" s="24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5" t="n">
        <v>143.811387</v>
      </c>
    </row>
    <row r="8148">
      <c r="A8148" s="24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5" t="n">
        <v>134.434363</v>
      </c>
    </row>
    <row r="8149">
      <c r="A8149" s="24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5" t="n">
        <v>103.694677</v>
      </c>
    </row>
    <row r="8150">
      <c r="A8150" s="24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5" t="n">
        <v>80.27617100000001</v>
      </c>
    </row>
    <row r="8151">
      <c r="A8151" s="24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5" t="n">
        <v>118.39247</v>
      </c>
    </row>
    <row r="8152">
      <c r="A8152" s="24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5" t="n">
        <v>102.250501</v>
      </c>
    </row>
    <row r="8153">
      <c r="A8153" s="24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5" t="n">
        <v>78.07877000000001</v>
      </c>
    </row>
    <row r="8154">
      <c r="A8154" s="24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5" t="n">
        <v>61.650324</v>
      </c>
    </row>
    <row r="8155">
      <c r="A8155" s="24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5" t="n">
        <v>60.879962</v>
      </c>
    </row>
    <row r="8156">
      <c r="A8156" s="24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5" t="n">
        <v>56.97213</v>
      </c>
    </row>
    <row r="8157">
      <c r="A8157" s="24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5" t="n">
        <v>104.559567</v>
      </c>
    </row>
    <row r="8158">
      <c r="A8158" s="24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5" t="n">
        <v>108.212034</v>
      </c>
    </row>
    <row r="8159">
      <c r="A8159" s="24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5" t="n">
        <v>86.47452699999999</v>
      </c>
    </row>
    <row r="8160">
      <c r="A8160" s="24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5" t="n">
        <v>69.02538699999999</v>
      </c>
    </row>
    <row r="8161">
      <c r="A8161" s="24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5" t="n">
        <v>57.838191</v>
      </c>
    </row>
    <row r="8162">
      <c r="A8162" s="24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5" t="n">
        <v>86.18556599999999</v>
      </c>
    </row>
    <row r="8163">
      <c r="A8163" s="24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5" t="n">
        <v>89.25623299999999</v>
      </c>
    </row>
    <row r="8164">
      <c r="A8164" s="24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5" t="n">
        <v>83.634789</v>
      </c>
    </row>
    <row r="8165">
      <c r="A8165" s="24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5" t="n">
        <v>105.168293</v>
      </c>
    </row>
    <row r="8166">
      <c r="A8166" s="24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5" t="n">
        <v>100.862706</v>
      </c>
    </row>
    <row r="8167">
      <c r="A8167" s="24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5" t="n">
        <v>92.88403700000001</v>
      </c>
    </row>
    <row r="8168">
      <c r="A8168" s="24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5" t="n">
        <v>85.152744</v>
      </c>
    </row>
    <row r="8169">
      <c r="A8169" s="24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5" t="n">
        <v>140.677726</v>
      </c>
    </row>
    <row r="8170">
      <c r="A8170" s="24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5" t="n">
        <v>162.072398</v>
      </c>
    </row>
    <row r="8171">
      <c r="A8171" s="24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5" t="n">
        <v>173.606662</v>
      </c>
    </row>
    <row r="8172">
      <c r="A8172" s="24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5" t="n">
        <v>186.509645</v>
      </c>
    </row>
    <row r="8173">
      <c r="A8173" s="24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5" t="n">
        <v>190.609404</v>
      </c>
    </row>
    <row r="8174">
      <c r="A8174" s="24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5" t="n">
        <v>170.004441</v>
      </c>
    </row>
    <row r="8175">
      <c r="A8175" s="24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5" t="n">
        <v>137.310109</v>
      </c>
    </row>
    <row r="8176">
      <c r="A8176" s="24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5" t="n">
        <v>107.348769</v>
      </c>
    </row>
    <row r="8177">
      <c r="A8177" s="24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5" t="n">
        <v>86.68178</v>
      </c>
    </row>
    <row r="8178">
      <c r="A8178" s="24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5" t="n">
        <v>69.96268600000001</v>
      </c>
    </row>
    <row r="8179">
      <c r="A8179" s="24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5" t="n">
        <v>57.927342</v>
      </c>
    </row>
    <row r="8180">
      <c r="A8180" s="24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5" t="n">
        <v>48.143958</v>
      </c>
    </row>
    <row r="8181">
      <c r="A8181" s="24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5" t="n">
        <v>40.707705</v>
      </c>
    </row>
    <row r="8182">
      <c r="A8182" s="24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5" t="n">
        <v>90.915932</v>
      </c>
    </row>
    <row r="8183">
      <c r="A8183" s="24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5" t="n">
        <v>106.218273</v>
      </c>
    </row>
    <row r="8184">
      <c r="A8184" s="24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5" t="n">
        <v>87.45750200000001</v>
      </c>
    </row>
    <row r="8185">
      <c r="A8185" s="24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5" t="n">
        <v>67.035707</v>
      </c>
    </row>
    <row r="8186">
      <c r="A8186" s="24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5" t="n">
        <v>57.489413</v>
      </c>
    </row>
    <row r="8187">
      <c r="A8187" s="24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5" t="n">
        <v>46.385419</v>
      </c>
    </row>
    <row r="8188">
      <c r="A8188" s="24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5" t="n">
        <v>37.722329</v>
      </c>
    </row>
    <row r="8189">
      <c r="A8189" s="24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5" t="n">
        <v>31.344304</v>
      </c>
    </row>
    <row r="8190">
      <c r="A8190" s="24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5" t="n">
        <v>27.07258</v>
      </c>
    </row>
    <row r="8191">
      <c r="A8191" s="24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5" t="n">
        <v>23.153747</v>
      </c>
    </row>
    <row r="8192">
      <c r="A8192" s="24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5" t="n">
        <v>31.875529</v>
      </c>
    </row>
    <row r="8193">
      <c r="A8193" s="24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5" t="n">
        <v>29.792075</v>
      </c>
    </row>
    <row r="8194">
      <c r="A8194" s="24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5" t="n">
        <v>54.039645</v>
      </c>
    </row>
    <row r="8195">
      <c r="A8195" s="24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5" t="n">
        <v>46.223371</v>
      </c>
    </row>
    <row r="8196">
      <c r="A8196" s="24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5" t="n">
        <v>35.032008</v>
      </c>
    </row>
    <row r="8197">
      <c r="A8197" s="24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5" t="n">
        <v>27.57374</v>
      </c>
    </row>
    <row r="8198">
      <c r="A8198" s="24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5" t="n">
        <v>22.524892</v>
      </c>
    </row>
    <row r="8199">
      <c r="A8199" s="24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5" t="n">
        <v>26.687685</v>
      </c>
    </row>
    <row r="8200">
      <c r="A8200" s="24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5" t="n">
        <v>22.875267</v>
      </c>
    </row>
    <row r="8201">
      <c r="A8201" s="24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5" t="n">
        <v>89.652795</v>
      </c>
    </row>
    <row r="8202">
      <c r="A8202" s="24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5" t="n">
        <v>130.97311</v>
      </c>
    </row>
    <row r="8203">
      <c r="A8203" s="24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5" t="n">
        <v>146.867167</v>
      </c>
    </row>
    <row r="8204">
      <c r="A8204" s="24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5" t="n">
        <v>174.622273</v>
      </c>
    </row>
    <row r="8205">
      <c r="A8205" s="24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5" t="n">
        <v>218.707394</v>
      </c>
    </row>
    <row r="8206">
      <c r="A8206" s="24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5" t="n">
        <v>221.783171</v>
      </c>
    </row>
    <row r="8207">
      <c r="A8207" s="24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5" t="n">
        <v>199.126701</v>
      </c>
    </row>
    <row r="8208">
      <c r="A8208" s="24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5" t="n">
        <v>194.253048</v>
      </c>
    </row>
    <row r="8209">
      <c r="A8209" s="24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5" t="n">
        <v>158.626749</v>
      </c>
    </row>
    <row r="8210">
      <c r="A8210" s="24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5" t="n">
        <v>121.409622</v>
      </c>
    </row>
    <row r="8211">
      <c r="A8211" s="24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5" t="n">
        <v>102.412266</v>
      </c>
    </row>
    <row r="8212">
      <c r="A8212" s="24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5" t="n">
        <v>97.78896</v>
      </c>
    </row>
    <row r="8213">
      <c r="A8213" s="24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5" t="n">
        <v>88.458619</v>
      </c>
    </row>
    <row r="8214">
      <c r="A8214" s="24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5" t="n">
        <v>74.871469</v>
      </c>
    </row>
    <row r="8215">
      <c r="A8215" s="24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5" t="n">
        <v>65.947407</v>
      </c>
    </row>
    <row r="8216">
      <c r="A8216" s="24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5" t="n">
        <v>68.686796</v>
      </c>
    </row>
    <row r="8217">
      <c r="A8217" s="24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5" t="n">
        <v>60.314852</v>
      </c>
    </row>
    <row r="8218">
      <c r="A8218" s="24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5" t="n">
        <v>50.661513</v>
      </c>
    </row>
    <row r="8219">
      <c r="A8219" s="24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5" t="n">
        <v>81.287223</v>
      </c>
    </row>
    <row r="8220">
      <c r="A8220" s="24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5" t="n">
        <v>74.23036</v>
      </c>
    </row>
    <row r="8221">
      <c r="A8221" s="24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5" t="n">
        <v>58.520472</v>
      </c>
    </row>
    <row r="8222">
      <c r="A8222" s="24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5" t="n">
        <v>51.84417</v>
      </c>
    </row>
    <row r="8223">
      <c r="A8223" s="24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5" t="n">
        <v>57.997477</v>
      </c>
    </row>
    <row r="8224">
      <c r="A8224" s="24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5" t="n">
        <v>62.908</v>
      </c>
    </row>
    <row r="8225">
      <c r="A8225" s="24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5" t="n">
        <v>71.666374</v>
      </c>
    </row>
    <row r="8226">
      <c r="A8226" s="24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5" t="n">
        <v>75.118887</v>
      </c>
    </row>
    <row r="8227">
      <c r="A8227" s="24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5" t="n">
        <v>72.333032</v>
      </c>
    </row>
    <row r="8228">
      <c r="A8228" s="24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5" t="n">
        <v>81.312879</v>
      </c>
    </row>
    <row r="8229">
      <c r="A8229" s="24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5" t="n">
        <v>119.039105</v>
      </c>
    </row>
    <row r="8230">
      <c r="A8230" s="24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5" t="n">
        <v>185.041714</v>
      </c>
    </row>
    <row r="8231">
      <c r="A8231" s="24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5" t="n">
        <v>205.262699</v>
      </c>
    </row>
    <row r="8232">
      <c r="A8232" s="24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5" t="n">
        <v>190.139496</v>
      </c>
    </row>
    <row r="8233">
      <c r="A8233" s="24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5" t="n">
        <v>187.158629</v>
      </c>
    </row>
    <row r="8234">
      <c r="A8234" s="24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5" t="n">
        <v>190.590937</v>
      </c>
    </row>
    <row r="8235">
      <c r="A8235" s="24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5" t="n">
        <v>182.083376</v>
      </c>
    </row>
    <row r="8236">
      <c r="A8236" s="24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5" t="n">
        <v>151.088085</v>
      </c>
    </row>
    <row r="8237">
      <c r="A8237" s="24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5" t="n">
        <v>138.179132</v>
      </c>
    </row>
    <row r="8238">
      <c r="A8238" s="24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5" t="n">
        <v>114.035048</v>
      </c>
    </row>
    <row r="8239">
      <c r="A8239" s="24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5" t="n">
        <v>92.18881500000001</v>
      </c>
    </row>
    <row r="8240">
      <c r="A8240" s="24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5" t="n">
        <v>74.79096800000001</v>
      </c>
    </row>
    <row r="8241">
      <c r="A8241" s="24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5" t="n">
        <v>61.066456</v>
      </c>
    </row>
    <row r="8242">
      <c r="A8242" s="24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5" t="n">
        <v>51.367608</v>
      </c>
    </row>
    <row r="8243">
      <c r="A8243" s="24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5" t="n">
        <v>43.560437</v>
      </c>
    </row>
    <row r="8244">
      <c r="A8244" s="24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5" t="n">
        <v>37.206906</v>
      </c>
    </row>
    <row r="8245">
      <c r="A8245" s="24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5" t="n">
        <v>31.798945</v>
      </c>
    </row>
    <row r="8246">
      <c r="A8246" s="24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5" t="n">
        <v>27.411251</v>
      </c>
    </row>
    <row r="8247">
      <c r="A8247" s="24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5" t="n">
        <v>23.827787</v>
      </c>
    </row>
    <row r="8248">
      <c r="A8248" s="24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5" t="n">
        <v>21.403511</v>
      </c>
    </row>
    <row r="8249">
      <c r="A8249" s="24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5" t="n">
        <v>19.196034</v>
      </c>
    </row>
    <row r="8250">
      <c r="A8250" s="24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5" t="n">
        <v>25.53993</v>
      </c>
    </row>
    <row r="8251">
      <c r="A8251" s="24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5" t="n">
        <v>36.699987</v>
      </c>
    </row>
    <row r="8252">
      <c r="A8252" s="24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5" t="n">
        <v>32.264356</v>
      </c>
    </row>
    <row r="8253">
      <c r="A8253" s="24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5" t="n">
        <v>25.615019</v>
      </c>
    </row>
    <row r="8254">
      <c r="A8254" s="24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5" t="n">
        <v>34.260472</v>
      </c>
    </row>
    <row r="8255">
      <c r="A8255" s="24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5" t="n">
        <v>37.13222</v>
      </c>
    </row>
    <row r="8256">
      <c r="A8256" s="24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5" t="n">
        <v>55.350978</v>
      </c>
    </row>
    <row r="8257">
      <c r="A8257" s="24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5" t="n">
        <v>45.898799</v>
      </c>
    </row>
    <row r="8258">
      <c r="A8258" s="24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5" t="n">
        <v>34.614171</v>
      </c>
    </row>
    <row r="8259">
      <c r="A8259" s="24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5" t="n">
        <v>27.072127</v>
      </c>
    </row>
    <row r="8260">
      <c r="A8260" s="24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5" t="n">
        <v>21.851707</v>
      </c>
    </row>
    <row r="8261">
      <c r="A8261" s="24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5" t="n">
        <v>17.988835</v>
      </c>
    </row>
    <row r="8262">
      <c r="A8262" s="24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5" t="n">
        <v>15.061655</v>
      </c>
    </row>
    <row r="8263">
      <c r="A8263" s="24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5" t="n">
        <v>12.792833</v>
      </c>
    </row>
    <row r="8264">
      <c r="A8264" s="24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5" t="n">
        <v>10.994354</v>
      </c>
    </row>
    <row r="8265">
      <c r="A8265" s="24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5" t="n">
        <v>9.541169</v>
      </c>
    </row>
    <row r="8266">
      <c r="A8266" s="24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5" t="n">
        <v>8.355052000000001</v>
      </c>
    </row>
    <row r="8267">
      <c r="A8267" s="24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5" t="n">
        <v>7.418514</v>
      </c>
    </row>
    <row r="8268">
      <c r="A8268" s="24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5" t="n">
        <v>7.151458</v>
      </c>
    </row>
    <row r="8269">
      <c r="A8269" s="24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5" t="n">
        <v>6.282881</v>
      </c>
    </row>
    <row r="8270">
      <c r="A8270" s="24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5" t="n">
        <v>6.420109</v>
      </c>
    </row>
    <row r="8271">
      <c r="A8271" s="24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5" t="n">
        <v>5.743328</v>
      </c>
    </row>
    <row r="8272">
      <c r="A8272" s="24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5" t="n">
        <v>6.170147</v>
      </c>
    </row>
    <row r="8273">
      <c r="A8273" s="24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5" t="n">
        <v>9.144429000000001</v>
      </c>
    </row>
    <row r="8274">
      <c r="A8274" s="24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5" t="n">
        <v>19.444149</v>
      </c>
    </row>
    <row r="8275">
      <c r="A8275" s="24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5" t="n">
        <v>20.057768</v>
      </c>
    </row>
    <row r="8276">
      <c r="A8276" s="24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5" t="n">
        <v>15.853068</v>
      </c>
    </row>
    <row r="8277">
      <c r="A8277" s="24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5" t="n">
        <v>12.290923</v>
      </c>
    </row>
    <row r="8278">
      <c r="A8278" s="24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5" t="n">
        <v>9.691314</v>
      </c>
    </row>
    <row r="8279">
      <c r="A8279" s="24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5" t="n">
        <v>63.016875</v>
      </c>
    </row>
    <row r="8280">
      <c r="A8280" s="24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5" t="n">
        <v>51.830704</v>
      </c>
    </row>
    <row r="8281">
      <c r="A8281" s="24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5" t="n">
        <v>36.680586</v>
      </c>
    </row>
    <row r="8282">
      <c r="A8282" s="24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5" t="n">
        <v>27.415457</v>
      </c>
    </row>
    <row r="8283">
      <c r="A8283" s="24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5" t="n">
        <v>21.189102</v>
      </c>
    </row>
    <row r="8284">
      <c r="A8284" s="24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5" t="n">
        <v>16.798866</v>
      </c>
    </row>
    <row r="8285">
      <c r="A8285" s="24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5" t="n">
        <v>13.590276</v>
      </c>
    </row>
    <row r="8286">
      <c r="A8286" s="24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5" t="n">
        <v>11.186108</v>
      </c>
    </row>
    <row r="8287">
      <c r="A8287" s="24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5" t="n">
        <v>9.343215000000001</v>
      </c>
    </row>
    <row r="8288">
      <c r="A8288" s="24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5" t="n">
        <v>7.902281</v>
      </c>
    </row>
    <row r="8289">
      <c r="A8289" s="24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5" t="n">
        <v>6.818519</v>
      </c>
    </row>
    <row r="8290">
      <c r="A8290" s="24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5" t="n">
        <v>6.06063</v>
      </c>
    </row>
    <row r="8291">
      <c r="A8291" s="24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5" t="n">
        <v>11.267516</v>
      </c>
    </row>
    <row r="8292">
      <c r="A8292" s="24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5" t="n">
        <v>64.355716</v>
      </c>
    </row>
    <row r="8293">
      <c r="A8293" s="24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5" t="n">
        <v>115.901124</v>
      </c>
    </row>
    <row r="8294">
      <c r="A8294" s="24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5" t="n">
        <v>131.653584</v>
      </c>
    </row>
    <row r="8295">
      <c r="A8295" s="24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5" t="n">
        <v>112.527437</v>
      </c>
    </row>
    <row r="8296">
      <c r="A8296" s="24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5" t="n">
        <v>86.02065899999999</v>
      </c>
    </row>
    <row r="8297">
      <c r="A8297" s="24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5" t="n">
        <v>76.23327</v>
      </c>
    </row>
    <row r="8298">
      <c r="A8298" s="24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5" t="n">
        <v>113.207127</v>
      </c>
    </row>
    <row r="8299">
      <c r="A8299" s="24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5" t="n">
        <v>88.61379100000001</v>
      </c>
    </row>
    <row r="8300">
      <c r="A8300" s="24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5" t="n">
        <v>65.764934</v>
      </c>
    </row>
    <row r="8301">
      <c r="A8301" s="24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5" t="n">
        <v>51.002114</v>
      </c>
    </row>
    <row r="8302">
      <c r="A8302" s="24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5" t="n">
        <v>40.943942</v>
      </c>
    </row>
    <row r="8303">
      <c r="A8303" s="24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5" t="n">
        <v>43.012813</v>
      </c>
    </row>
    <row r="8304">
      <c r="A8304" s="24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5" t="n">
        <v>37.5034</v>
      </c>
    </row>
    <row r="8305">
      <c r="A8305" s="24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5" t="n">
        <v>30.113412</v>
      </c>
    </row>
    <row r="8306">
      <c r="A8306" s="24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5" t="n">
        <v>24.564457</v>
      </c>
    </row>
    <row r="8307">
      <c r="A8307" s="24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5" t="n">
        <v>20.447396</v>
      </c>
    </row>
    <row r="8308">
      <c r="A8308" s="24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5" t="n">
        <v>17.268379</v>
      </c>
    </row>
    <row r="8309">
      <c r="A8309" s="24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5" t="n">
        <v>14.75011</v>
      </c>
    </row>
    <row r="8310">
      <c r="A8310" s="24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5" t="n">
        <v>12.71713</v>
      </c>
    </row>
    <row r="8311">
      <c r="A8311" s="24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5" t="n">
        <v>11.0502</v>
      </c>
    </row>
    <row r="8312">
      <c r="A8312" s="24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5" t="n">
        <v>10.528532</v>
      </c>
    </row>
    <row r="8313">
      <c r="A8313" s="24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5" t="n">
        <v>16.278967</v>
      </c>
    </row>
    <row r="8314">
      <c r="A8314" s="24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5" t="n">
        <v>15.056591</v>
      </c>
    </row>
    <row r="8315">
      <c r="A8315" s="24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5" t="n">
        <v>23.383431</v>
      </c>
    </row>
    <row r="8316">
      <c r="A8316" s="24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5" t="n">
        <v>76.156319</v>
      </c>
    </row>
    <row r="8317">
      <c r="A8317" s="24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5" t="n">
        <v>81.004407</v>
      </c>
    </row>
    <row r="8318">
      <c r="A8318" s="24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5" t="n">
        <v>59.033433</v>
      </c>
    </row>
    <row r="8319">
      <c r="A8319" s="24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5" t="n">
        <v>43.741973</v>
      </c>
    </row>
    <row r="8320">
      <c r="A8320" s="24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5" t="n">
        <v>33.61905</v>
      </c>
    </row>
    <row r="8321">
      <c r="A8321" s="24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5" t="n">
        <v>26.534538</v>
      </c>
    </row>
    <row r="8322">
      <c r="A8322" s="24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5" t="n">
        <v>21.393145</v>
      </c>
    </row>
    <row r="8323">
      <c r="A8323" s="24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5" t="n">
        <v>17.560673</v>
      </c>
    </row>
    <row r="8324">
      <c r="A8324" s="24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5" t="n">
        <v>14.636498</v>
      </c>
    </row>
    <row r="8325">
      <c r="A8325" s="24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5" t="n">
        <v>12.35862</v>
      </c>
    </row>
    <row r="8326">
      <c r="A8326" s="24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5" t="n">
        <v>10.549581</v>
      </c>
    </row>
    <row r="8327">
      <c r="A8327" s="24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5" t="n">
        <v>9.765298</v>
      </c>
    </row>
    <row r="8328">
      <c r="A8328" s="24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5" t="n">
        <v>49.946</v>
      </c>
    </row>
    <row r="8329">
      <c r="A8329" s="24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5" t="n">
        <v>59.890728</v>
      </c>
    </row>
    <row r="8330">
      <c r="A8330" s="24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5" t="n">
        <v>68.41298</v>
      </c>
    </row>
    <row r="8331">
      <c r="A8331" s="24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5" t="n">
        <v>94.19472</v>
      </c>
    </row>
    <row r="8332">
      <c r="A8332" s="24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5" t="n">
        <v>72.87567900000001</v>
      </c>
    </row>
    <row r="8333">
      <c r="A8333" s="24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5" t="n">
        <v>53.340052</v>
      </c>
    </row>
    <row r="8334">
      <c r="A8334" s="24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5" t="n">
        <v>50.685537</v>
      </c>
    </row>
    <row r="8335">
      <c r="A8335" s="24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5" t="n">
        <v>68.591678</v>
      </c>
    </row>
    <row r="8336">
      <c r="A8336" s="24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5" t="n">
        <v>55.33773</v>
      </c>
    </row>
    <row r="8337">
      <c r="A8337" s="24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5" t="n">
        <v>41.758604</v>
      </c>
    </row>
    <row r="8338">
      <c r="A8338" s="24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5" t="n">
        <v>32.693894</v>
      </c>
    </row>
    <row r="8339">
      <c r="A8339" s="24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5" t="n">
        <v>26.271338</v>
      </c>
    </row>
    <row r="8340">
      <c r="A8340" s="24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5" t="n">
        <v>21.528883</v>
      </c>
    </row>
    <row r="8341">
      <c r="A8341" s="24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5" t="n">
        <v>17.921113</v>
      </c>
    </row>
    <row r="8342">
      <c r="A8342" s="24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5" t="n">
        <v>15.114612</v>
      </c>
    </row>
    <row r="8343">
      <c r="A8343" s="24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5" t="n">
        <v>12.93502</v>
      </c>
    </row>
    <row r="8344">
      <c r="A8344" s="24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5" t="n">
        <v>12.119188</v>
      </c>
    </row>
    <row r="8345">
      <c r="A8345" s="24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5" t="n">
        <v>17.603791</v>
      </c>
    </row>
    <row r="8346">
      <c r="A8346" s="24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5" t="n">
        <v>16.179146</v>
      </c>
    </row>
    <row r="8347">
      <c r="A8347" s="24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5" t="n">
        <v>13.943783</v>
      </c>
    </row>
    <row r="8348">
      <c r="A8348" s="24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5" t="n">
        <v>12.436991</v>
      </c>
    </row>
    <row r="8349">
      <c r="A8349" s="24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5" t="n">
        <v>10.310055</v>
      </c>
    </row>
    <row r="8350">
      <c r="A8350" s="24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5" t="n">
        <v>13.853895</v>
      </c>
    </row>
    <row r="8351">
      <c r="A8351" s="24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5" t="n">
        <v>11.517212</v>
      </c>
    </row>
    <row r="8352">
      <c r="A8352" s="24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5" t="n">
        <v>9.689047</v>
      </c>
    </row>
    <row r="8353">
      <c r="A8353" s="24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5" t="n">
        <v>8.150948</v>
      </c>
    </row>
    <row r="8354">
      <c r="A8354" s="24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5" t="n">
        <v>9.768250999999999</v>
      </c>
    </row>
    <row r="8355">
      <c r="A8355" s="24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5" t="n">
        <v>8.749568999999999</v>
      </c>
    </row>
    <row r="8356">
      <c r="A8356" s="24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5" t="n">
        <v>7.180112</v>
      </c>
    </row>
    <row r="8357">
      <c r="A8357" s="24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5" t="n">
        <v>5.994028</v>
      </c>
    </row>
    <row r="8358">
      <c r="A8358" s="24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5" t="n">
        <v>5.033387</v>
      </c>
    </row>
    <row r="8359">
      <c r="A8359" s="24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5" t="n">
        <v>4.28819</v>
      </c>
    </row>
    <row r="8360">
      <c r="A8360" s="24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5" t="n">
        <v>3.702928</v>
      </c>
    </row>
    <row r="8361">
      <c r="A8361" s="24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5" t="n">
        <v>3.230901</v>
      </c>
    </row>
    <row r="8362">
      <c r="A8362" s="24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5" t="n">
        <v>2.840208</v>
      </c>
    </row>
    <row r="8363">
      <c r="A8363" s="24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5" t="n">
        <v>2.517185</v>
      </c>
    </row>
    <row r="8364">
      <c r="A8364" s="24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5" t="n">
        <v>2.241745</v>
      </c>
    </row>
    <row r="8365">
      <c r="A8365" s="24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5" t="n">
        <v>2.366472</v>
      </c>
    </row>
    <row r="8366">
      <c r="A8366" s="24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5" t="n">
        <v>32.486534</v>
      </c>
    </row>
    <row r="8367">
      <c r="A8367" s="24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5" t="n">
        <v>30.866354</v>
      </c>
    </row>
    <row r="8368">
      <c r="A8368" s="24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5" t="n">
        <v>46.828564</v>
      </c>
    </row>
    <row r="8369">
      <c r="A8369" s="24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5" t="n">
        <v>77.98779500000001</v>
      </c>
    </row>
    <row r="8370">
      <c r="A8370" s="24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5" t="n">
        <v>87.990863</v>
      </c>
    </row>
    <row r="8371">
      <c r="A8371" s="24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5" t="n">
        <v>78.835474</v>
      </c>
    </row>
    <row r="8372">
      <c r="A8372" s="24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5" t="n">
        <v>76.46211</v>
      </c>
    </row>
    <row r="8373">
      <c r="A8373" s="24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5" t="n">
        <v>62.866921</v>
      </c>
    </row>
    <row r="8374">
      <c r="A8374" s="24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5" t="n">
        <v>77.161733</v>
      </c>
    </row>
    <row r="8375">
      <c r="A8375" s="24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5" t="n">
        <v>62.269169</v>
      </c>
    </row>
    <row r="8376">
      <c r="A8376" s="24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5" t="n">
        <v>57.739329</v>
      </c>
    </row>
    <row r="8377">
      <c r="A8377" s="24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5" t="n">
        <v>62.62235</v>
      </c>
    </row>
    <row r="8378">
      <c r="A8378" s="24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5" t="n">
        <v>53.93769</v>
      </c>
    </row>
    <row r="8379">
      <c r="A8379" s="24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5" t="n">
        <v>43.390754</v>
      </c>
    </row>
    <row r="8380">
      <c r="A8380" s="24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5" t="n">
        <v>53.032611</v>
      </c>
    </row>
    <row r="8381">
      <c r="A8381" s="24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5" t="n">
        <v>90.551467</v>
      </c>
    </row>
    <row r="8382">
      <c r="A8382" s="24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5" t="n">
        <v>105.152617</v>
      </c>
    </row>
    <row r="8383">
      <c r="A8383" s="24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5" t="n">
        <v>133.573654</v>
      </c>
    </row>
    <row r="8384">
      <c r="A8384" s="24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5" t="n">
        <v>106.003735</v>
      </c>
    </row>
    <row r="8385">
      <c r="A8385" s="24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5" t="n">
        <v>111.547056</v>
      </c>
    </row>
    <row r="8386">
      <c r="A8386" s="24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5" t="n">
        <v>92.30850100000001</v>
      </c>
    </row>
    <row r="8387">
      <c r="A8387" s="24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5" t="n">
        <v>70.426473</v>
      </c>
    </row>
    <row r="8388">
      <c r="A8388" s="24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5" t="n">
        <v>54.901766</v>
      </c>
    </row>
    <row r="8389">
      <c r="A8389" s="24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5" t="n">
        <v>45.594637</v>
      </c>
    </row>
    <row r="8390">
      <c r="A8390" s="24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5" t="n">
        <v>49.672084</v>
      </c>
    </row>
    <row r="8391">
      <c r="A8391" s="24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5" t="n">
        <v>40.975656</v>
      </c>
    </row>
    <row r="8392">
      <c r="A8392" s="24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5" t="n">
        <v>46.081263</v>
      </c>
    </row>
    <row r="8393">
      <c r="A8393" s="24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5" t="n">
        <v>47.785192</v>
      </c>
    </row>
    <row r="8394">
      <c r="A8394" s="24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5" t="n">
        <v>49.796957</v>
      </c>
    </row>
    <row r="8395">
      <c r="A8395" s="24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5" t="n">
        <v>49.508785</v>
      </c>
    </row>
    <row r="8396">
      <c r="A8396" s="24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5" t="n">
        <v>66.205122</v>
      </c>
    </row>
    <row r="8397">
      <c r="A8397" s="24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5" t="n">
        <v>54.036372</v>
      </c>
    </row>
    <row r="8398">
      <c r="A8398" s="24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5" t="n">
        <v>43.215383</v>
      </c>
    </row>
    <row r="8399">
      <c r="A8399" s="24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5" t="n">
        <v>34.08238</v>
      </c>
    </row>
    <row r="8400">
      <c r="A8400" s="24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5" t="n">
        <v>29.387791</v>
      </c>
    </row>
    <row r="8401">
      <c r="A8401" s="24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5" t="n">
        <v>24.295433</v>
      </c>
    </row>
    <row r="8402">
      <c r="A8402" s="24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5" t="n">
        <v>20.100443</v>
      </c>
    </row>
    <row r="8403">
      <c r="A8403" s="24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5" t="n">
        <v>17.387938</v>
      </c>
    </row>
    <row r="8404">
      <c r="A8404" s="24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5" t="n">
        <v>16.615942</v>
      </c>
    </row>
    <row r="8405">
      <c r="A8405" s="24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5" t="n">
        <v>18.307974</v>
      </c>
    </row>
    <row r="8406">
      <c r="A8406" s="24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5" t="n">
        <v>35.46705</v>
      </c>
    </row>
    <row r="8407">
      <c r="A8407" s="24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5" t="n">
        <v>69.21205999999999</v>
      </c>
    </row>
    <row r="8408">
      <c r="A8408" s="24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5" t="n">
        <v>80.66564099999999</v>
      </c>
    </row>
    <row r="8409">
      <c r="A8409" s="24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5" t="n">
        <v>101.573573</v>
      </c>
    </row>
    <row r="8410">
      <c r="A8410" s="24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5" t="n">
        <v>100.508987</v>
      </c>
    </row>
    <row r="8411">
      <c r="A8411" s="24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5" t="n">
        <v>91.598941</v>
      </c>
    </row>
    <row r="8412">
      <c r="A8412" s="24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5" t="n">
        <v>77.489288</v>
      </c>
    </row>
    <row r="8413">
      <c r="A8413" s="24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5" t="n">
        <v>70.46138000000001</v>
      </c>
    </row>
    <row r="8414">
      <c r="A8414" s="24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5" t="n">
        <v>75.18275</v>
      </c>
    </row>
    <row r="8415">
      <c r="A8415" s="24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5" t="n">
        <v>95.243191</v>
      </c>
    </row>
    <row r="8416">
      <c r="A8416" s="24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5" t="n">
        <v>74.96846499999999</v>
      </c>
    </row>
    <row r="8417">
      <c r="A8417" s="24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5" t="n">
        <v>92.352682</v>
      </c>
    </row>
    <row r="8418">
      <c r="A8418" s="24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5" t="n">
        <v>92.614751</v>
      </c>
    </row>
    <row r="8419">
      <c r="A8419" s="24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5" t="n">
        <v>76.496309</v>
      </c>
    </row>
    <row r="8420">
      <c r="A8420" s="24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5" t="n">
        <v>63.052477</v>
      </c>
    </row>
    <row r="8421">
      <c r="A8421" s="24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5" t="n">
        <v>67.192733</v>
      </c>
    </row>
    <row r="8422">
      <c r="A8422" s="24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5" t="n">
        <v>54.549563</v>
      </c>
    </row>
    <row r="8423">
      <c r="A8423" s="24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5" t="n">
        <v>49.297738</v>
      </c>
    </row>
    <row r="8424">
      <c r="A8424" s="24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5" t="n">
        <v>43.680801</v>
      </c>
    </row>
    <row r="8425">
      <c r="A8425" s="24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5" t="n">
        <v>38.471885</v>
      </c>
    </row>
    <row r="8426">
      <c r="A8426" s="24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5" t="n">
        <v>44.376845</v>
      </c>
    </row>
    <row r="8427">
      <c r="A8427" s="24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5" t="n">
        <v>38.052487</v>
      </c>
    </row>
    <row r="8428">
      <c r="A8428" s="24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5" t="n">
        <v>32.038507</v>
      </c>
    </row>
    <row r="8429">
      <c r="A8429" s="24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5" t="n">
        <v>29.133947</v>
      </c>
    </row>
    <row r="8430">
      <c r="A8430" s="24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5" t="n">
        <v>24.62101</v>
      </c>
    </row>
    <row r="8431">
      <c r="A8431" s="24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5" t="n">
        <v>20.499445</v>
      </c>
    </row>
    <row r="8432">
      <c r="A8432" s="24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5" t="n">
        <v>19.843682</v>
      </c>
    </row>
    <row r="8433">
      <c r="A8433" s="24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5" t="n">
        <v>18.309425</v>
      </c>
    </row>
    <row r="8434">
      <c r="A8434" s="24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5" t="n">
        <v>16.46576</v>
      </c>
    </row>
    <row r="8435">
      <c r="A8435" s="24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5" t="n">
        <v>15.352652</v>
      </c>
    </row>
    <row r="8436">
      <c r="A8436" s="24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5" t="n">
        <v>31.944222</v>
      </c>
    </row>
    <row r="8437">
      <c r="A8437" s="24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5" t="n">
        <v>78.433494</v>
      </c>
    </row>
    <row r="8438">
      <c r="A8438" s="24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5" t="n">
        <v>108.073575</v>
      </c>
    </row>
    <row r="8439">
      <c r="A8439" s="24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5" t="n">
        <v>85.787668</v>
      </c>
    </row>
    <row r="8440">
      <c r="A8440" s="24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5" t="n">
        <v>69.463447</v>
      </c>
    </row>
    <row r="8441">
      <c r="A8441" s="24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5" t="n">
        <v>76.08781</v>
      </c>
    </row>
    <row r="8442">
      <c r="A8442" s="24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5" t="n">
        <v>81.896305</v>
      </c>
    </row>
    <row r="8443">
      <c r="A8443" s="24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5" t="n">
        <v>66.727586</v>
      </c>
    </row>
    <row r="8444">
      <c r="A8444" s="24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5" t="n">
        <v>62.692161</v>
      </c>
    </row>
    <row r="8445">
      <c r="A8445" s="24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5" t="n">
        <v>49.369142</v>
      </c>
    </row>
    <row r="8446">
      <c r="A8446" s="24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5" t="n">
        <v>53.464983</v>
      </c>
    </row>
    <row r="8447">
      <c r="A8447" s="24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5" t="n">
        <v>49.81444</v>
      </c>
    </row>
    <row r="8448">
      <c r="A8448" s="24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5" t="n">
        <v>46.071605</v>
      </c>
    </row>
    <row r="8449">
      <c r="A8449" s="24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5" t="n">
        <v>43.97166</v>
      </c>
    </row>
    <row r="8450">
      <c r="A8450" s="24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5" t="n">
        <v>37.303993</v>
      </c>
    </row>
    <row r="8451">
      <c r="A8451" s="24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5" t="n">
        <v>30.283106</v>
      </c>
    </row>
    <row r="8452">
      <c r="A8452" s="24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5" t="n">
        <v>26.04414</v>
      </c>
    </row>
    <row r="8453">
      <c r="A8453" s="24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5" t="n">
        <v>21.63181</v>
      </c>
    </row>
    <row r="8454">
      <c r="A8454" s="24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5" t="n">
        <v>26.783846</v>
      </c>
    </row>
    <row r="8455">
      <c r="A8455" s="24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5" t="n">
        <v>25.747786</v>
      </c>
    </row>
    <row r="8456">
      <c r="A8456" s="24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5" t="n">
        <v>40.031985</v>
      </c>
    </row>
    <row r="8457">
      <c r="A8457" s="24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5" t="n">
        <v>32.253207</v>
      </c>
    </row>
    <row r="8458">
      <c r="A8458" s="24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5" t="n">
        <v>43.721442</v>
      </c>
    </row>
    <row r="8459">
      <c r="A8459" s="24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5" t="n">
        <v>46.616852</v>
      </c>
    </row>
    <row r="8460">
      <c r="A8460" s="24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5" t="n">
        <v>47.623886</v>
      </c>
    </row>
    <row r="8461">
      <c r="A8461" s="24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5" t="n">
        <v>42.203039</v>
      </c>
    </row>
    <row r="8462">
      <c r="A8462" s="24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5" t="n">
        <v>34.374539</v>
      </c>
    </row>
    <row r="8463">
      <c r="A8463" s="24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5" t="n">
        <v>27.024119</v>
      </c>
    </row>
    <row r="8464">
      <c r="A8464" s="24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5" t="n">
        <v>44.486951</v>
      </c>
    </row>
    <row r="8465">
      <c r="A8465" s="24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5" t="n">
        <v>43.396958</v>
      </c>
    </row>
    <row r="8466">
      <c r="A8466" s="24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5" t="n">
        <v>75.23496900000001</v>
      </c>
    </row>
    <row r="8467">
      <c r="A8467" s="24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5" t="n">
        <v>83.264211</v>
      </c>
    </row>
    <row r="8468">
      <c r="A8468" s="24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5" t="n">
        <v>89.840519</v>
      </c>
    </row>
    <row r="8469">
      <c r="A8469" s="24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5" t="n">
        <v>95.385492</v>
      </c>
    </row>
    <row r="8470">
      <c r="A8470" s="24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5" t="n">
        <v>84.174603</v>
      </c>
    </row>
    <row r="8471">
      <c r="A8471" s="24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5" t="n">
        <v>90.25411699999999</v>
      </c>
    </row>
    <row r="8472">
      <c r="A8472" s="24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5" t="n">
        <v>113.887136</v>
      </c>
    </row>
    <row r="8473">
      <c r="A8473" s="24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5" t="n">
        <v>149.78754</v>
      </c>
    </row>
    <row r="8474">
      <c r="A8474" s="24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5" t="n">
        <v>164.325923</v>
      </c>
    </row>
    <row r="8475">
      <c r="A8475" s="24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5" t="n">
        <v>144.432634</v>
      </c>
    </row>
    <row r="8476">
      <c r="A8476" s="24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5" t="n">
        <v>115.986714</v>
      </c>
    </row>
    <row r="8477">
      <c r="A8477" s="24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5" t="n">
        <v>93.38150899999999</v>
      </c>
    </row>
    <row r="8478">
      <c r="A8478" s="24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5" t="n">
        <v>101.451031</v>
      </c>
    </row>
    <row r="8479">
      <c r="A8479" s="24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5" t="n">
        <v>126.403271</v>
      </c>
    </row>
    <row r="8480">
      <c r="A8480" s="24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5" t="n">
        <v>100.244799</v>
      </c>
    </row>
    <row r="8481">
      <c r="A8481" s="24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5" t="n">
        <v>100.154818</v>
      </c>
    </row>
    <row r="8482">
      <c r="A8482" s="24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5" t="n">
        <v>107.758937</v>
      </c>
    </row>
    <row r="8483">
      <c r="A8483" s="24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5" t="n">
        <v>94.744882</v>
      </c>
    </row>
    <row r="8484">
      <c r="A8484" s="24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5" t="n">
        <v>78.265334</v>
      </c>
    </row>
    <row r="8485">
      <c r="A8485" s="24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5" t="n">
        <v>62.189151</v>
      </c>
    </row>
    <row r="8486">
      <c r="A8486" s="24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5" t="n">
        <v>52.861368</v>
      </c>
    </row>
    <row r="8487">
      <c r="A8487" s="24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5" t="n">
        <v>49.114069</v>
      </c>
    </row>
    <row r="8488">
      <c r="A8488" s="24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5" t="n">
        <v>48.800566</v>
      </c>
    </row>
    <row r="8489">
      <c r="A8489" s="24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5" t="n">
        <v>54.826289</v>
      </c>
    </row>
    <row r="8490">
      <c r="A8490" s="24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5" t="n">
        <v>77.54844799999999</v>
      </c>
    </row>
    <row r="8491">
      <c r="A8491" s="24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5" t="n">
        <v>99.875185</v>
      </c>
    </row>
    <row r="8492">
      <c r="A8492" s="24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5" t="n">
        <v>86.24055</v>
      </c>
    </row>
    <row r="8493">
      <c r="A8493" s="24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5" t="n">
        <v>119.181459</v>
      </c>
    </row>
    <row r="8494">
      <c r="A8494" s="24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5" t="n">
        <v>97.484261</v>
      </c>
    </row>
    <row r="8495">
      <c r="A8495" s="24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5" t="n">
        <v>101.894596</v>
      </c>
    </row>
    <row r="8496">
      <c r="A8496" s="24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5" t="n">
        <v>137.879853</v>
      </c>
    </row>
    <row r="8497">
      <c r="A8497" s="24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5" t="n">
        <v>136.749557</v>
      </c>
    </row>
    <row r="8498">
      <c r="A8498" s="24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5" t="n">
        <v>159.326003</v>
      </c>
    </row>
    <row r="8499">
      <c r="A8499" s="24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5" t="n">
        <v>132.254927</v>
      </c>
    </row>
    <row r="8500">
      <c r="A8500" s="24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5" t="n">
        <v>151.387804</v>
      </c>
    </row>
    <row r="8501">
      <c r="A8501" s="24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5" t="n">
        <v>121.521001</v>
      </c>
    </row>
    <row r="8502">
      <c r="A8502" s="24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5" t="n">
        <v>99.849726</v>
      </c>
    </row>
    <row r="8503">
      <c r="A8503" s="24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5" t="n">
        <v>108.596448</v>
      </c>
    </row>
    <row r="8504">
      <c r="A8504" s="24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5" t="n">
        <v>123.706963</v>
      </c>
    </row>
    <row r="8505">
      <c r="A8505" s="24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5" t="n">
        <v>110.631513</v>
      </c>
    </row>
    <row r="8506">
      <c r="A8506" s="24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5" t="n">
        <v>117.746929</v>
      </c>
    </row>
    <row r="8507">
      <c r="A8507" s="24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5" t="n">
        <v>125.035899</v>
      </c>
    </row>
    <row r="8508">
      <c r="A8508" s="24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5" t="n">
        <v>136.565418</v>
      </c>
    </row>
    <row r="8509">
      <c r="A8509" s="24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5" t="n">
        <v>116.714797</v>
      </c>
    </row>
    <row r="8510">
      <c r="A8510" s="24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5" t="n">
        <v>110.720524</v>
      </c>
    </row>
    <row r="8511">
      <c r="A8511" s="24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5" t="n">
        <v>107.506576</v>
      </c>
    </row>
    <row r="8512">
      <c r="A8512" s="24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5" t="n">
        <v>93.113856</v>
      </c>
    </row>
    <row r="8513">
      <c r="A8513" s="24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5" t="n">
        <v>75.712512</v>
      </c>
    </row>
    <row r="8514">
      <c r="A8514" s="24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5" t="n">
        <v>69.050988</v>
      </c>
    </row>
    <row r="8515">
      <c r="A8515" s="24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5" t="n">
        <v>66.959256</v>
      </c>
    </row>
    <row r="8516">
      <c r="A8516" s="24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5" t="n">
        <v>85.380099</v>
      </c>
    </row>
    <row r="8517">
      <c r="A8517" s="24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5" t="n">
        <v>71.108214</v>
      </c>
    </row>
    <row r="8518">
      <c r="A8518" s="24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5" t="n">
        <v>73.292164</v>
      </c>
    </row>
    <row r="8519">
      <c r="A8519" s="24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5" t="n">
        <v>69.18879099999999</v>
      </c>
    </row>
    <row r="8520">
      <c r="A8520" s="24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5" t="n">
        <v>77.303381</v>
      </c>
    </row>
    <row r="8521">
      <c r="A8521" s="24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5" t="n">
        <v>76.198881</v>
      </c>
    </row>
    <row r="8522">
      <c r="A8522" s="24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5" t="n">
        <v>70.221964</v>
      </c>
    </row>
    <row r="8523">
      <c r="A8523" s="24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5" t="n">
        <v>80.27308499999999</v>
      </c>
    </row>
    <row r="8524">
      <c r="A8524" s="24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5" t="n">
        <v>95.38858399999999</v>
      </c>
    </row>
    <row r="8525">
      <c r="A8525" s="24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5" t="n">
        <v>126.727169</v>
      </c>
    </row>
    <row r="8526">
      <c r="A8526" s="24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5" t="n">
        <v>122.871634</v>
      </c>
    </row>
    <row r="8527">
      <c r="A8527" s="24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5" t="n">
        <v>119.139056</v>
      </c>
    </row>
    <row r="8528">
      <c r="A8528" s="24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5" t="n">
        <v>132.127767</v>
      </c>
    </row>
    <row r="8529">
      <c r="A8529" s="24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5" t="n">
        <v>126.982033</v>
      </c>
    </row>
    <row r="8530">
      <c r="A8530" s="24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5" t="n">
        <v>104.576891</v>
      </c>
    </row>
    <row r="8531">
      <c r="A8531" s="24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5" t="n">
        <v>94.61857000000001</v>
      </c>
    </row>
    <row r="8532">
      <c r="A8532" s="24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5" t="n">
        <v>104.814146</v>
      </c>
    </row>
    <row r="8533">
      <c r="A8533" s="24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5" t="n">
        <v>105.798242</v>
      </c>
    </row>
    <row r="8534">
      <c r="A8534" s="24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5" t="n">
        <v>100.790856</v>
      </c>
    </row>
    <row r="8535">
      <c r="A8535" s="24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5" t="n">
        <v>83.830742</v>
      </c>
    </row>
    <row r="8536">
      <c r="A8536" s="24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5" t="n">
        <v>67.45115699999999</v>
      </c>
    </row>
    <row r="8537">
      <c r="A8537" s="24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5" t="n">
        <v>59.301005</v>
      </c>
    </row>
    <row r="8538">
      <c r="A8538" s="24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5" t="n">
        <v>106.468024</v>
      </c>
    </row>
    <row r="8539">
      <c r="A8539" s="24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5" t="n">
        <v>135.199911</v>
      </c>
    </row>
    <row r="8540">
      <c r="A8540" s="24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5" t="n">
        <v>154.126188</v>
      </c>
    </row>
    <row r="8541">
      <c r="A8541" s="24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5" t="n">
        <v>133.512465</v>
      </c>
    </row>
    <row r="8542">
      <c r="A8542" s="24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5" t="n">
        <v>100.783394</v>
      </c>
    </row>
    <row r="8543">
      <c r="A8543" s="24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5" t="n">
        <v>77.596554</v>
      </c>
    </row>
    <row r="8544">
      <c r="A8544" s="24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5" t="n">
        <v>62.041208</v>
      </c>
    </row>
    <row r="8545">
      <c r="A8545" s="24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5" t="n">
        <v>57.81116</v>
      </c>
    </row>
    <row r="8546">
      <c r="A8546" s="24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5" t="n">
        <v>57.098473</v>
      </c>
    </row>
    <row r="8547">
      <c r="A8547" s="24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5" t="n">
        <v>65.806905</v>
      </c>
    </row>
    <row r="8548">
      <c r="A8548" s="24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5" t="n">
        <v>92.157758</v>
      </c>
    </row>
    <row r="8549">
      <c r="A8549" s="24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5" t="n">
        <v>76.124734</v>
      </c>
    </row>
    <row r="8550">
      <c r="A8550" s="24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5" t="n">
        <v>59.889007</v>
      </c>
    </row>
    <row r="8551">
      <c r="A8551" s="24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5" t="n">
        <v>64.43687300000001</v>
      </c>
    </row>
    <row r="8552">
      <c r="A8552" s="24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5" t="n">
        <v>66.223612</v>
      </c>
    </row>
    <row r="8553">
      <c r="A8553" s="24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5" t="n">
        <v>80.61743199999999</v>
      </c>
    </row>
    <row r="8554">
      <c r="A8554" s="24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5" t="n">
        <v>65.014184</v>
      </c>
    </row>
    <row r="8555">
      <c r="A8555" s="24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5" t="n">
        <v>53.662873</v>
      </c>
    </row>
    <row r="8556">
      <c r="A8556" s="24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5" t="n">
        <v>49.179782</v>
      </c>
    </row>
    <row r="8557">
      <c r="A8557" s="24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5" t="n">
        <v>42.554348</v>
      </c>
    </row>
    <row r="8558">
      <c r="A8558" s="24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5" t="n">
        <v>36.335247</v>
      </c>
    </row>
    <row r="8559">
      <c r="A8559" s="24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5" t="n">
        <v>33.137874</v>
      </c>
    </row>
    <row r="8560">
      <c r="A8560" s="24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5" t="n">
        <v>92.822699</v>
      </c>
    </row>
    <row r="8561">
      <c r="A8561" s="24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5" t="n">
        <v>128.950094</v>
      </c>
    </row>
    <row r="8562">
      <c r="A8562" s="24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5" t="n">
        <v>151.035765</v>
      </c>
    </row>
    <row r="8563">
      <c r="A8563" s="24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5" t="n">
        <v>152.53265</v>
      </c>
    </row>
    <row r="8564">
      <c r="A8564" s="24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5" t="n">
        <v>435.208317</v>
      </c>
    </row>
    <row r="8565">
      <c r="A8565" s="24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5" t="n">
        <v>625.645085</v>
      </c>
    </row>
    <row r="8566">
      <c r="A8566" s="24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5" t="n">
        <v>435.595699</v>
      </c>
    </row>
    <row r="8567">
      <c r="A8567" s="24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5" t="n">
        <v>395.803727</v>
      </c>
    </row>
    <row r="8568">
      <c r="A8568" s="24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5" t="n">
        <v>376.392335</v>
      </c>
    </row>
    <row r="8569">
      <c r="A8569" s="24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5" t="n">
        <v>269.589743</v>
      </c>
    </row>
    <row r="8570">
      <c r="A8570" s="24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5" t="n">
        <v>231.535324</v>
      </c>
    </row>
    <row r="8571">
      <c r="A8571" s="24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5" t="n">
        <v>228.833665</v>
      </c>
    </row>
    <row r="8572">
      <c r="A8572" s="24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5" t="n">
        <v>224.576713</v>
      </c>
    </row>
    <row r="8573">
      <c r="A8573" s="24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5" t="n">
        <v>210.123799</v>
      </c>
    </row>
    <row r="8574">
      <c r="A8574" s="24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5" t="n">
        <v>162.582053</v>
      </c>
    </row>
    <row r="8575">
      <c r="A8575" s="24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5" t="n">
        <v>126.273446</v>
      </c>
    </row>
    <row r="8576">
      <c r="A8576" s="24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5" t="n">
        <v>111.839934</v>
      </c>
    </row>
    <row r="8577">
      <c r="A8577" s="24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5" t="n">
        <v>91.96295600000001</v>
      </c>
    </row>
    <row r="8578">
      <c r="A8578" s="24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5" t="n">
        <v>77.68845</v>
      </c>
    </row>
    <row r="8579">
      <c r="A8579" s="24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5" t="n">
        <v>64.488924</v>
      </c>
    </row>
    <row r="8580">
      <c r="A8580" s="24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5" t="n">
        <v>54.064965</v>
      </c>
    </row>
    <row r="8581">
      <c r="A8581" s="24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5" t="n">
        <v>75.00739400000001</v>
      </c>
    </row>
    <row r="8582">
      <c r="A8582" s="24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5" t="n">
        <v>142.407223</v>
      </c>
    </row>
    <row r="8583">
      <c r="A8583" s="24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5" t="n">
        <v>165.54027</v>
      </c>
    </row>
    <row r="8584">
      <c r="A8584" s="24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5" t="n">
        <v>165.521842</v>
      </c>
    </row>
    <row r="8585">
      <c r="A8585" s="24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5" t="n">
        <v>181.299567</v>
      </c>
    </row>
    <row r="8586">
      <c r="A8586" s="24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5" t="n">
        <v>175.634248</v>
      </c>
    </row>
    <row r="8587">
      <c r="A8587" s="24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5" t="n">
        <v>173.200223</v>
      </c>
    </row>
    <row r="8588">
      <c r="A8588" s="24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5" t="n">
        <v>166.64642</v>
      </c>
    </row>
    <row r="8589">
      <c r="A8589" s="24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5" t="n">
        <v>158.497223</v>
      </c>
    </row>
    <row r="8590">
      <c r="A8590" s="24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5" t="n">
        <v>184.207151</v>
      </c>
    </row>
    <row r="8591">
      <c r="A8591" s="24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5" t="n">
        <v>420.703858</v>
      </c>
    </row>
    <row r="8592">
      <c r="A8592" s="24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5" t="n">
        <v>498.698739</v>
      </c>
    </row>
    <row r="8593">
      <c r="A8593" s="24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5" t="n">
        <v>307.455371</v>
      </c>
    </row>
    <row r="8594">
      <c r="A8594" s="24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5" t="n">
        <v>259.604447</v>
      </c>
    </row>
    <row r="8595">
      <c r="A8595" s="24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5" t="n">
        <v>234.991546</v>
      </c>
    </row>
    <row r="8596">
      <c r="A8596" s="24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5" t="n">
        <v>225.377665</v>
      </c>
    </row>
    <row r="8597">
      <c r="A8597" s="24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5" t="n">
        <v>207.564572</v>
      </c>
    </row>
    <row r="8598">
      <c r="A8598" s="24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5" t="n">
        <v>160.376765</v>
      </c>
    </row>
    <row r="8599">
      <c r="A8599" s="24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5" t="n">
        <v>125.179292</v>
      </c>
    </row>
    <row r="8600">
      <c r="A8600" s="24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5" t="n">
        <v>100.470693</v>
      </c>
    </row>
    <row r="8601">
      <c r="A8601" s="24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5" t="n">
        <v>82.220297</v>
      </c>
    </row>
    <row r="8602">
      <c r="A8602" s="24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5" t="n">
        <v>68.36157900000001</v>
      </c>
    </row>
    <row r="8603">
      <c r="A8603" s="24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5" t="n">
        <v>57.580453</v>
      </c>
    </row>
    <row r="8604">
      <c r="A8604" s="24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5" t="n">
        <v>49.053557</v>
      </c>
    </row>
    <row r="8605">
      <c r="A8605" s="24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5" t="n">
        <v>47.086326</v>
      </c>
    </row>
    <row r="8606">
      <c r="A8606" s="24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5" t="n">
        <v>41.207531</v>
      </c>
    </row>
    <row r="8607">
      <c r="A8607" s="24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5" t="n">
        <v>37.694803</v>
      </c>
    </row>
    <row r="8608">
      <c r="A8608" s="24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5" t="n">
        <v>48.373949</v>
      </c>
    </row>
    <row r="8609">
      <c r="A8609" s="24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5" t="n">
        <v>43.877585</v>
      </c>
    </row>
    <row r="8610">
      <c r="A8610" s="24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5" t="n">
        <v>44.283558</v>
      </c>
    </row>
    <row r="8611">
      <c r="A8611" s="24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5" t="n">
        <v>110.175237</v>
      </c>
    </row>
    <row r="8612">
      <c r="A8612" s="24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5" t="n">
        <v>141.224017</v>
      </c>
    </row>
    <row r="8613">
      <c r="A8613" s="24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5" t="n">
        <v>146.200194</v>
      </c>
    </row>
    <row r="8614">
      <c r="A8614" s="24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5" t="n">
        <v>116.043151</v>
      </c>
    </row>
    <row r="8615">
      <c r="A8615" s="24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5" t="n">
        <v>88.426327</v>
      </c>
    </row>
    <row r="8616">
      <c r="A8616" s="24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5" t="n">
        <v>69.05559599999999</v>
      </c>
    </row>
    <row r="8617">
      <c r="A8617" s="24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5" t="n">
        <v>55.153465</v>
      </c>
    </row>
    <row r="8618">
      <c r="A8618" s="24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5" t="n">
        <v>45.044157</v>
      </c>
    </row>
    <row r="8619">
      <c r="A8619" s="24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5" t="n">
        <v>37.426399</v>
      </c>
    </row>
    <row r="8620">
      <c r="A8620" s="24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5" t="n">
        <v>31.604249</v>
      </c>
    </row>
    <row r="8621">
      <c r="A8621" s="24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5" t="n">
        <v>34.744446</v>
      </c>
    </row>
    <row r="8622">
      <c r="A8622" s="24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5" t="n">
        <v>56.315561</v>
      </c>
    </row>
    <row r="8623">
      <c r="A8623" s="24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5" t="n">
        <v>49.805302</v>
      </c>
    </row>
    <row r="8624">
      <c r="A8624" s="24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5" t="n">
        <v>43.031736</v>
      </c>
    </row>
    <row r="8625">
      <c r="A8625" s="24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5" t="n">
        <v>39.871022</v>
      </c>
    </row>
    <row r="8626">
      <c r="A8626" s="24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5" t="n">
        <v>38.254801</v>
      </c>
    </row>
    <row r="8627">
      <c r="A8627" s="24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5" t="n">
        <v>30.949934</v>
      </c>
    </row>
    <row r="8628">
      <c r="A8628" s="24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5" t="n">
        <v>25.508068</v>
      </c>
    </row>
    <row r="8629">
      <c r="A8629" s="24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5" t="n">
        <v>26.814621</v>
      </c>
    </row>
    <row r="8630">
      <c r="A8630" s="24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5" t="n">
        <v>22.292415</v>
      </c>
    </row>
    <row r="8631">
      <c r="A8631" s="24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5" t="n">
        <v>26.684952</v>
      </c>
    </row>
    <row r="8632">
      <c r="A8632" s="24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5" t="n">
        <v>42.730257</v>
      </c>
    </row>
    <row r="8633">
      <c r="A8633" s="24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5" t="n">
        <v>35.193248</v>
      </c>
    </row>
    <row r="8634">
      <c r="A8634" s="24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5" t="n">
        <v>26.793048</v>
      </c>
    </row>
    <row r="8635">
      <c r="A8635" s="24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5" t="n">
        <v>62.981881</v>
      </c>
    </row>
    <row r="8636">
      <c r="A8636" s="24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5" t="n">
        <v>61.945161</v>
      </c>
    </row>
    <row r="8637">
      <c r="A8637" s="24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5" t="n">
        <v>50.279496</v>
      </c>
    </row>
    <row r="8638">
      <c r="A8638" s="24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5" t="n">
        <v>47.227637</v>
      </c>
    </row>
    <row r="8639">
      <c r="A8639" s="24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5" t="n">
        <v>94.64453399999999</v>
      </c>
    </row>
    <row r="8640">
      <c r="A8640" s="24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5" t="n">
        <v>142.514555</v>
      </c>
    </row>
    <row r="8641">
      <c r="A8641" s="24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5" t="n">
        <v>160.756499</v>
      </c>
    </row>
    <row r="8642">
      <c r="A8642" s="24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5" t="n">
        <v>165.436513</v>
      </c>
    </row>
    <row r="8643">
      <c r="A8643" s="24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5" t="n">
        <v>178.607747</v>
      </c>
    </row>
    <row r="8644">
      <c r="A8644" s="24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5" t="n">
        <v>174.030129</v>
      </c>
    </row>
    <row r="8645">
      <c r="A8645" s="24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5" t="n">
        <v>189.161684</v>
      </c>
    </row>
    <row r="8646">
      <c r="A8646" s="24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5" t="n">
        <v>205.617844</v>
      </c>
    </row>
    <row r="8647">
      <c r="A8647" s="24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5" t="n">
        <v>221.525093</v>
      </c>
    </row>
    <row r="8648">
      <c r="A8648" s="24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5" t="n">
        <v>221.112581</v>
      </c>
    </row>
    <row r="8649">
      <c r="A8649" s="24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5" t="n">
        <v>210.325305</v>
      </c>
    </row>
    <row r="8650">
      <c r="A8650" s="24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5" t="n">
        <v>166.437696</v>
      </c>
    </row>
    <row r="8651">
      <c r="A8651" s="24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5" t="n">
        <v>186.239276</v>
      </c>
    </row>
    <row r="8652">
      <c r="A8652" s="24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5" t="n">
        <v>206.189489</v>
      </c>
    </row>
    <row r="8653">
      <c r="A8653" s="24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5" t="n">
        <v>192.970806</v>
      </c>
    </row>
    <row r="8654">
      <c r="A8654" s="24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5" t="n">
        <v>168.808498</v>
      </c>
    </row>
    <row r="8655">
      <c r="A8655" s="24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5" t="n">
        <v>169.839797</v>
      </c>
    </row>
    <row r="8656">
      <c r="A8656" s="24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5" t="n">
        <v>189.512915</v>
      </c>
    </row>
    <row r="8657">
      <c r="A8657" s="24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5" t="n">
        <v>181.505715</v>
      </c>
    </row>
    <row r="8658">
      <c r="A8658" s="24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5" t="n">
        <v>139.863957</v>
      </c>
    </row>
    <row r="8659">
      <c r="A8659" s="24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5" t="n">
        <v>108.572933</v>
      </c>
    </row>
    <row r="8660">
      <c r="A8660" s="24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5" t="n">
        <v>87.002279</v>
      </c>
    </row>
    <row r="8661">
      <c r="A8661" s="24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5" t="n">
        <v>71.185683</v>
      </c>
    </row>
    <row r="8662">
      <c r="A8662" s="24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5" t="n">
        <v>59.300553</v>
      </c>
    </row>
    <row r="8663">
      <c r="A8663" s="24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5" t="n">
        <v>50.271085</v>
      </c>
    </row>
    <row r="8664">
      <c r="A8664" s="24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5" t="n">
        <v>42.817409</v>
      </c>
    </row>
    <row r="8665">
      <c r="A8665" s="24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5" t="n">
        <v>36.77881</v>
      </c>
    </row>
    <row r="8666">
      <c r="A8666" s="24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5" t="n">
        <v>31.892525</v>
      </c>
    </row>
    <row r="8667">
      <c r="A8667" s="24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5" t="n">
        <v>31.079218</v>
      </c>
    </row>
    <row r="8668">
      <c r="A8668" s="24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5" t="n">
        <v>43.876367</v>
      </c>
    </row>
    <row r="8669">
      <c r="A8669" s="24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5" t="n">
        <v>60.28613</v>
      </c>
    </row>
    <row r="8670">
      <c r="A8670" s="24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5" t="n">
        <v>52.978936</v>
      </c>
    </row>
    <row r="8671">
      <c r="A8671" s="24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5" t="n">
        <v>58.769634</v>
      </c>
    </row>
    <row r="8672">
      <c r="A8672" s="24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5" t="n">
        <v>53.704126</v>
      </c>
    </row>
    <row r="8673">
      <c r="A8673" s="24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5" t="n">
        <v>66.014589</v>
      </c>
    </row>
    <row r="8674">
      <c r="A8674" s="24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5" t="n">
        <v>52.846382</v>
      </c>
    </row>
    <row r="8675">
      <c r="A8675" s="24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5" t="n">
        <v>42.477865</v>
      </c>
    </row>
    <row r="8676">
      <c r="A8676" s="24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5" t="n">
        <v>60.640362</v>
      </c>
    </row>
    <row r="8677">
      <c r="A8677" s="24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5" t="n">
        <v>92.97542300000001</v>
      </c>
    </row>
    <row r="8678">
      <c r="A8678" s="24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5" t="n">
        <v>75.429695</v>
      </c>
    </row>
    <row r="8679">
      <c r="A8679" s="24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5" t="n">
        <v>121.719501</v>
      </c>
    </row>
    <row r="8680">
      <c r="A8680" s="24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5" t="n">
        <v>152.223356</v>
      </c>
    </row>
    <row r="8681">
      <c r="A8681" s="24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5" t="n">
        <v>160.109976</v>
      </c>
    </row>
    <row r="8682">
      <c r="A8682" s="24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5" t="n">
        <v>182.053862</v>
      </c>
    </row>
    <row r="8683">
      <c r="A8683" s="24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5" t="n">
        <v>198.272703</v>
      </c>
    </row>
    <row r="8684">
      <c r="A8684" s="24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5" t="n">
        <v>195.373742</v>
      </c>
    </row>
    <row r="8685">
      <c r="A8685" s="24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5" t="n">
        <v>202.703402</v>
      </c>
    </row>
    <row r="8686">
      <c r="A8686" s="24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5" t="n">
        <v>191.084021</v>
      </c>
    </row>
    <row r="8687">
      <c r="A8687" s="24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5" t="n">
        <v>204.035079</v>
      </c>
    </row>
    <row r="8688">
      <c r="A8688" s="24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5" t="n">
        <v>207.418395</v>
      </c>
    </row>
    <row r="8689">
      <c r="A8689" s="24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5" t="n">
        <v>166.580162</v>
      </c>
    </row>
    <row r="8690">
      <c r="A8690" s="24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5" t="n">
        <v>176.407787</v>
      </c>
    </row>
    <row r="8691">
      <c r="A8691" s="24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5" t="n">
        <v>175.706862</v>
      </c>
    </row>
    <row r="8692">
      <c r="A8692" s="24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5" t="n">
        <v>153.457059</v>
      </c>
    </row>
    <row r="8693">
      <c r="A8693" s="24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5" t="n">
        <v>174.950024</v>
      </c>
    </row>
    <row r="8694">
      <c r="A8694" s="24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5" t="n">
        <v>157.271802</v>
      </c>
    </row>
    <row r="8695">
      <c r="A8695" s="24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5" t="n">
        <v>131.188037</v>
      </c>
    </row>
    <row r="8696">
      <c r="A8696" s="24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5" t="n">
        <v>106.658837</v>
      </c>
    </row>
    <row r="8697">
      <c r="A8697" s="24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5" t="n">
        <v>121.378904</v>
      </c>
    </row>
    <row r="8698">
      <c r="A8698" s="24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5" t="n">
        <v>139.921551</v>
      </c>
    </row>
    <row r="8699">
      <c r="A8699" s="24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5" t="n">
        <v>118.471116</v>
      </c>
    </row>
    <row r="8700">
      <c r="A8700" s="24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5" t="n">
        <v>104.763376</v>
      </c>
    </row>
    <row r="8701">
      <c r="A8701" s="24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5" t="n">
        <v>83.443427</v>
      </c>
    </row>
    <row r="8702">
      <c r="A8702" s="24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5" t="n">
        <v>77.772012</v>
      </c>
    </row>
    <row r="8703">
      <c r="A8703" s="24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5" t="n">
        <v>65.262603</v>
      </c>
    </row>
    <row r="8704">
      <c r="A8704" s="24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5" t="n">
        <v>57.223639</v>
      </c>
    </row>
    <row r="8705">
      <c r="A8705" s="24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5" t="n">
        <v>56.54486</v>
      </c>
    </row>
    <row r="8706">
      <c r="A8706" s="24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5" t="n">
        <v>52.51215</v>
      </c>
    </row>
    <row r="8707">
      <c r="A8707" s="24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5" t="n">
        <v>54.758943</v>
      </c>
    </row>
    <row r="8708">
      <c r="A8708" s="24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5" t="n">
        <v>47.94669</v>
      </c>
    </row>
    <row r="8709">
      <c r="A8709" s="24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5" t="n">
        <v>39.011386</v>
      </c>
    </row>
    <row r="8710">
      <c r="A8710" s="24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5" t="n">
        <v>46.090117</v>
      </c>
    </row>
    <row r="8711">
      <c r="A8711" s="24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5" t="n">
        <v>62.772825</v>
      </c>
    </row>
    <row r="8712">
      <c r="A8712" s="24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5" t="n">
        <v>50.849224</v>
      </c>
    </row>
    <row r="8713">
      <c r="A8713" s="24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5" t="n">
        <v>44.559077</v>
      </c>
    </row>
    <row r="8714">
      <c r="A8714" s="24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5" t="n">
        <v>39.364626</v>
      </c>
    </row>
    <row r="8715">
      <c r="A8715" s="24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5" t="n">
        <v>41.16628</v>
      </c>
    </row>
    <row r="8716">
      <c r="A8716" s="24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5" t="n">
        <v>38.433124</v>
      </c>
    </row>
    <row r="8717">
      <c r="A8717" s="24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5" t="n">
        <v>38.351399</v>
      </c>
    </row>
    <row r="8718">
      <c r="A8718" s="24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5" t="n">
        <v>34.562474</v>
      </c>
    </row>
    <row r="8719">
      <c r="A8719" s="24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5" t="n">
        <v>44.263945</v>
      </c>
    </row>
    <row r="8720">
      <c r="A8720" s="24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5" t="n">
        <v>63.262382</v>
      </c>
    </row>
    <row r="8721">
      <c r="A8721" s="24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5" t="n">
        <v>77.784234</v>
      </c>
    </row>
    <row r="8722">
      <c r="A8722" s="24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5" t="n">
        <v>70.24154799999999</v>
      </c>
    </row>
    <row r="8723">
      <c r="A8723" s="24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5" t="n">
        <v>67.668239</v>
      </c>
    </row>
    <row r="8724">
      <c r="A8724" s="24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5" t="n">
        <v>58.571952</v>
      </c>
    </row>
    <row r="8725">
      <c r="A8725" s="24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5" t="n">
        <v>50.905576</v>
      </c>
    </row>
    <row r="8726">
      <c r="A8726" s="24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5" t="n">
        <v>51.04488</v>
      </c>
    </row>
    <row r="8727">
      <c r="A8727" s="24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5" t="n">
        <v>47.21998</v>
      </c>
    </row>
    <row r="8728">
      <c r="A8728" s="24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5" t="n">
        <v>50.278544</v>
      </c>
    </row>
    <row r="8729">
      <c r="A8729" s="24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5" t="n">
        <v>48.418547</v>
      </c>
    </row>
    <row r="8730">
      <c r="A8730" s="24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5" t="n">
        <v>48.782197</v>
      </c>
    </row>
    <row r="8731">
      <c r="A8731" s="24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5" t="n">
        <v>61.921378</v>
      </c>
    </row>
    <row r="8732">
      <c r="A8732" s="24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5" t="n">
        <v>55.486503</v>
      </c>
    </row>
    <row r="8733">
      <c r="A8733" s="24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5" t="n">
        <v>62.7874</v>
      </c>
    </row>
    <row r="8734">
      <c r="A8734" s="24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5" t="n">
        <v>91.36852500000001</v>
      </c>
    </row>
    <row r="8735">
      <c r="A8735" s="24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5" t="n">
        <v>99.523466</v>
      </c>
    </row>
    <row r="8736">
      <c r="A8736" s="24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5" t="n">
        <v>95.109196</v>
      </c>
    </row>
    <row r="8737">
      <c r="A8737" s="24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5" t="n">
        <v>79.721897</v>
      </c>
    </row>
    <row r="8738">
      <c r="A8738" s="24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5" t="n">
        <v>76.816948</v>
      </c>
    </row>
    <row r="8739">
      <c r="A8739" s="24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5" t="n">
        <v>80.93427</v>
      </c>
    </row>
    <row r="8740">
      <c r="A8740" s="24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5" t="n">
        <v>78.674464</v>
      </c>
    </row>
    <row r="8741">
      <c r="A8741" s="24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5" t="n">
        <v>70.309583</v>
      </c>
    </row>
    <row r="8742">
      <c r="A8742" s="24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5" t="n">
        <v>72.51360699999999</v>
      </c>
    </row>
    <row r="8743">
      <c r="A8743" s="24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5" t="n">
        <v>57.840825</v>
      </c>
    </row>
    <row r="8744">
      <c r="A8744" s="24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5" t="n">
        <v>64.996741</v>
      </c>
    </row>
    <row r="8745">
      <c r="A8745" s="24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5" t="n">
        <v>107.413135</v>
      </c>
    </row>
    <row r="8746">
      <c r="A8746" s="24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5" t="n">
        <v>140.444709</v>
      </c>
    </row>
    <row r="8747">
      <c r="A8747" s="24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5" t="n">
        <v>164.894609</v>
      </c>
    </row>
    <row r="8748">
      <c r="A8748" s="24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5" t="n">
        <v>160.238692</v>
      </c>
    </row>
    <row r="8749">
      <c r="A8749" s="24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5" t="n">
        <v>133.689526</v>
      </c>
    </row>
    <row r="8750">
      <c r="A8750" s="24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5" t="n">
        <v>112.929737</v>
      </c>
    </row>
    <row r="8751">
      <c r="A8751" s="24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5" t="n">
        <v>114.712014</v>
      </c>
    </row>
    <row r="8752">
      <c r="A8752" s="24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5" t="n">
        <v>98.26266699999999</v>
      </c>
    </row>
    <row r="8753">
      <c r="A8753" s="24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5" t="n">
        <v>95.790212</v>
      </c>
    </row>
    <row r="8754">
      <c r="A8754" s="24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5" t="n">
        <v>103.458355</v>
      </c>
    </row>
    <row r="8755">
      <c r="A8755" s="24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5" t="n">
        <v>89.62124300000001</v>
      </c>
    </row>
    <row r="8756">
      <c r="A8756" s="24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5" t="n">
        <v>74.896084</v>
      </c>
    </row>
    <row r="8757">
      <c r="A8757" s="24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5" t="n">
        <v>61.289879</v>
      </c>
    </row>
    <row r="8758">
      <c r="A8758" s="24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5" t="n">
        <v>69.99926499999999</v>
      </c>
    </row>
    <row r="8759">
      <c r="A8759" s="24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5" t="n">
        <v>68.573031</v>
      </c>
    </row>
    <row r="8760">
      <c r="A8760" s="24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5" t="n">
        <v>57.778568</v>
      </c>
    </row>
    <row r="8761">
      <c r="A8761" s="24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5" t="n">
        <v>57.458961</v>
      </c>
    </row>
    <row r="8762">
      <c r="A8762" s="24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5" t="n">
        <v>71.64228199999999</v>
      </c>
    </row>
    <row r="8763">
      <c r="A8763" s="24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5" t="n">
        <v>103.561944</v>
      </c>
    </row>
    <row r="8764">
      <c r="A8764" s="24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5" t="n">
        <v>107.005446</v>
      </c>
    </row>
    <row r="8765">
      <c r="A8765" s="24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5" t="n">
        <v>128.77778</v>
      </c>
    </row>
    <row r="8766">
      <c r="A8766" s="24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5" t="n">
        <v>115.315306</v>
      </c>
    </row>
    <row r="8767">
      <c r="A8767" s="24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5" t="n">
        <v>98.813901</v>
      </c>
    </row>
    <row r="8768">
      <c r="A8768" s="24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5" t="n">
        <v>128.341422</v>
      </c>
    </row>
    <row r="8769">
      <c r="A8769" s="24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5" t="n">
        <v>112.97764</v>
      </c>
    </row>
    <row r="8770">
      <c r="A8770" s="24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5" t="n">
        <v>108.357417</v>
      </c>
    </row>
    <row r="8771">
      <c r="A8771" s="24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5" t="n">
        <v>92.976612</v>
      </c>
    </row>
    <row r="8772">
      <c r="A8772" s="24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5" t="n">
        <v>126.78441</v>
      </c>
    </row>
    <row r="8773">
      <c r="A8773" s="24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5" t="n">
        <v>112.651892</v>
      </c>
    </row>
    <row r="8774">
      <c r="A8774" s="24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5" t="n">
        <v>99.594364</v>
      </c>
    </row>
    <row r="8775">
      <c r="A8775" s="24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5" t="n">
        <v>94.882548</v>
      </c>
    </row>
    <row r="8776">
      <c r="A8776" s="24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5" t="n">
        <v>81.51097</v>
      </c>
    </row>
    <row r="8777">
      <c r="A8777" s="24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5" t="n">
        <v>68.412756</v>
      </c>
    </row>
    <row r="8778">
      <c r="A8778" s="24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5" t="n">
        <v>68.585402</v>
      </c>
    </row>
    <row r="8779">
      <c r="A8779" s="24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5" t="n">
        <v>71.660419</v>
      </c>
    </row>
    <row r="8780">
      <c r="A8780" s="24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5" t="n">
        <v>113.146726</v>
      </c>
    </row>
    <row r="8781">
      <c r="A8781" s="24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5" t="n">
        <v>103.216609</v>
      </c>
    </row>
    <row r="8782">
      <c r="A8782" s="24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5" t="n">
        <v>118.648779</v>
      </c>
    </row>
    <row r="8783">
      <c r="A8783" s="24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5" t="n">
        <v>106.17564</v>
      </c>
    </row>
    <row r="8784">
      <c r="A8784" s="24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5" t="n">
        <v>100.851699</v>
      </c>
    </row>
    <row r="8785">
      <c r="A8785" s="24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5" t="n">
        <v>119.204733</v>
      </c>
    </row>
    <row r="8786">
      <c r="A8786" s="24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5" t="n">
        <v>123.835502</v>
      </c>
    </row>
    <row r="8787">
      <c r="A8787" s="24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5" t="n">
        <v>98.54140700000001</v>
      </c>
    </row>
    <row r="8788">
      <c r="A8788" s="24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5" t="n">
        <v>88.451502</v>
      </c>
    </row>
    <row r="8789">
      <c r="A8789" s="24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5" t="n">
        <v>91.381812</v>
      </c>
    </row>
    <row r="8790">
      <c r="A8790" s="24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5" t="n">
        <v>76.29326399999999</v>
      </c>
    </row>
    <row r="8791">
      <c r="A8791" s="24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5" t="n">
        <v>79.398106</v>
      </c>
    </row>
    <row r="8792">
      <c r="A8792" s="24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5" t="n">
        <v>111.44551</v>
      </c>
    </row>
    <row r="8793">
      <c r="A8793" s="24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5" t="n">
        <v>121.501998</v>
      </c>
    </row>
    <row r="8794">
      <c r="A8794" s="24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5" t="n">
        <v>121.022046</v>
      </c>
    </row>
    <row r="8795">
      <c r="A8795" s="24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5" t="n">
        <v>117.588969</v>
      </c>
    </row>
    <row r="8796">
      <c r="A8796" s="24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5" t="n">
        <v>107.573664</v>
      </c>
    </row>
    <row r="8797">
      <c r="A8797" s="24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5" t="n">
        <v>120.379724</v>
      </c>
    </row>
    <row r="8798">
      <c r="A8798" s="24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5" t="n">
        <v>125.69342</v>
      </c>
    </row>
    <row r="8799">
      <c r="A8799" s="24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5" t="n">
        <v>133.536885</v>
      </c>
    </row>
    <row r="8800">
      <c r="A8800" s="24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5" t="n">
        <v>108.825603</v>
      </c>
    </row>
    <row r="8801">
      <c r="A8801" s="24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5" t="n">
        <v>86.050928</v>
      </c>
    </row>
    <row r="8802">
      <c r="A8802" s="24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5" t="n">
        <v>79.928864</v>
      </c>
    </row>
    <row r="8803">
      <c r="A8803" s="24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5" t="n">
        <v>118.576464</v>
      </c>
    </row>
    <row r="8804">
      <c r="A8804" s="24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5" t="n">
        <v>150.84167</v>
      </c>
    </row>
    <row r="8805">
      <c r="A8805" s="24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5" t="n">
        <v>152.109021</v>
      </c>
    </row>
    <row r="8806">
      <c r="A8806" s="24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5" t="n">
        <v>172.920847</v>
      </c>
    </row>
    <row r="8807">
      <c r="A8807" s="24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5" t="n">
        <v>170.664831</v>
      </c>
    </row>
    <row r="8808">
      <c r="A8808" s="24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5" t="n">
        <v>132.440707</v>
      </c>
    </row>
    <row r="8809">
      <c r="A8809" s="24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5" t="n">
        <v>124.498132</v>
      </c>
    </row>
    <row r="8810">
      <c r="A8810" s="24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5" t="n">
        <v>133.088059</v>
      </c>
    </row>
    <row r="8811">
      <c r="A8811" s="24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5" t="n">
        <v>108.749028</v>
      </c>
    </row>
    <row r="8812">
      <c r="A8812" s="24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5" t="n">
        <v>89.907663</v>
      </c>
    </row>
    <row r="8813">
      <c r="A8813" s="24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5" t="n">
        <v>78.03041</v>
      </c>
    </row>
    <row r="8814">
      <c r="A8814" s="24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5" t="n">
        <v>71.575332</v>
      </c>
    </row>
    <row r="8815">
      <c r="A8815" s="24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5" t="n">
        <v>65.339811</v>
      </c>
    </row>
    <row r="8816">
      <c r="A8816" s="24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5" t="n">
        <v>67.31770299999999</v>
      </c>
    </row>
    <row r="8817">
      <c r="A8817" s="24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5" t="n">
        <v>67.99741899999999</v>
      </c>
    </row>
    <row r="8818">
      <c r="A8818" s="24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5" t="n">
        <v>69.192313</v>
      </c>
    </row>
    <row r="8819">
      <c r="A8819" s="24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5" t="n">
        <v>65.386734</v>
      </c>
    </row>
    <row r="8820">
      <c r="A8820" s="24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5" t="n">
        <v>69.966137</v>
      </c>
    </row>
    <row r="8821">
      <c r="A8821" s="24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5" t="n">
        <v>61.094066</v>
      </c>
    </row>
    <row r="8822">
      <c r="A8822" s="24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5" t="n">
        <v>104.861691</v>
      </c>
    </row>
    <row r="8823">
      <c r="A8823" s="24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5" t="n">
        <v>143.016959</v>
      </c>
    </row>
    <row r="8824">
      <c r="A8824" s="24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5" t="n">
        <v>148.781055</v>
      </c>
    </row>
    <row r="8825">
      <c r="A8825" s="24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5" t="n">
        <v>162.556508</v>
      </c>
    </row>
    <row r="8826">
      <c r="A8826" s="24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5" t="n">
        <v>152.074429</v>
      </c>
    </row>
    <row r="8827">
      <c r="A8827" s="24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5" t="n">
        <v>151.830256</v>
      </c>
    </row>
    <row r="8828">
      <c r="A8828" s="24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5" t="n">
        <v>154.631439</v>
      </c>
    </row>
    <row r="8829">
      <c r="A8829" s="24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5" t="n">
        <v>174.611579</v>
      </c>
    </row>
    <row r="8830">
      <c r="A8830" s="24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5" t="n">
        <v>165.518181</v>
      </c>
    </row>
    <row r="8831">
      <c r="A8831" s="24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5" t="n">
        <v>126.502664</v>
      </c>
    </row>
    <row r="8832">
      <c r="A8832" s="24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5" t="n">
        <v>103.602071</v>
      </c>
    </row>
    <row r="8833">
      <c r="A8833" s="24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5" t="n">
        <v>82.952348</v>
      </c>
    </row>
    <row r="8834">
      <c r="A8834" s="24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5" t="n">
        <v>75.36126299999999</v>
      </c>
    </row>
    <row r="8835">
      <c r="A8835" s="24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5" t="n">
        <v>91.284976</v>
      </c>
    </row>
    <row r="8836">
      <c r="A8836" s="24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5" t="n">
        <v>129.375855</v>
      </c>
    </row>
    <row r="8837">
      <c r="A8837" s="24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5" t="n">
        <v>118.649218</v>
      </c>
    </row>
    <row r="8838">
      <c r="A8838" s="24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5" t="n">
        <v>103.101091</v>
      </c>
    </row>
    <row r="8839">
      <c r="A8839" s="24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5" t="n">
        <v>84.827309</v>
      </c>
    </row>
    <row r="8840">
      <c r="A8840" s="24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5" t="n">
        <v>79.066249</v>
      </c>
    </row>
    <row r="8841">
      <c r="A8841" s="24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5" t="n">
        <v>77.01047</v>
      </c>
    </row>
    <row r="8842">
      <c r="A8842" s="24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5" t="n">
        <v>67.284813</v>
      </c>
    </row>
    <row r="8843">
      <c r="A8843" s="24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5" t="n">
        <v>57.719152</v>
      </c>
    </row>
    <row r="8844">
      <c r="A8844" s="24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5" t="n">
        <v>53.323025</v>
      </c>
    </row>
    <row r="8845">
      <c r="A8845" s="24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5" t="n">
        <v>59.809577</v>
      </c>
    </row>
    <row r="8846">
      <c r="A8846" s="24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5" t="n">
        <v>104.604867</v>
      </c>
    </row>
    <row r="8847">
      <c r="A8847" s="24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5" t="n">
        <v>138.696634</v>
      </c>
    </row>
    <row r="8848">
      <c r="A8848" s="24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5" t="n">
        <v>144.604037</v>
      </c>
    </row>
    <row r="8849">
      <c r="A8849" s="24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5" t="n">
        <v>124.331858</v>
      </c>
    </row>
    <row r="8850">
      <c r="A8850" s="24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5" t="n">
        <v>106.91489</v>
      </c>
    </row>
    <row r="8851">
      <c r="A8851" s="24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5" t="n">
        <v>104.029292</v>
      </c>
    </row>
    <row r="8852">
      <c r="A8852" s="24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5" t="n">
        <v>94.296139</v>
      </c>
    </row>
    <row r="8853">
      <c r="A8853" s="24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5" t="n">
        <v>78.94305</v>
      </c>
    </row>
    <row r="8854">
      <c r="A8854" s="24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5" t="n">
        <v>80.733597</v>
      </c>
    </row>
    <row r="8855">
      <c r="A8855" s="24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5" t="n">
        <v>71.101326</v>
      </c>
    </row>
    <row r="8856">
      <c r="A8856" s="24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5" t="n">
        <v>88.743983</v>
      </c>
    </row>
    <row r="8857">
      <c r="A8857" s="24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5" t="n">
        <v>72.792496</v>
      </c>
    </row>
    <row r="8858">
      <c r="A8858" s="24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5" t="n">
        <v>56.299352</v>
      </c>
    </row>
    <row r="8859">
      <c r="A8859" s="24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5" t="n">
        <v>67.811616</v>
      </c>
    </row>
    <row r="8860">
      <c r="A8860" s="24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5" t="n">
        <v>98.99994700000001</v>
      </c>
    </row>
    <row r="8861">
      <c r="A8861" s="24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5" t="n">
        <v>86.19768000000001</v>
      </c>
    </row>
    <row r="8862">
      <c r="A8862" s="24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5" t="n">
        <v>67.009852</v>
      </c>
    </row>
    <row r="8863">
      <c r="A8863" s="24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5" t="n">
        <v>109.830588</v>
      </c>
    </row>
    <row r="8864">
      <c r="A8864" s="24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5" t="n">
        <v>103.529373</v>
      </c>
    </row>
    <row r="8865">
      <c r="A8865" s="24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5" t="n">
        <v>95.30853999999999</v>
      </c>
    </row>
    <row r="8866">
      <c r="A8866" s="24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5" t="n">
        <v>89.99766200000001</v>
      </c>
    </row>
    <row r="8867">
      <c r="A8867" s="24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5" t="n">
        <v>75.45103400000001</v>
      </c>
    </row>
    <row r="8868">
      <c r="A8868" s="24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5" t="n">
        <v>69.454171</v>
      </c>
    </row>
    <row r="8869">
      <c r="A8869" s="24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5" t="n">
        <v>87.765162</v>
      </c>
    </row>
    <row r="8870">
      <c r="A8870" s="24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5" t="n">
        <v>107.080648</v>
      </c>
    </row>
    <row r="8871">
      <c r="A8871" s="24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5" t="n">
        <v>105.031685</v>
      </c>
    </row>
    <row r="8872">
      <c r="A8872" s="24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5" t="n">
        <v>119.762458</v>
      </c>
    </row>
    <row r="8873">
      <c r="A8873" s="24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5" t="n">
        <v>97.20411900000001</v>
      </c>
    </row>
    <row r="8874">
      <c r="A8874" s="24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5" t="n">
        <v>95.520055</v>
      </c>
    </row>
    <row r="8875">
      <c r="A8875" s="24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5" t="n">
        <v>88.20134</v>
      </c>
    </row>
    <row r="8876">
      <c r="A8876" s="24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5" t="n">
        <v>87.074928</v>
      </c>
    </row>
    <row r="8877">
      <c r="A8877" s="24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5" t="n">
        <v>85.06763599999999</v>
      </c>
    </row>
    <row r="8878">
      <c r="A8878" s="24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5" t="n">
        <v>87.67251400000001</v>
      </c>
    </row>
    <row r="8879">
      <c r="A8879" s="24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5" t="n">
        <v>90.753507</v>
      </c>
    </row>
    <row r="8880">
      <c r="A8880" s="24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5" t="n">
        <v>90.86108900000001</v>
      </c>
    </row>
    <row r="8881">
      <c r="A8881" s="24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5" t="n">
        <v>73.448178</v>
      </c>
    </row>
    <row r="8882">
      <c r="A8882" s="24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5" t="n">
        <v>69.05461099999999</v>
      </c>
    </row>
    <row r="8883">
      <c r="A8883" s="24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5" t="n">
        <v>85.01791</v>
      </c>
    </row>
    <row r="8884">
      <c r="A8884" s="24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5" t="n">
        <v>92.06804200000001</v>
      </c>
    </row>
    <row r="8885">
      <c r="A8885" s="24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5" t="n">
        <v>129.211748</v>
      </c>
    </row>
    <row r="8886">
      <c r="A8886" s="24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5" t="n">
        <v>124.4488</v>
      </c>
    </row>
    <row r="8887">
      <c r="A8887" s="24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5" t="n">
        <v>102.697799</v>
      </c>
    </row>
    <row r="8888">
      <c r="A8888" s="24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5" t="n">
        <v>82.38455399999999</v>
      </c>
    </row>
    <row r="8889">
      <c r="A8889" s="24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5" t="n">
        <v>64.719342</v>
      </c>
    </row>
    <row r="8890">
      <c r="A8890" s="24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5" t="n">
        <v>53.074268</v>
      </c>
    </row>
    <row r="8891">
      <c r="A8891" s="24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5" t="n">
        <v>43.252321</v>
      </c>
    </row>
    <row r="8892">
      <c r="A8892" s="24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5" t="n">
        <v>36.779248</v>
      </c>
    </row>
    <row r="8893">
      <c r="A8893" s="24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5" t="n">
        <v>49.377499</v>
      </c>
    </row>
    <row r="8894">
      <c r="A8894" s="24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5" t="n">
        <v>71.867875</v>
      </c>
    </row>
    <row r="8895">
      <c r="A8895" s="24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5" t="n">
        <v>59.603277</v>
      </c>
    </row>
    <row r="8896">
      <c r="A8896" s="24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5" t="n">
        <v>50.24763</v>
      </c>
    </row>
    <row r="8897">
      <c r="A8897" s="24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5" t="n">
        <v>52.269713</v>
      </c>
    </row>
    <row r="8898">
      <c r="A8898" s="24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5" t="n">
        <v>52.557815</v>
      </c>
    </row>
    <row r="8899">
      <c r="A8899" s="24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5" t="n">
        <v>52.906969</v>
      </c>
    </row>
    <row r="8900">
      <c r="A8900" s="24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5" t="n">
        <v>69.524131</v>
      </c>
    </row>
    <row r="8901">
      <c r="A8901" s="24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5" t="n">
        <v>109.793997</v>
      </c>
    </row>
    <row r="8902">
      <c r="A8902" s="24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5" t="n">
        <v>91.440242</v>
      </c>
    </row>
    <row r="8903">
      <c r="A8903" s="24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5" t="n">
        <v>84.006218</v>
      </c>
    </row>
    <row r="8904">
      <c r="A8904" s="24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5" t="n">
        <v>69.836281</v>
      </c>
    </row>
    <row r="8905">
      <c r="A8905" s="24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5" t="n">
        <v>62.065823</v>
      </c>
    </row>
    <row r="8906">
      <c r="A8906" s="24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5" t="n">
        <v>52.763534</v>
      </c>
    </row>
    <row r="8907">
      <c r="A8907" s="24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5" t="n">
        <v>88.58175</v>
      </c>
    </row>
    <row r="8908">
      <c r="A8908" s="24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5" t="n">
        <v>122.33325</v>
      </c>
    </row>
    <row r="8909">
      <c r="A8909" s="24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5" t="n">
        <v>136.337332</v>
      </c>
    </row>
    <row r="8910">
      <c r="A8910" s="24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5" t="n">
        <v>122.602925</v>
      </c>
    </row>
    <row r="8911">
      <c r="A8911" s="24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5" t="n">
        <v>113.431717</v>
      </c>
    </row>
    <row r="8912">
      <c r="A8912" s="24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5" t="n">
        <v>144.489833</v>
      </c>
    </row>
    <row r="8913">
      <c r="A8913" s="24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5" t="n">
        <v>156.30707</v>
      </c>
    </row>
    <row r="8914">
      <c r="A8914" s="24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5" t="n">
        <v>135.753756</v>
      </c>
    </row>
    <row r="8915">
      <c r="A8915" s="24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5" t="n">
        <v>122.001488</v>
      </c>
    </row>
    <row r="8916">
      <c r="A8916" s="24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5" t="n">
        <v>96.911382</v>
      </c>
    </row>
    <row r="8917">
      <c r="A8917" s="24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5" t="n">
        <v>81.11538899999999</v>
      </c>
    </row>
    <row r="8918">
      <c r="A8918" s="24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5" t="n">
        <v>66.34665800000001</v>
      </c>
    </row>
    <row r="8919">
      <c r="A8919" s="24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5" t="n">
        <v>67.483526</v>
      </c>
    </row>
    <row r="8920">
      <c r="A8920" s="24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5" t="n">
        <v>55.918838</v>
      </c>
    </row>
    <row r="8921">
      <c r="A8921" s="24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5" t="n">
        <v>65.58523700000001</v>
      </c>
    </row>
    <row r="8922">
      <c r="A8922" s="24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5" t="n">
        <v>70.754598</v>
      </c>
    </row>
    <row r="8923">
      <c r="A8923" s="24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5" t="n">
        <v>114.184776</v>
      </c>
    </row>
    <row r="8924">
      <c r="A8924" s="24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5" t="n">
        <v>157.817872</v>
      </c>
    </row>
    <row r="8925">
      <c r="A8925" s="24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5" t="n">
        <v>184.774949</v>
      </c>
    </row>
    <row r="8926">
      <c r="A8926" s="24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5" t="n">
        <v>183.231431</v>
      </c>
    </row>
    <row r="8927">
      <c r="A8927" s="24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5" t="n">
        <v>181.263803</v>
      </c>
    </row>
    <row r="8928">
      <c r="A8928" s="24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5" t="n">
        <v>156.44431</v>
      </c>
    </row>
    <row r="8929">
      <c r="A8929" s="24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5" t="n">
        <v>152.889303</v>
      </c>
    </row>
    <row r="8930">
      <c r="A8930" s="24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5" t="n">
        <v>147.139274</v>
      </c>
    </row>
    <row r="8931">
      <c r="A8931" s="24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5" t="n">
        <v>114.44231</v>
      </c>
    </row>
    <row r="8932">
      <c r="A8932" s="24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5" t="n">
        <v>88.796995</v>
      </c>
    </row>
    <row r="8933">
      <c r="A8933" s="24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5" t="n">
        <v>71.29577999999999</v>
      </c>
    </row>
    <row r="8934">
      <c r="A8934" s="24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5" t="n">
        <v>79.02543300000001</v>
      </c>
    </row>
    <row r="8935">
      <c r="A8935" s="24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5" t="n">
        <v>125.48736</v>
      </c>
    </row>
    <row r="8936">
      <c r="A8936" s="24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5" t="n">
        <v>141.230863</v>
      </c>
    </row>
    <row r="8937">
      <c r="A8937" s="24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5" t="n">
        <v>152.44538</v>
      </c>
    </row>
    <row r="8938">
      <c r="A8938" s="24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5" t="n">
        <v>131.359219</v>
      </c>
    </row>
    <row r="8939">
      <c r="A8939" s="24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5" t="n">
        <v>102.409743</v>
      </c>
    </row>
    <row r="8940">
      <c r="A8940" s="24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5" t="n">
        <v>100.412021</v>
      </c>
    </row>
    <row r="8941">
      <c r="A8941" s="24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5" t="n">
        <v>104.59273</v>
      </c>
    </row>
    <row r="8942">
      <c r="A8942" s="24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5" t="n">
        <v>91.508207</v>
      </c>
    </row>
    <row r="8943">
      <c r="A8943" s="24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5" t="n">
        <v>143.601656</v>
      </c>
    </row>
    <row r="8944">
      <c r="A8944" s="24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5" t="n">
        <v>167.955463</v>
      </c>
    </row>
    <row r="8945">
      <c r="A8945" s="24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5" t="n">
        <v>175.281853</v>
      </c>
    </row>
    <row r="8946">
      <c r="A8946" s="24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5" t="n">
        <v>183.062316</v>
      </c>
    </row>
    <row r="8947">
      <c r="A8947" s="24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5" t="n">
        <v>170.793628</v>
      </c>
    </row>
    <row r="8948">
      <c r="A8948" s="24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5" t="n">
        <v>156.56206</v>
      </c>
    </row>
    <row r="8949">
      <c r="A8949" s="24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5" t="n">
        <v>138.099673</v>
      </c>
    </row>
    <row r="8950">
      <c r="A8950" s="24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5" t="n">
        <v>139.806358</v>
      </c>
    </row>
    <row r="8951">
      <c r="A8951" s="24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5" t="n">
        <v>123.421444</v>
      </c>
    </row>
    <row r="8952">
      <c r="A8952" s="24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5" t="n">
        <v>128.226803</v>
      </c>
    </row>
    <row r="8953">
      <c r="A8953" s="24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5" t="n">
        <v>138.985205</v>
      </c>
    </row>
    <row r="8954">
      <c r="A8954" s="24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5" t="n">
        <v>166.803197</v>
      </c>
    </row>
    <row r="8955">
      <c r="A8955" s="24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5" t="n">
        <v>146.384797</v>
      </c>
    </row>
    <row r="8956">
      <c r="A8956" s="24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5" t="n">
        <v>153.622309</v>
      </c>
    </row>
    <row r="8957">
      <c r="A8957" s="24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5" t="n">
        <v>143.641416</v>
      </c>
    </row>
    <row r="8958">
      <c r="A8958" s="24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5" t="n">
        <v>157.148412</v>
      </c>
    </row>
    <row r="8959">
      <c r="A8959" s="24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5" t="n">
        <v>160.656152</v>
      </c>
    </row>
    <row r="8960">
      <c r="A8960" s="24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5" t="n">
        <v>170.291919</v>
      </c>
    </row>
    <row r="8961">
      <c r="A8961" s="24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5" t="n">
        <v>191.157872</v>
      </c>
    </row>
    <row r="8962">
      <c r="A8962" s="24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5" t="n">
        <v>181.96829</v>
      </c>
    </row>
    <row r="8963">
      <c r="A8963" s="24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5" t="n">
        <v>206.232712</v>
      </c>
    </row>
    <row r="8964">
      <c r="A8964" s="24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5" t="n">
        <v>211.401532</v>
      </c>
    </row>
    <row r="8965">
      <c r="A8965" s="24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5" t="n">
        <v>217.489699</v>
      </c>
    </row>
    <row r="8966">
      <c r="A8966" s="24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5" t="n">
        <v>218.929444</v>
      </c>
    </row>
    <row r="8967">
      <c r="A8967" s="24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5" t="n">
        <v>226.907843</v>
      </c>
    </row>
    <row r="8968">
      <c r="A8968" s="24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5" t="n">
        <v>221.554711</v>
      </c>
    </row>
    <row r="8969">
      <c r="A8969" s="24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5" t="n">
        <v>185.265478</v>
      </c>
    </row>
    <row r="8970">
      <c r="A8970" s="24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5" t="n">
        <v>205.050431</v>
      </c>
    </row>
    <row r="8971">
      <c r="A8971" s="24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5" t="n">
        <v>214.229792</v>
      </c>
    </row>
    <row r="8972">
      <c r="A8972" s="24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5" t="n">
        <v>177.061732</v>
      </c>
    </row>
    <row r="8973">
      <c r="A8973" s="24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5" t="n">
        <v>141.617515</v>
      </c>
    </row>
    <row r="8974">
      <c r="A8974" s="24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5" t="n">
        <v>122.672595</v>
      </c>
    </row>
    <row r="8975">
      <c r="A8975" s="24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5" t="n">
        <v>99.504074</v>
      </c>
    </row>
    <row r="8976">
      <c r="A8976" s="24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5" t="n">
        <v>82.365127</v>
      </c>
    </row>
    <row r="8977">
      <c r="A8977" s="24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5" t="n">
        <v>79.403313</v>
      </c>
    </row>
    <row r="8978">
      <c r="A8978" s="24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5" t="n">
        <v>118.942763</v>
      </c>
    </row>
    <row r="8979">
      <c r="A8979" s="24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5" t="n">
        <v>132.952482</v>
      </c>
    </row>
    <row r="8980">
      <c r="A8980" s="24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5" t="n">
        <v>107.985268</v>
      </c>
    </row>
    <row r="8981">
      <c r="A8981" s="24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5" t="n">
        <v>92.76142</v>
      </c>
    </row>
    <row r="8982">
      <c r="A8982" s="24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5" t="n">
        <v>97.167446</v>
      </c>
    </row>
    <row r="8983">
      <c r="A8983" s="24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5" t="n">
        <v>79.402653</v>
      </c>
    </row>
    <row r="8984">
      <c r="A8984" s="24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5" t="n">
        <v>89.24318599999999</v>
      </c>
    </row>
    <row r="8985">
      <c r="A8985" s="24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5" t="n">
        <v>127.924896</v>
      </c>
    </row>
    <row r="8986">
      <c r="A8986" s="24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5" t="n">
        <v>165.15789</v>
      </c>
    </row>
    <row r="8987">
      <c r="A8987" s="24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5" t="n">
        <v>199.307967</v>
      </c>
    </row>
    <row r="8988">
      <c r="A8988" s="24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5" t="n">
        <v>201.98223</v>
      </c>
    </row>
    <row r="8989">
      <c r="A8989" s="24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5" t="n">
        <v>202.277568</v>
      </c>
    </row>
    <row r="8990">
      <c r="A8990" s="24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5" t="n">
        <v>214.837557</v>
      </c>
    </row>
    <row r="8991">
      <c r="A8991" s="24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5" t="n">
        <v>214.948386</v>
      </c>
    </row>
    <row r="8992">
      <c r="A8992" s="24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5" t="n">
        <v>215.268373</v>
      </c>
    </row>
    <row r="8993">
      <c r="A8993" s="24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5" t="n">
        <v>215.766997</v>
      </c>
    </row>
    <row r="8994">
      <c r="A8994" s="24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5" t="n">
        <v>193.711653</v>
      </c>
    </row>
    <row r="8995">
      <c r="A8995" s="24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5" t="n">
        <v>176.835402</v>
      </c>
    </row>
    <row r="8996">
      <c r="A8996" s="24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5" t="n">
        <v>197.513059</v>
      </c>
    </row>
    <row r="8997">
      <c r="A8997" s="24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5" t="n">
        <v>176.085939</v>
      </c>
    </row>
    <row r="8998">
      <c r="A8998" s="24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5" t="n">
        <v>173.694569</v>
      </c>
    </row>
    <row r="8999">
      <c r="A8999" s="24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5" t="n">
        <v>181.232912</v>
      </c>
    </row>
    <row r="9000">
      <c r="A9000" s="24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5" t="n">
        <v>164.925238</v>
      </c>
    </row>
    <row r="9001">
      <c r="A9001" s="24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5" t="n">
        <v>157.675566</v>
      </c>
    </row>
    <row r="9002">
      <c r="A9002" s="24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5" t="n">
        <v>132.539167</v>
      </c>
    </row>
    <row r="9003">
      <c r="A9003" s="24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5" t="n">
        <v>130.927144</v>
      </c>
    </row>
    <row r="9004">
      <c r="A9004" s="24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5" t="n">
        <v>181.865131</v>
      </c>
    </row>
    <row r="9005">
      <c r="A9005" s="24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5" t="n">
        <v>195.35849</v>
      </c>
    </row>
    <row r="9006">
      <c r="A9006" s="24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5" t="n">
        <v>195.72429</v>
      </c>
    </row>
    <row r="9007">
      <c r="A9007" s="24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5" t="n">
        <v>208.328326</v>
      </c>
    </row>
    <row r="9008">
      <c r="A9008" s="24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5" t="n">
        <v>219.075324</v>
      </c>
    </row>
    <row r="9009">
      <c r="A9009" s="24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5" t="n">
        <v>216.90384</v>
      </c>
    </row>
    <row r="9010">
      <c r="A9010" s="24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5" t="n">
        <v>223.399993</v>
      </c>
    </row>
    <row r="9011">
      <c r="A9011" s="24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5" t="n">
        <v>226.397231</v>
      </c>
    </row>
    <row r="9012">
      <c r="A9012" s="24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5" t="n">
        <v>212.110117</v>
      </c>
    </row>
    <row r="9013">
      <c r="A9013" s="24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5" t="n">
        <v>165.84365</v>
      </c>
    </row>
    <row r="9014">
      <c r="A9014" s="24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5" t="n">
        <v>141.758867</v>
      </c>
    </row>
    <row r="9015">
      <c r="A9015" s="24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5" t="n">
        <v>163.029854</v>
      </c>
    </row>
    <row r="9016">
      <c r="A9016" s="24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5" t="n">
        <v>131.472688</v>
      </c>
    </row>
    <row r="9017">
      <c r="A9017" s="24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5" t="n">
        <v>147.481273</v>
      </c>
    </row>
    <row r="9018">
      <c r="A9018" s="24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5" t="n">
        <v>120.715734</v>
      </c>
    </row>
    <row r="9019">
      <c r="A9019" s="24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5" t="n">
        <v>121.373499</v>
      </c>
    </row>
    <row r="9020">
      <c r="A9020" s="24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5" t="n">
        <v>133.42475</v>
      </c>
    </row>
    <row r="9021">
      <c r="A9021" s="24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5" t="n">
        <v>135.228046</v>
      </c>
    </row>
    <row r="9022">
      <c r="A9022" s="24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5" t="n">
        <v>124.632335</v>
      </c>
    </row>
    <row r="9023">
      <c r="A9023" s="24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5" t="n">
        <v>146.575958</v>
      </c>
    </row>
    <row r="9024">
      <c r="A9024" s="24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5" t="n">
        <v>142.428585</v>
      </c>
    </row>
    <row r="9025">
      <c r="A9025" s="24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5" t="n">
        <v>110.997739</v>
      </c>
    </row>
    <row r="9026">
      <c r="A9026" s="24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5" t="n">
        <v>114.538956</v>
      </c>
    </row>
    <row r="9027">
      <c r="A9027" s="24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5" t="n">
        <v>141.826109</v>
      </c>
    </row>
    <row r="9028">
      <c r="A9028" s="24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5" t="n">
        <v>168.307742</v>
      </c>
    </row>
    <row r="9029">
      <c r="A9029" s="24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5" t="n">
        <v>169.972464</v>
      </c>
    </row>
    <row r="9030">
      <c r="A9030" s="24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5" t="n">
        <v>157.296892</v>
      </c>
    </row>
    <row r="9031">
      <c r="A9031" s="24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5" t="n">
        <v>180.17931</v>
      </c>
    </row>
    <row r="9032">
      <c r="A9032" s="24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5" t="n">
        <v>190.10074</v>
      </c>
    </row>
    <row r="9033">
      <c r="A9033" s="24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5" t="n">
        <v>163.285347</v>
      </c>
    </row>
    <row r="9034">
      <c r="A9034" s="24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5" t="n">
        <v>130.988041</v>
      </c>
    </row>
    <row r="9035">
      <c r="A9035" s="24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5" t="n">
        <v>107.288545</v>
      </c>
    </row>
    <row r="9036">
      <c r="A9036" s="24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5" t="n">
        <v>107.510867</v>
      </c>
    </row>
    <row r="9037">
      <c r="A9037" s="24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5" t="n">
        <v>147.762143</v>
      </c>
    </row>
    <row r="9038">
      <c r="A9038" s="24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5" t="n">
        <v>175.055989</v>
      </c>
    </row>
    <row r="9039">
      <c r="A9039" s="24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5" t="n">
        <v>167.402187</v>
      </c>
    </row>
    <row r="9040">
      <c r="A9040" s="24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5" t="n">
        <v>140.516137</v>
      </c>
    </row>
    <row r="9041">
      <c r="A9041" s="24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5" t="n">
        <v>115.258718</v>
      </c>
    </row>
    <row r="9042">
      <c r="A9042" s="24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5" t="n">
        <v>90.856827</v>
      </c>
    </row>
    <row r="9043">
      <c r="A9043" s="24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5" t="n">
        <v>72.909014</v>
      </c>
    </row>
    <row r="9044">
      <c r="A9044" s="24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5" t="n">
        <v>59.803323</v>
      </c>
    </row>
    <row r="9045">
      <c r="A9045" s="24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5" t="n">
        <v>61.845691</v>
      </c>
    </row>
    <row r="9046">
      <c r="A9046" s="24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5" t="n">
        <v>52.126257</v>
      </c>
    </row>
    <row r="9047">
      <c r="A9047" s="24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5" t="n">
        <v>42.822438</v>
      </c>
    </row>
    <row r="9048">
      <c r="A9048" s="24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5" t="n">
        <v>48.225307</v>
      </c>
    </row>
    <row r="9049">
      <c r="A9049" s="24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5" t="n">
        <v>49.96321</v>
      </c>
    </row>
    <row r="9050">
      <c r="A9050" s="24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5" t="n">
        <v>54.607738</v>
      </c>
    </row>
    <row r="9051">
      <c r="A9051" s="24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5" t="n">
        <v>72.75234</v>
      </c>
    </row>
    <row r="9052">
      <c r="A9052" s="24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5" t="n">
        <v>120.480811</v>
      </c>
    </row>
    <row r="9053">
      <c r="A9053" s="24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5" t="n">
        <v>128.233612</v>
      </c>
    </row>
    <row r="9054">
      <c r="A9054" s="24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5" t="n">
        <v>96.571101</v>
      </c>
    </row>
    <row r="9055">
      <c r="A9055" s="24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5" t="n">
        <v>78.774297</v>
      </c>
    </row>
    <row r="9056">
      <c r="A9056" s="24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5" t="n">
        <v>61.998881</v>
      </c>
    </row>
    <row r="9057">
      <c r="A9057" s="24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5" t="n">
        <v>49.509697</v>
      </c>
    </row>
    <row r="9058">
      <c r="A9058" s="24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5" t="n">
        <v>52.223738</v>
      </c>
    </row>
    <row r="9059">
      <c r="A9059" s="24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5" t="n">
        <v>44.188356</v>
      </c>
    </row>
    <row r="9060">
      <c r="A9060" s="24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5" t="n">
        <v>55.62146</v>
      </c>
    </row>
    <row r="9061">
      <c r="A9061" s="24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5" t="n">
        <v>47.76377</v>
      </c>
    </row>
    <row r="9062">
      <c r="A9062" s="24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5" t="n">
        <v>57.979669</v>
      </c>
    </row>
    <row r="9063">
      <c r="A9063" s="24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5" t="n">
        <v>75.138661</v>
      </c>
    </row>
    <row r="9064">
      <c r="A9064" s="24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5" t="n">
        <v>73.720583</v>
      </c>
    </row>
    <row r="9065">
      <c r="A9065" s="24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5" t="n">
        <v>71.325287</v>
      </c>
    </row>
    <row r="9066">
      <c r="A9066" s="24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5" t="n">
        <v>86.455372</v>
      </c>
    </row>
    <row r="9067">
      <c r="A9067" s="24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5" t="n">
        <v>113.864654</v>
      </c>
    </row>
    <row r="9068">
      <c r="A9068" s="24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5" t="n">
        <v>100.957741</v>
      </c>
    </row>
    <row r="9069">
      <c r="A9069" s="24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5" t="n">
        <v>132.070838</v>
      </c>
    </row>
    <row r="9070">
      <c r="A9070" s="24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5" t="n">
        <v>117.18834</v>
      </c>
    </row>
    <row r="9071">
      <c r="A9071" s="24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5" t="n">
        <v>93.807692</v>
      </c>
    </row>
    <row r="9072">
      <c r="A9072" s="24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5" t="n">
        <v>123.619142</v>
      </c>
    </row>
    <row r="9073">
      <c r="A9073" s="24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5" t="n">
        <v>118.199366</v>
      </c>
    </row>
    <row r="9074">
      <c r="A9074" s="24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5" t="n">
        <v>110.368079</v>
      </c>
    </row>
    <row r="9075">
      <c r="A9075" s="24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5" t="n">
        <v>106.009459</v>
      </c>
    </row>
    <row r="9076">
      <c r="A9076" s="24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5" t="n">
        <v>88.615808</v>
      </c>
    </row>
    <row r="9077">
      <c r="A9077" s="24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5" t="n">
        <v>75.98994500000001</v>
      </c>
    </row>
    <row r="9078">
      <c r="A9078" s="24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5" t="n">
        <v>62.011792</v>
      </c>
    </row>
    <row r="9079">
      <c r="A9079" s="24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5" t="n">
        <v>50.678812</v>
      </c>
    </row>
    <row r="9080">
      <c r="A9080" s="24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5" t="n">
        <v>47.163221</v>
      </c>
    </row>
    <row r="9081">
      <c r="A9081" s="24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5" t="n">
        <v>75.149232</v>
      </c>
    </row>
    <row r="9082">
      <c r="A9082" s="24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5" t="n">
        <v>81.809242</v>
      </c>
    </row>
    <row r="9083">
      <c r="A9083" s="24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5" t="n">
        <v>82.80096899999999</v>
      </c>
    </row>
    <row r="9084">
      <c r="A9084" s="24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5" t="n">
        <v>81.887581</v>
      </c>
    </row>
    <row r="9085">
      <c r="A9085" s="24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5" t="n">
        <v>120.263807</v>
      </c>
    </row>
    <row r="9086">
      <c r="A9086" s="24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5" t="n">
        <v>119.891789</v>
      </c>
    </row>
    <row r="9087">
      <c r="A9087" s="24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5" t="n">
        <v>91.43434600000001</v>
      </c>
    </row>
    <row r="9088">
      <c r="A9088" s="24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5" t="n">
        <v>108.365838</v>
      </c>
    </row>
    <row r="9089">
      <c r="A9089" s="24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5" t="n">
        <v>108.490514</v>
      </c>
    </row>
    <row r="9090">
      <c r="A9090" s="24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5" t="n">
        <v>142.197193</v>
      </c>
    </row>
    <row r="9091">
      <c r="A9091" s="24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5" t="n">
        <v>161.313747</v>
      </c>
    </row>
    <row r="9092">
      <c r="A9092" s="24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5" t="n">
        <v>141.516799</v>
      </c>
    </row>
    <row r="9093">
      <c r="A9093" s="24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5" t="n">
        <v>125.132892</v>
      </c>
    </row>
    <row r="9094">
      <c r="A9094" s="24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5" t="n">
        <v>106.019962</v>
      </c>
    </row>
    <row r="9095">
      <c r="A9095" s="24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5" t="n">
        <v>93.84892000000001</v>
      </c>
    </row>
    <row r="9096">
      <c r="A9096" s="24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5" t="n">
        <v>103.888633</v>
      </c>
    </row>
    <row r="9097">
      <c r="A9097" s="24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5" t="n">
        <v>138.728808</v>
      </c>
    </row>
    <row r="9098">
      <c r="A9098" s="24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5" t="n">
        <v>119.946323</v>
      </c>
    </row>
    <row r="9099">
      <c r="A9099" s="24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5" t="n">
        <v>93.040031</v>
      </c>
    </row>
    <row r="9100">
      <c r="A9100" s="24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5" t="n">
        <v>74.754284</v>
      </c>
    </row>
    <row r="9101">
      <c r="A9101" s="24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5" t="n">
        <v>71.274907</v>
      </c>
    </row>
    <row r="9102">
      <c r="A9102" s="24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5" t="n">
        <v>78.881682</v>
      </c>
    </row>
    <row r="9103">
      <c r="A9103" s="24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5" t="n">
        <v>76.402019</v>
      </c>
    </row>
    <row r="9104">
      <c r="A9104" s="24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5" t="n">
        <v>61.766591</v>
      </c>
    </row>
    <row r="9105">
      <c r="A9105" s="24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5" t="n">
        <v>73.846262</v>
      </c>
    </row>
    <row r="9106">
      <c r="A9106" s="24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5" t="n">
        <v>77.23170399999999</v>
      </c>
    </row>
    <row r="9107">
      <c r="A9107" s="24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5" t="n">
        <v>71.204235</v>
      </c>
    </row>
    <row r="9108">
      <c r="A9108" s="24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5" t="n">
        <v>127.504618</v>
      </c>
    </row>
    <row r="9109">
      <c r="A9109" s="24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5" t="n">
        <v>155.808956</v>
      </c>
    </row>
    <row r="9110">
      <c r="A9110" s="24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5" t="n">
        <v>167.524083</v>
      </c>
    </row>
    <row r="9111">
      <c r="A9111" s="24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5" t="n">
        <v>176.668492</v>
      </c>
    </row>
    <row r="9112">
      <c r="A9112" s="24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5" t="n">
        <v>201.397657</v>
      </c>
    </row>
    <row r="9113">
      <c r="A9113" s="24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5" t="n">
        <v>201.20885</v>
      </c>
    </row>
    <row r="9114">
      <c r="A9114" s="24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5" t="n">
        <v>185.46646</v>
      </c>
    </row>
    <row r="9115">
      <c r="A9115" s="24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5" t="n">
        <v>150.558696</v>
      </c>
    </row>
    <row r="9116">
      <c r="A9116" s="24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5" t="n">
        <v>125.177738</v>
      </c>
    </row>
    <row r="9117">
      <c r="A9117" s="24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5" t="n">
        <v>150.235803</v>
      </c>
    </row>
    <row r="9118">
      <c r="A9118" s="24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5" t="n">
        <v>178.283514</v>
      </c>
    </row>
    <row r="9119">
      <c r="A9119" s="24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5" t="n">
        <v>176.313172</v>
      </c>
    </row>
    <row r="9120">
      <c r="A9120" s="24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5" t="n">
        <v>137.269704</v>
      </c>
    </row>
    <row r="9121">
      <c r="A9121" s="24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5" t="n">
        <v>106.848221</v>
      </c>
    </row>
    <row r="9122">
      <c r="A9122" s="24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5" t="n">
        <v>91.931051</v>
      </c>
    </row>
    <row r="9123">
      <c r="A9123" s="24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5" t="n">
        <v>77.83530399999999</v>
      </c>
    </row>
    <row r="9124">
      <c r="A9124" s="24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5" t="n">
        <v>88.880804</v>
      </c>
    </row>
    <row r="9125">
      <c r="A9125" s="24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5" t="n">
        <v>80.380038</v>
      </c>
    </row>
    <row r="9126">
      <c r="A9126" s="24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5" t="n">
        <v>101.358941</v>
      </c>
    </row>
    <row r="9127">
      <c r="A9127" s="24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5" t="n">
        <v>106.695987</v>
      </c>
    </row>
    <row r="9128">
      <c r="A9128" s="24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5" t="n">
        <v>95.634992</v>
      </c>
    </row>
    <row r="9129">
      <c r="A9129" s="24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5" t="n">
        <v>86.858632</v>
      </c>
    </row>
    <row r="9130">
      <c r="A9130" s="24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5" t="n">
        <v>94.082148</v>
      </c>
    </row>
    <row r="9131">
      <c r="A9131" s="24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5" t="n">
        <v>135.715334</v>
      </c>
    </row>
    <row r="9132">
      <c r="A9132" s="24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5" t="n">
        <v>141.141712</v>
      </c>
    </row>
    <row r="9133">
      <c r="A9133" s="24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5" t="n">
        <v>131.019587</v>
      </c>
    </row>
    <row r="9134">
      <c r="A9134" s="24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5" t="n">
        <v>115.49197</v>
      </c>
    </row>
    <row r="9135">
      <c r="A9135" s="24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5" t="n">
        <v>154.090585</v>
      </c>
    </row>
    <row r="9136">
      <c r="A9136" s="24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5" t="n">
        <v>173.785302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2026-10-20T14:22:09Z</dcterms:created>
  <dcterms:modified xsi:type="dcterms:W3CDTF">2026-10-20T14:22:09Z</dcterms:modified>
</cp:coreProperties>
</file>