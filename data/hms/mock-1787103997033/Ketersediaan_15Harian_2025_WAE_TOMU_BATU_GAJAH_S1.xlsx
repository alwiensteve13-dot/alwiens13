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KETERSEDIAAN_2025" sheetId="2" state="visible" r:id="rId2"/>
    <sheet name="WEIBULL_15HARIAN" sheetId="3" state="visible" r:id="rId3"/>
    <sheet name="DEBIT_15HARIAN" sheetId="4" state="visible" r:id="rId4"/>
    <sheet name="DEBIT_HARI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yyyy-mm-dd h:mm:ss"/>
    <numFmt numFmtId="167" formatCode="dd-mm-yyyy"/>
    <numFmt numFmtId="168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2" fillId="0" borderId="1" pivotButton="0" quotePrefix="0" xfId="0"/>
    <xf numFmtId="168" fontId="3" fillId="0" borderId="1" pivotButton="0" quotePrefix="0" xfId="0"/>
    <xf numFmtId="164" fontId="3" fillId="4" borderId="1" pivotButton="0" quotePrefix="0" xfId="0"/>
    <xf numFmtId="164" fontId="3" fillId="0" borderId="1" pivotButton="0" quotePrefix="0" xfId="0"/>
    <xf numFmtId="0" fontId="3" fillId="2" borderId="1" pivotButton="0" quotePrefix="0" xfId="0"/>
    <xf numFmtId="1" fontId="2" fillId="2" borderId="1" pivotButton="0" quotePrefix="0" xfId="0"/>
    <xf numFmtId="164" fontId="2" fillId="2" borderId="1" pivotButton="0" quotePrefix="0" xfId="0"/>
    <xf numFmtId="168" fontId="2" fillId="2" borderId="1" pivotButton="0" quotePrefix="0" xfId="0"/>
    <xf numFmtId="0" fontId="2" fillId="0" borderId="1" pivotButton="0" quotePrefix="0" xfId="0"/>
    <xf numFmtId="9" fontId="6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164" fontId="3" fillId="2" borderId="1" pivotButton="0" quotePrefix="0" xfId="0"/>
    <xf numFmtId="165" fontId="3" fillId="0" borderId="1" pivotButton="0" quotePrefix="0" xfId="0"/>
    <xf numFmtId="167" fontId="0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Ketersediaan air 15 harian tahun 2025 - S1</a:t>
            </a:r>
          </a:p>
        </rich>
      </tx>
    </title>
    <plotArea>
      <barChart>
        <barDir val="col"/>
        <grouping val="clustered"/>
        <ser>
          <idx val="0"/>
          <order val="0"/>
          <tx>
            <v>Debit 2025</v>
          </tx>
          <spPr>
            <a:solidFill>
              <a:srgbClr val="5B9BD5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'KETERSEDIAAN_2025'!$G$6:$G$29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Q80 andalan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'KETERSEDIAAN_2025'!$I$6:$I$29</f>
            </numRef>
          </val>
          <smooth val="0"/>
        </ser>
        <ser>
          <idx val="2"/>
          <order val="2"/>
          <tx>
            <v>Q50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'KETERSEDIAAN_2025'!$J$6:$J$29</f>
            </numRef>
          </val>
          <smooth val="0"/>
        </ser>
        <ser>
          <idx val="3"/>
          <order val="3"/>
          <tx>
            <v>Q90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'KETERSEDIAAN_2025'!$K$6:$K$29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 15 harian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ketersediaan air 15 harian tahun 2025</a:t>
            </a:r>
          </a:p>
        </rich>
      </tx>
    </title>
    <plotArea>
      <barChart>
        <barDir val="col"/>
        <grouping val="clustered"/>
        <ser>
          <idx val="0"/>
          <order val="0"/>
          <tx>
            <v>Volume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'KETERSEDIAAN_2025'!$H$6:$H$29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(juta m³)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S1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7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97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15 HARIAN TAHUN 2025 - WAE_TOMU_BATU_GAJAH (S1)</t>
        </is>
      </c>
    </row>
    <row r="3">
      <c r="A3" s="2" t="inlineStr">
        <is>
          <t>DAS / proyek</t>
        </is>
      </c>
      <c r="B3" s="3" t="inlineStr">
        <is>
          <t>WAE_TOMU_BATU_GAJAH</t>
        </is>
      </c>
    </row>
    <row r="4">
      <c r="A4" s="2" t="inlineStr">
        <is>
          <t>Elemen</t>
        </is>
      </c>
      <c r="B4" s="3" t="inlineStr">
        <is>
          <t>S1</t>
        </is>
      </c>
    </row>
    <row r="5">
      <c r="A5" s="2" t="inlineStr">
        <is>
          <t>Luas tangkapan (km²)</t>
        </is>
      </c>
      <c r="B5" s="3" t="n">
        <v>1.4944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Kalibrasi, pos Batu Merah, Faktor pengali per bulan, mutu Baik</t>
        </is>
      </c>
    </row>
    <row r="12">
      <c r="A12" s="2" t="inlineStr">
        <is>
          <t>Dibuat</t>
        </is>
      </c>
      <c r="B12" s="3" t="inlineStr">
        <is>
          <t>20-10-2026 17:17 -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KETERSEDIAAN_2025: debit rata-rata tiap 15 harian tahun 2025 (periode I = tanggal 1-15, periode II = tanggal 16 s/d akhir bulan) dan volumenya, dibandingkan dengan debit andalan 15 harian.</t>
        </is>
      </c>
    </row>
    <row r="16">
      <c r="A16" s="5" t="inlineStr">
        <is>
          <t>- Debit andalan (Q50/Q80/Q90) dari lembar WEIBULL_15HARIAN: debit 15 harian semua tahun lengkap diurutkan, P = m/(n+1) (Weibull), diinterpolasi linier.</t>
        </is>
      </c>
    </row>
    <row r="17">
      <c r="A17" s="5" t="inlineStr">
        <is>
          <t>- Volume (juta m³) = debit rata-rata x jumlah hari periode x 86.400 / 1.000.000.</t>
        </is>
      </c>
    </row>
    <row r="18">
      <c r="A18" s="5" t="inlineStr">
        <is>
          <t>- Tahun ini lengkap.</t>
        </is>
      </c>
    </row>
    <row r="19">
      <c r="A19" s="5" t="inlineStr">
        <is>
          <t>- Semua angka turunan adalah rumus Excel yang merujuk lembar DEBIT_HARIAN (angka biru = hasil simulasi).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9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  <col width="15" customWidth="1" min="12" max="12"/>
  </cols>
  <sheetData>
    <row r="1">
      <c r="A1" s="1" t="inlineStr">
        <is>
          <t>KETERSEDIAAN AIR 15 HARIAN TAHUN 2025 - S1</t>
        </is>
      </c>
    </row>
    <row r="2">
      <c r="A2" s="6" t="inlineStr">
        <is>
          <t>WAE_TOMU_BATU_GAJAH · luas tangkapan 1.49 km² · debit rata-rata periode dari debit harian hasil simulasi</t>
        </is>
      </c>
    </row>
    <row r="3">
      <c r="A3" s="4" t="inlineStr">
        <is>
          <t>Tahun</t>
        </is>
      </c>
      <c r="C3" s="7" t="n">
        <v>2025</v>
      </c>
    </row>
    <row r="5">
      <c r="A5" s="8" t="inlineStr">
        <is>
          <t>No</t>
        </is>
      </c>
      <c r="B5" s="8" t="inlineStr">
        <is>
          <t>Bulan</t>
        </is>
      </c>
      <c r="C5" s="8" t="inlineStr">
        <is>
          <t>Periode</t>
        </is>
      </c>
      <c r="D5" s="8" t="inlineStr">
        <is>
          <t>Tanggal</t>
        </is>
      </c>
      <c r="E5" s="8" t="inlineStr">
        <is>
          <t>Jumlah hari</t>
        </is>
      </c>
      <c r="F5" s="8" t="inlineStr">
        <is>
          <t>Hari berdata</t>
        </is>
      </c>
      <c r="G5" s="8" t="inlineStr">
        <is>
          <t>Debit rata-rata (m³/s)</t>
        </is>
      </c>
      <c r="H5" s="8" t="inlineStr">
        <is>
          <t>Volume (juta m³)</t>
        </is>
      </c>
      <c r="I5" s="8" t="inlineStr">
        <is>
          <t>Q80 andalan (m³/s)</t>
        </is>
      </c>
      <c r="J5" s="8" t="inlineStr">
        <is>
          <t>Q50 (m³/s)</t>
        </is>
      </c>
      <c r="K5" s="8" t="inlineStr">
        <is>
          <t>Q90 (m³/s)</t>
        </is>
      </c>
      <c r="L5" s="8" t="inlineStr">
        <is>
          <t>Terhadap Q80</t>
        </is>
      </c>
      <c r="N5" s="6" t="inlineStr">
        <is>
          <t>Label grafik</t>
        </is>
      </c>
    </row>
    <row r="6">
      <c r="A6" s="9" t="n">
        <v>1</v>
      </c>
      <c r="B6" s="3" t="inlineStr">
        <is>
          <t>Januari</t>
        </is>
      </c>
      <c r="C6" s="3" t="inlineStr">
        <is>
          <t>I</t>
        </is>
      </c>
      <c r="D6" s="3" t="inlineStr">
        <is>
          <t>1-15</t>
        </is>
      </c>
      <c r="E6" s="9" t="n">
        <v>15</v>
      </c>
      <c r="F6" s="9">
        <f>COUNTIFS(DEBIT_HARIAN!$B$6:$B$9136,$C$3,DEBIT_HARIAN!$C$6:$C$9136,1,DEBIT_HARIAN!$E$6:$E$9136,1)</f>
        <v/>
      </c>
      <c r="G6" s="10">
        <f>IFERROR(AVERAGEIFS(DEBIT_HARIAN!$F$6:$F$9136,DEBIT_HARIAN!$B$6:$B$9136,$C$3,DEBIT_HARIAN!$C$6:$C$9136,1,DEBIT_HARIAN!$E$6:$E$9136,1),"")</f>
        <v/>
      </c>
      <c r="H6" s="11">
        <f>IF(G6="","",G6*E6*86400/1000000)</f>
        <v/>
      </c>
      <c r="I6" s="12">
        <f>WEIBULL_15HARIAN!C$7</f>
        <v/>
      </c>
      <c r="J6" s="13">
        <f>WEIBULL_15HARIAN!C$6</f>
        <v/>
      </c>
      <c r="K6" s="13">
        <f>WEIBULL_15HARIAN!C$8</f>
        <v/>
      </c>
      <c r="L6" s="3">
        <f>IF(OR(G6="",I6=""),"",IF(G6&gt;=I6,"di atas Q80","di bawah Q80"))</f>
        <v/>
      </c>
      <c r="N6" s="6" t="inlineStr">
        <is>
          <t>Jan I</t>
        </is>
      </c>
    </row>
    <row r="7">
      <c r="A7" s="9" t="n">
        <v>2</v>
      </c>
      <c r="B7" s="3" t="inlineStr">
        <is>
          <t>Januari</t>
        </is>
      </c>
      <c r="C7" s="3" t="inlineStr">
        <is>
          <t>II</t>
        </is>
      </c>
      <c r="D7" s="3">
        <f>16&amp;"-"&amp;DAY(DATE($C$3,1+1,0))</f>
        <v/>
      </c>
      <c r="E7" s="9">
        <f>DAY(DATE($C$3,1+1,0))-15</f>
        <v/>
      </c>
      <c r="F7" s="9">
        <f>COUNTIFS(DEBIT_HARIAN!$B$6:$B$9136,$C$3,DEBIT_HARIAN!$C$6:$C$9136,1,DEBIT_HARIAN!$E$6:$E$9136,2)</f>
        <v/>
      </c>
      <c r="G7" s="10">
        <f>IFERROR(AVERAGEIFS(DEBIT_HARIAN!$F$6:$F$9136,DEBIT_HARIAN!$B$6:$B$9136,$C$3,DEBIT_HARIAN!$C$6:$C$9136,1,DEBIT_HARIAN!$E$6:$E$9136,2),"")</f>
        <v/>
      </c>
      <c r="H7" s="11">
        <f>IF(G7="","",G7*E7*86400/1000000)</f>
        <v/>
      </c>
      <c r="I7" s="12">
        <f>WEIBULL_15HARIAN!D$7</f>
        <v/>
      </c>
      <c r="J7" s="13">
        <f>WEIBULL_15HARIAN!D$6</f>
        <v/>
      </c>
      <c r="K7" s="13">
        <f>WEIBULL_15HARIAN!D$8</f>
        <v/>
      </c>
      <c r="L7" s="3">
        <f>IF(OR(G7="",I7=""),"",IF(G7&gt;=I7,"di atas Q80","di bawah Q80"))</f>
        <v/>
      </c>
      <c r="N7" s="6" t="inlineStr">
        <is>
          <t>Jan II</t>
        </is>
      </c>
    </row>
    <row r="8">
      <c r="A8" s="9" t="n">
        <v>3</v>
      </c>
      <c r="B8" s="3" t="inlineStr">
        <is>
          <t>Februari</t>
        </is>
      </c>
      <c r="C8" s="3" t="inlineStr">
        <is>
          <t>I</t>
        </is>
      </c>
      <c r="D8" s="3" t="inlineStr">
        <is>
          <t>1-15</t>
        </is>
      </c>
      <c r="E8" s="9" t="n">
        <v>15</v>
      </c>
      <c r="F8" s="9">
        <f>COUNTIFS(DEBIT_HARIAN!$B$6:$B$9136,$C$3,DEBIT_HARIAN!$C$6:$C$9136,2,DEBIT_HARIAN!$E$6:$E$9136,1)</f>
        <v/>
      </c>
      <c r="G8" s="10">
        <f>IFERROR(AVERAGEIFS(DEBIT_HARIAN!$F$6:$F$9136,DEBIT_HARIAN!$B$6:$B$9136,$C$3,DEBIT_HARIAN!$C$6:$C$9136,2,DEBIT_HARIAN!$E$6:$E$9136,1),"")</f>
        <v/>
      </c>
      <c r="H8" s="11">
        <f>IF(G8="","",G8*E8*86400/1000000)</f>
        <v/>
      </c>
      <c r="I8" s="12">
        <f>WEIBULL_15HARIAN!E$7</f>
        <v/>
      </c>
      <c r="J8" s="13">
        <f>WEIBULL_15HARIAN!E$6</f>
        <v/>
      </c>
      <c r="K8" s="13">
        <f>WEIBULL_15HARIAN!E$8</f>
        <v/>
      </c>
      <c r="L8" s="3">
        <f>IF(OR(G8="",I8=""),"",IF(G8&gt;=I8,"di atas Q80","di bawah Q80"))</f>
        <v/>
      </c>
      <c r="N8" s="6" t="inlineStr">
        <is>
          <t>Feb I</t>
        </is>
      </c>
    </row>
    <row r="9">
      <c r="A9" s="9" t="n">
        <v>4</v>
      </c>
      <c r="B9" s="3" t="inlineStr">
        <is>
          <t>Februari</t>
        </is>
      </c>
      <c r="C9" s="3" t="inlineStr">
        <is>
          <t>II</t>
        </is>
      </c>
      <c r="D9" s="3">
        <f>16&amp;"-"&amp;DAY(DATE($C$3,2+1,0))</f>
        <v/>
      </c>
      <c r="E9" s="9">
        <f>DAY(DATE($C$3,2+1,0))-15</f>
        <v/>
      </c>
      <c r="F9" s="9">
        <f>COUNTIFS(DEBIT_HARIAN!$B$6:$B$9136,$C$3,DEBIT_HARIAN!$C$6:$C$9136,2,DEBIT_HARIAN!$E$6:$E$9136,2)</f>
        <v/>
      </c>
      <c r="G9" s="10">
        <f>IFERROR(AVERAGEIFS(DEBIT_HARIAN!$F$6:$F$9136,DEBIT_HARIAN!$B$6:$B$9136,$C$3,DEBIT_HARIAN!$C$6:$C$9136,2,DEBIT_HARIAN!$E$6:$E$9136,2),"")</f>
        <v/>
      </c>
      <c r="H9" s="11">
        <f>IF(G9="","",G9*E9*86400/1000000)</f>
        <v/>
      </c>
      <c r="I9" s="12">
        <f>WEIBULL_15HARIAN!F$7</f>
        <v/>
      </c>
      <c r="J9" s="13">
        <f>WEIBULL_15HARIAN!F$6</f>
        <v/>
      </c>
      <c r="K9" s="13">
        <f>WEIBULL_15HARIAN!F$8</f>
        <v/>
      </c>
      <c r="L9" s="3">
        <f>IF(OR(G9="",I9=""),"",IF(G9&gt;=I9,"di atas Q80","di bawah Q80"))</f>
        <v/>
      </c>
      <c r="N9" s="6" t="inlineStr">
        <is>
          <t>Feb II</t>
        </is>
      </c>
    </row>
    <row r="10">
      <c r="A10" s="9" t="n">
        <v>5</v>
      </c>
      <c r="B10" s="3" t="inlineStr">
        <is>
          <t>Maret</t>
        </is>
      </c>
      <c r="C10" s="3" t="inlineStr">
        <is>
          <t>I</t>
        </is>
      </c>
      <c r="D10" s="3" t="inlineStr">
        <is>
          <t>1-15</t>
        </is>
      </c>
      <c r="E10" s="9" t="n">
        <v>15</v>
      </c>
      <c r="F10" s="9">
        <f>COUNTIFS(DEBIT_HARIAN!$B$6:$B$9136,$C$3,DEBIT_HARIAN!$C$6:$C$9136,3,DEBIT_HARIAN!$E$6:$E$9136,1)</f>
        <v/>
      </c>
      <c r="G10" s="10">
        <f>IFERROR(AVERAGEIFS(DEBIT_HARIAN!$F$6:$F$9136,DEBIT_HARIAN!$B$6:$B$9136,$C$3,DEBIT_HARIAN!$C$6:$C$9136,3,DEBIT_HARIAN!$E$6:$E$9136,1),"")</f>
        <v/>
      </c>
      <c r="H10" s="11">
        <f>IF(G10="","",G10*E10*86400/1000000)</f>
        <v/>
      </c>
      <c r="I10" s="12">
        <f>WEIBULL_15HARIAN!G$7</f>
        <v/>
      </c>
      <c r="J10" s="13">
        <f>WEIBULL_15HARIAN!G$6</f>
        <v/>
      </c>
      <c r="K10" s="13">
        <f>WEIBULL_15HARIAN!G$8</f>
        <v/>
      </c>
      <c r="L10" s="3">
        <f>IF(OR(G10="",I10=""),"",IF(G10&gt;=I10,"di atas Q80","di bawah Q80"))</f>
        <v/>
      </c>
      <c r="N10" s="6" t="inlineStr">
        <is>
          <t>Mar I</t>
        </is>
      </c>
    </row>
    <row r="11">
      <c r="A11" s="9" t="n">
        <v>6</v>
      </c>
      <c r="B11" s="3" t="inlineStr">
        <is>
          <t>Maret</t>
        </is>
      </c>
      <c r="C11" s="3" t="inlineStr">
        <is>
          <t>II</t>
        </is>
      </c>
      <c r="D11" s="3">
        <f>16&amp;"-"&amp;DAY(DATE($C$3,3+1,0))</f>
        <v/>
      </c>
      <c r="E11" s="9">
        <f>DAY(DATE($C$3,3+1,0))-15</f>
        <v/>
      </c>
      <c r="F11" s="9">
        <f>COUNTIFS(DEBIT_HARIAN!$B$6:$B$9136,$C$3,DEBIT_HARIAN!$C$6:$C$9136,3,DEBIT_HARIAN!$E$6:$E$9136,2)</f>
        <v/>
      </c>
      <c r="G11" s="10">
        <f>IFERROR(AVERAGEIFS(DEBIT_HARIAN!$F$6:$F$9136,DEBIT_HARIAN!$B$6:$B$9136,$C$3,DEBIT_HARIAN!$C$6:$C$9136,3,DEBIT_HARIAN!$E$6:$E$9136,2),"")</f>
        <v/>
      </c>
      <c r="H11" s="11">
        <f>IF(G11="","",G11*E11*86400/1000000)</f>
        <v/>
      </c>
      <c r="I11" s="12">
        <f>WEIBULL_15HARIAN!H$7</f>
        <v/>
      </c>
      <c r="J11" s="13">
        <f>WEIBULL_15HARIAN!H$6</f>
        <v/>
      </c>
      <c r="K11" s="13">
        <f>WEIBULL_15HARIAN!H$8</f>
        <v/>
      </c>
      <c r="L11" s="3">
        <f>IF(OR(G11="",I11=""),"",IF(G11&gt;=I11,"di atas Q80","di bawah Q80"))</f>
        <v/>
      </c>
      <c r="N11" s="6" t="inlineStr">
        <is>
          <t>Mar II</t>
        </is>
      </c>
    </row>
    <row r="12">
      <c r="A12" s="9" t="n">
        <v>7</v>
      </c>
      <c r="B12" s="3" t="inlineStr">
        <is>
          <t>April</t>
        </is>
      </c>
      <c r="C12" s="3" t="inlineStr">
        <is>
          <t>I</t>
        </is>
      </c>
      <c r="D12" s="3" t="inlineStr">
        <is>
          <t>1-15</t>
        </is>
      </c>
      <c r="E12" s="9" t="n">
        <v>15</v>
      </c>
      <c r="F12" s="9">
        <f>COUNTIFS(DEBIT_HARIAN!$B$6:$B$9136,$C$3,DEBIT_HARIAN!$C$6:$C$9136,4,DEBIT_HARIAN!$E$6:$E$9136,1)</f>
        <v/>
      </c>
      <c r="G12" s="10">
        <f>IFERROR(AVERAGEIFS(DEBIT_HARIAN!$F$6:$F$9136,DEBIT_HARIAN!$B$6:$B$9136,$C$3,DEBIT_HARIAN!$C$6:$C$9136,4,DEBIT_HARIAN!$E$6:$E$9136,1),"")</f>
        <v/>
      </c>
      <c r="H12" s="11">
        <f>IF(G12="","",G12*E12*86400/1000000)</f>
        <v/>
      </c>
      <c r="I12" s="12">
        <f>WEIBULL_15HARIAN!I$7</f>
        <v/>
      </c>
      <c r="J12" s="13">
        <f>WEIBULL_15HARIAN!I$6</f>
        <v/>
      </c>
      <c r="K12" s="13">
        <f>WEIBULL_15HARIAN!I$8</f>
        <v/>
      </c>
      <c r="L12" s="3">
        <f>IF(OR(G12="",I12=""),"",IF(G12&gt;=I12,"di atas Q80","di bawah Q80"))</f>
        <v/>
      </c>
      <c r="N12" s="6" t="inlineStr">
        <is>
          <t>Apr I</t>
        </is>
      </c>
    </row>
    <row r="13">
      <c r="A13" s="9" t="n">
        <v>8</v>
      </c>
      <c r="B13" s="3" t="inlineStr">
        <is>
          <t>April</t>
        </is>
      </c>
      <c r="C13" s="3" t="inlineStr">
        <is>
          <t>II</t>
        </is>
      </c>
      <c r="D13" s="3">
        <f>16&amp;"-"&amp;DAY(DATE($C$3,4+1,0))</f>
        <v/>
      </c>
      <c r="E13" s="9">
        <f>DAY(DATE($C$3,4+1,0))-15</f>
        <v/>
      </c>
      <c r="F13" s="9">
        <f>COUNTIFS(DEBIT_HARIAN!$B$6:$B$9136,$C$3,DEBIT_HARIAN!$C$6:$C$9136,4,DEBIT_HARIAN!$E$6:$E$9136,2)</f>
        <v/>
      </c>
      <c r="G13" s="10">
        <f>IFERROR(AVERAGEIFS(DEBIT_HARIAN!$F$6:$F$9136,DEBIT_HARIAN!$B$6:$B$9136,$C$3,DEBIT_HARIAN!$C$6:$C$9136,4,DEBIT_HARIAN!$E$6:$E$9136,2),"")</f>
        <v/>
      </c>
      <c r="H13" s="11">
        <f>IF(G13="","",G13*E13*86400/1000000)</f>
        <v/>
      </c>
      <c r="I13" s="12">
        <f>WEIBULL_15HARIAN!J$7</f>
        <v/>
      </c>
      <c r="J13" s="13">
        <f>WEIBULL_15HARIAN!J$6</f>
        <v/>
      </c>
      <c r="K13" s="13">
        <f>WEIBULL_15HARIAN!J$8</f>
        <v/>
      </c>
      <c r="L13" s="3">
        <f>IF(OR(G13="",I13=""),"",IF(G13&gt;=I13,"di atas Q80","di bawah Q80"))</f>
        <v/>
      </c>
      <c r="N13" s="6" t="inlineStr">
        <is>
          <t>Apr II</t>
        </is>
      </c>
    </row>
    <row r="14">
      <c r="A14" s="9" t="n">
        <v>9</v>
      </c>
      <c r="B14" s="3" t="inlineStr">
        <is>
          <t>Mei</t>
        </is>
      </c>
      <c r="C14" s="3" t="inlineStr">
        <is>
          <t>I</t>
        </is>
      </c>
      <c r="D14" s="3" t="inlineStr">
        <is>
          <t>1-15</t>
        </is>
      </c>
      <c r="E14" s="9" t="n">
        <v>15</v>
      </c>
      <c r="F14" s="9">
        <f>COUNTIFS(DEBIT_HARIAN!$B$6:$B$9136,$C$3,DEBIT_HARIAN!$C$6:$C$9136,5,DEBIT_HARIAN!$E$6:$E$9136,1)</f>
        <v/>
      </c>
      <c r="G14" s="10">
        <f>IFERROR(AVERAGEIFS(DEBIT_HARIAN!$F$6:$F$9136,DEBIT_HARIAN!$B$6:$B$9136,$C$3,DEBIT_HARIAN!$C$6:$C$9136,5,DEBIT_HARIAN!$E$6:$E$9136,1),"")</f>
        <v/>
      </c>
      <c r="H14" s="11">
        <f>IF(G14="","",G14*E14*86400/1000000)</f>
        <v/>
      </c>
      <c r="I14" s="12">
        <f>WEIBULL_15HARIAN!K$7</f>
        <v/>
      </c>
      <c r="J14" s="13">
        <f>WEIBULL_15HARIAN!K$6</f>
        <v/>
      </c>
      <c r="K14" s="13">
        <f>WEIBULL_15HARIAN!K$8</f>
        <v/>
      </c>
      <c r="L14" s="3">
        <f>IF(OR(G14="",I14=""),"",IF(G14&gt;=I14,"di atas Q80","di bawah Q80"))</f>
        <v/>
      </c>
      <c r="N14" s="6" t="inlineStr">
        <is>
          <t>Mei I</t>
        </is>
      </c>
    </row>
    <row r="15">
      <c r="A15" s="9" t="n">
        <v>10</v>
      </c>
      <c r="B15" s="3" t="inlineStr">
        <is>
          <t>Mei</t>
        </is>
      </c>
      <c r="C15" s="3" t="inlineStr">
        <is>
          <t>II</t>
        </is>
      </c>
      <c r="D15" s="3">
        <f>16&amp;"-"&amp;DAY(DATE($C$3,5+1,0))</f>
        <v/>
      </c>
      <c r="E15" s="9">
        <f>DAY(DATE($C$3,5+1,0))-15</f>
        <v/>
      </c>
      <c r="F15" s="9">
        <f>COUNTIFS(DEBIT_HARIAN!$B$6:$B$9136,$C$3,DEBIT_HARIAN!$C$6:$C$9136,5,DEBIT_HARIAN!$E$6:$E$9136,2)</f>
        <v/>
      </c>
      <c r="G15" s="10">
        <f>IFERROR(AVERAGEIFS(DEBIT_HARIAN!$F$6:$F$9136,DEBIT_HARIAN!$B$6:$B$9136,$C$3,DEBIT_HARIAN!$C$6:$C$9136,5,DEBIT_HARIAN!$E$6:$E$9136,2),"")</f>
        <v/>
      </c>
      <c r="H15" s="11">
        <f>IF(G15="","",G15*E15*86400/1000000)</f>
        <v/>
      </c>
      <c r="I15" s="12">
        <f>WEIBULL_15HARIAN!L$7</f>
        <v/>
      </c>
      <c r="J15" s="13">
        <f>WEIBULL_15HARIAN!L$6</f>
        <v/>
      </c>
      <c r="K15" s="13">
        <f>WEIBULL_15HARIAN!L$8</f>
        <v/>
      </c>
      <c r="L15" s="3">
        <f>IF(OR(G15="",I15=""),"",IF(G15&gt;=I15,"di atas Q80","di bawah Q80"))</f>
        <v/>
      </c>
      <c r="N15" s="6" t="inlineStr">
        <is>
          <t>Mei II</t>
        </is>
      </c>
    </row>
    <row r="16">
      <c r="A16" s="9" t="n">
        <v>11</v>
      </c>
      <c r="B16" s="3" t="inlineStr">
        <is>
          <t>Juni</t>
        </is>
      </c>
      <c r="C16" s="3" t="inlineStr">
        <is>
          <t>I</t>
        </is>
      </c>
      <c r="D16" s="3" t="inlineStr">
        <is>
          <t>1-15</t>
        </is>
      </c>
      <c r="E16" s="9" t="n">
        <v>15</v>
      </c>
      <c r="F16" s="9">
        <f>COUNTIFS(DEBIT_HARIAN!$B$6:$B$9136,$C$3,DEBIT_HARIAN!$C$6:$C$9136,6,DEBIT_HARIAN!$E$6:$E$9136,1)</f>
        <v/>
      </c>
      <c r="G16" s="10">
        <f>IFERROR(AVERAGEIFS(DEBIT_HARIAN!$F$6:$F$9136,DEBIT_HARIAN!$B$6:$B$9136,$C$3,DEBIT_HARIAN!$C$6:$C$9136,6,DEBIT_HARIAN!$E$6:$E$9136,1),"")</f>
        <v/>
      </c>
      <c r="H16" s="11">
        <f>IF(G16="","",G16*E16*86400/1000000)</f>
        <v/>
      </c>
      <c r="I16" s="12">
        <f>WEIBULL_15HARIAN!M$7</f>
        <v/>
      </c>
      <c r="J16" s="13">
        <f>WEIBULL_15HARIAN!M$6</f>
        <v/>
      </c>
      <c r="K16" s="13">
        <f>WEIBULL_15HARIAN!M$8</f>
        <v/>
      </c>
      <c r="L16" s="3">
        <f>IF(OR(G16="",I16=""),"",IF(G16&gt;=I16,"di atas Q80","di bawah Q80"))</f>
        <v/>
      </c>
      <c r="N16" s="6" t="inlineStr">
        <is>
          <t>Jun I</t>
        </is>
      </c>
    </row>
    <row r="17">
      <c r="A17" s="9" t="n">
        <v>12</v>
      </c>
      <c r="B17" s="3" t="inlineStr">
        <is>
          <t>Juni</t>
        </is>
      </c>
      <c r="C17" s="3" t="inlineStr">
        <is>
          <t>II</t>
        </is>
      </c>
      <c r="D17" s="3">
        <f>16&amp;"-"&amp;DAY(DATE($C$3,6+1,0))</f>
        <v/>
      </c>
      <c r="E17" s="9">
        <f>DAY(DATE($C$3,6+1,0))-15</f>
        <v/>
      </c>
      <c r="F17" s="9">
        <f>COUNTIFS(DEBIT_HARIAN!$B$6:$B$9136,$C$3,DEBIT_HARIAN!$C$6:$C$9136,6,DEBIT_HARIAN!$E$6:$E$9136,2)</f>
        <v/>
      </c>
      <c r="G17" s="10">
        <f>IFERROR(AVERAGEIFS(DEBIT_HARIAN!$F$6:$F$9136,DEBIT_HARIAN!$B$6:$B$9136,$C$3,DEBIT_HARIAN!$C$6:$C$9136,6,DEBIT_HARIAN!$E$6:$E$9136,2),"")</f>
        <v/>
      </c>
      <c r="H17" s="11">
        <f>IF(G17="","",G17*E17*86400/1000000)</f>
        <v/>
      </c>
      <c r="I17" s="12">
        <f>WEIBULL_15HARIAN!N$7</f>
        <v/>
      </c>
      <c r="J17" s="13">
        <f>WEIBULL_15HARIAN!N$6</f>
        <v/>
      </c>
      <c r="K17" s="13">
        <f>WEIBULL_15HARIAN!N$8</f>
        <v/>
      </c>
      <c r="L17" s="3">
        <f>IF(OR(G17="",I17=""),"",IF(G17&gt;=I17,"di atas Q80","di bawah Q80"))</f>
        <v/>
      </c>
      <c r="N17" s="6" t="inlineStr">
        <is>
          <t>Jun II</t>
        </is>
      </c>
    </row>
    <row r="18">
      <c r="A18" s="9" t="n">
        <v>13</v>
      </c>
      <c r="B18" s="3" t="inlineStr">
        <is>
          <t>Juli</t>
        </is>
      </c>
      <c r="C18" s="3" t="inlineStr">
        <is>
          <t>I</t>
        </is>
      </c>
      <c r="D18" s="3" t="inlineStr">
        <is>
          <t>1-15</t>
        </is>
      </c>
      <c r="E18" s="9" t="n">
        <v>15</v>
      </c>
      <c r="F18" s="9">
        <f>COUNTIFS(DEBIT_HARIAN!$B$6:$B$9136,$C$3,DEBIT_HARIAN!$C$6:$C$9136,7,DEBIT_HARIAN!$E$6:$E$9136,1)</f>
        <v/>
      </c>
      <c r="G18" s="10">
        <f>IFERROR(AVERAGEIFS(DEBIT_HARIAN!$F$6:$F$9136,DEBIT_HARIAN!$B$6:$B$9136,$C$3,DEBIT_HARIAN!$C$6:$C$9136,7,DEBIT_HARIAN!$E$6:$E$9136,1),"")</f>
        <v/>
      </c>
      <c r="H18" s="11">
        <f>IF(G18="","",G18*E18*86400/1000000)</f>
        <v/>
      </c>
      <c r="I18" s="12">
        <f>WEIBULL_15HARIAN!O$7</f>
        <v/>
      </c>
      <c r="J18" s="13">
        <f>WEIBULL_15HARIAN!O$6</f>
        <v/>
      </c>
      <c r="K18" s="13">
        <f>WEIBULL_15HARIAN!O$8</f>
        <v/>
      </c>
      <c r="L18" s="3">
        <f>IF(OR(G18="",I18=""),"",IF(G18&gt;=I18,"di atas Q80","di bawah Q80"))</f>
        <v/>
      </c>
      <c r="N18" s="6" t="inlineStr">
        <is>
          <t>Jul I</t>
        </is>
      </c>
    </row>
    <row r="19">
      <c r="A19" s="9" t="n">
        <v>14</v>
      </c>
      <c r="B19" s="3" t="inlineStr">
        <is>
          <t>Juli</t>
        </is>
      </c>
      <c r="C19" s="3" t="inlineStr">
        <is>
          <t>II</t>
        </is>
      </c>
      <c r="D19" s="3">
        <f>16&amp;"-"&amp;DAY(DATE($C$3,7+1,0))</f>
        <v/>
      </c>
      <c r="E19" s="9">
        <f>DAY(DATE($C$3,7+1,0))-15</f>
        <v/>
      </c>
      <c r="F19" s="9">
        <f>COUNTIFS(DEBIT_HARIAN!$B$6:$B$9136,$C$3,DEBIT_HARIAN!$C$6:$C$9136,7,DEBIT_HARIAN!$E$6:$E$9136,2)</f>
        <v/>
      </c>
      <c r="G19" s="10">
        <f>IFERROR(AVERAGEIFS(DEBIT_HARIAN!$F$6:$F$9136,DEBIT_HARIAN!$B$6:$B$9136,$C$3,DEBIT_HARIAN!$C$6:$C$9136,7,DEBIT_HARIAN!$E$6:$E$9136,2),"")</f>
        <v/>
      </c>
      <c r="H19" s="11">
        <f>IF(G19="","",G19*E19*86400/1000000)</f>
        <v/>
      </c>
      <c r="I19" s="12">
        <f>WEIBULL_15HARIAN!P$7</f>
        <v/>
      </c>
      <c r="J19" s="13">
        <f>WEIBULL_15HARIAN!P$6</f>
        <v/>
      </c>
      <c r="K19" s="13">
        <f>WEIBULL_15HARIAN!P$8</f>
        <v/>
      </c>
      <c r="L19" s="3">
        <f>IF(OR(G19="",I19=""),"",IF(G19&gt;=I19,"di atas Q80","di bawah Q80"))</f>
        <v/>
      </c>
      <c r="N19" s="6" t="inlineStr">
        <is>
          <t>Jul II</t>
        </is>
      </c>
    </row>
    <row r="20">
      <c r="A20" s="9" t="n">
        <v>15</v>
      </c>
      <c r="B20" s="3" t="inlineStr">
        <is>
          <t>Agustus</t>
        </is>
      </c>
      <c r="C20" s="3" t="inlineStr">
        <is>
          <t>I</t>
        </is>
      </c>
      <c r="D20" s="3" t="inlineStr">
        <is>
          <t>1-15</t>
        </is>
      </c>
      <c r="E20" s="9" t="n">
        <v>15</v>
      </c>
      <c r="F20" s="9">
        <f>COUNTIFS(DEBIT_HARIAN!$B$6:$B$9136,$C$3,DEBIT_HARIAN!$C$6:$C$9136,8,DEBIT_HARIAN!$E$6:$E$9136,1)</f>
        <v/>
      </c>
      <c r="G20" s="10">
        <f>IFERROR(AVERAGEIFS(DEBIT_HARIAN!$F$6:$F$9136,DEBIT_HARIAN!$B$6:$B$9136,$C$3,DEBIT_HARIAN!$C$6:$C$9136,8,DEBIT_HARIAN!$E$6:$E$9136,1),"")</f>
        <v/>
      </c>
      <c r="H20" s="11">
        <f>IF(G20="","",G20*E20*86400/1000000)</f>
        <v/>
      </c>
      <c r="I20" s="12">
        <f>WEIBULL_15HARIAN!Q$7</f>
        <v/>
      </c>
      <c r="J20" s="13">
        <f>WEIBULL_15HARIAN!Q$6</f>
        <v/>
      </c>
      <c r="K20" s="13">
        <f>WEIBULL_15HARIAN!Q$8</f>
        <v/>
      </c>
      <c r="L20" s="3">
        <f>IF(OR(G20="",I20=""),"",IF(G20&gt;=I20,"di atas Q80","di bawah Q80"))</f>
        <v/>
      </c>
      <c r="N20" s="6" t="inlineStr">
        <is>
          <t>Agu I</t>
        </is>
      </c>
    </row>
    <row r="21">
      <c r="A21" s="9" t="n">
        <v>16</v>
      </c>
      <c r="B21" s="3" t="inlineStr">
        <is>
          <t>Agustus</t>
        </is>
      </c>
      <c r="C21" s="3" t="inlineStr">
        <is>
          <t>II</t>
        </is>
      </c>
      <c r="D21" s="3">
        <f>16&amp;"-"&amp;DAY(DATE($C$3,8+1,0))</f>
        <v/>
      </c>
      <c r="E21" s="9">
        <f>DAY(DATE($C$3,8+1,0))-15</f>
        <v/>
      </c>
      <c r="F21" s="9">
        <f>COUNTIFS(DEBIT_HARIAN!$B$6:$B$9136,$C$3,DEBIT_HARIAN!$C$6:$C$9136,8,DEBIT_HARIAN!$E$6:$E$9136,2)</f>
        <v/>
      </c>
      <c r="G21" s="10">
        <f>IFERROR(AVERAGEIFS(DEBIT_HARIAN!$F$6:$F$9136,DEBIT_HARIAN!$B$6:$B$9136,$C$3,DEBIT_HARIAN!$C$6:$C$9136,8,DEBIT_HARIAN!$E$6:$E$9136,2),"")</f>
        <v/>
      </c>
      <c r="H21" s="11">
        <f>IF(G21="","",G21*E21*86400/1000000)</f>
        <v/>
      </c>
      <c r="I21" s="12">
        <f>WEIBULL_15HARIAN!R$7</f>
        <v/>
      </c>
      <c r="J21" s="13">
        <f>WEIBULL_15HARIAN!R$6</f>
        <v/>
      </c>
      <c r="K21" s="13">
        <f>WEIBULL_15HARIAN!R$8</f>
        <v/>
      </c>
      <c r="L21" s="3">
        <f>IF(OR(G21="",I21=""),"",IF(G21&gt;=I21,"di atas Q80","di bawah Q80"))</f>
        <v/>
      </c>
      <c r="N21" s="6" t="inlineStr">
        <is>
          <t>Agu II</t>
        </is>
      </c>
    </row>
    <row r="22">
      <c r="A22" s="9" t="n">
        <v>17</v>
      </c>
      <c r="B22" s="3" t="inlineStr">
        <is>
          <t>September</t>
        </is>
      </c>
      <c r="C22" s="3" t="inlineStr">
        <is>
          <t>I</t>
        </is>
      </c>
      <c r="D22" s="3" t="inlineStr">
        <is>
          <t>1-15</t>
        </is>
      </c>
      <c r="E22" s="9" t="n">
        <v>15</v>
      </c>
      <c r="F22" s="9">
        <f>COUNTIFS(DEBIT_HARIAN!$B$6:$B$9136,$C$3,DEBIT_HARIAN!$C$6:$C$9136,9,DEBIT_HARIAN!$E$6:$E$9136,1)</f>
        <v/>
      </c>
      <c r="G22" s="10">
        <f>IFERROR(AVERAGEIFS(DEBIT_HARIAN!$F$6:$F$9136,DEBIT_HARIAN!$B$6:$B$9136,$C$3,DEBIT_HARIAN!$C$6:$C$9136,9,DEBIT_HARIAN!$E$6:$E$9136,1),"")</f>
        <v/>
      </c>
      <c r="H22" s="11">
        <f>IF(G22="","",G22*E22*86400/1000000)</f>
        <v/>
      </c>
      <c r="I22" s="12">
        <f>WEIBULL_15HARIAN!S$7</f>
        <v/>
      </c>
      <c r="J22" s="13">
        <f>WEIBULL_15HARIAN!S$6</f>
        <v/>
      </c>
      <c r="K22" s="13">
        <f>WEIBULL_15HARIAN!S$8</f>
        <v/>
      </c>
      <c r="L22" s="3">
        <f>IF(OR(G22="",I22=""),"",IF(G22&gt;=I22,"di atas Q80","di bawah Q80"))</f>
        <v/>
      </c>
      <c r="N22" s="6" t="inlineStr">
        <is>
          <t>Sep I</t>
        </is>
      </c>
    </row>
    <row r="23">
      <c r="A23" s="9" t="n">
        <v>18</v>
      </c>
      <c r="B23" s="3" t="inlineStr">
        <is>
          <t>September</t>
        </is>
      </c>
      <c r="C23" s="3" t="inlineStr">
        <is>
          <t>II</t>
        </is>
      </c>
      <c r="D23" s="3">
        <f>16&amp;"-"&amp;DAY(DATE($C$3,9+1,0))</f>
        <v/>
      </c>
      <c r="E23" s="9">
        <f>DAY(DATE($C$3,9+1,0))-15</f>
        <v/>
      </c>
      <c r="F23" s="9">
        <f>COUNTIFS(DEBIT_HARIAN!$B$6:$B$9136,$C$3,DEBIT_HARIAN!$C$6:$C$9136,9,DEBIT_HARIAN!$E$6:$E$9136,2)</f>
        <v/>
      </c>
      <c r="G23" s="10">
        <f>IFERROR(AVERAGEIFS(DEBIT_HARIAN!$F$6:$F$9136,DEBIT_HARIAN!$B$6:$B$9136,$C$3,DEBIT_HARIAN!$C$6:$C$9136,9,DEBIT_HARIAN!$E$6:$E$9136,2),"")</f>
        <v/>
      </c>
      <c r="H23" s="11">
        <f>IF(G23="","",G23*E23*86400/1000000)</f>
        <v/>
      </c>
      <c r="I23" s="12">
        <f>WEIBULL_15HARIAN!T$7</f>
        <v/>
      </c>
      <c r="J23" s="13">
        <f>WEIBULL_15HARIAN!T$6</f>
        <v/>
      </c>
      <c r="K23" s="13">
        <f>WEIBULL_15HARIAN!T$8</f>
        <v/>
      </c>
      <c r="L23" s="3">
        <f>IF(OR(G23="",I23=""),"",IF(G23&gt;=I23,"di atas Q80","di bawah Q80"))</f>
        <v/>
      </c>
      <c r="N23" s="6" t="inlineStr">
        <is>
          <t>Sep II</t>
        </is>
      </c>
    </row>
    <row r="24">
      <c r="A24" s="9" t="n">
        <v>19</v>
      </c>
      <c r="B24" s="3" t="inlineStr">
        <is>
          <t>Oktober</t>
        </is>
      </c>
      <c r="C24" s="3" t="inlineStr">
        <is>
          <t>I</t>
        </is>
      </c>
      <c r="D24" s="3" t="inlineStr">
        <is>
          <t>1-15</t>
        </is>
      </c>
      <c r="E24" s="9" t="n">
        <v>15</v>
      </c>
      <c r="F24" s="9">
        <f>COUNTIFS(DEBIT_HARIAN!$B$6:$B$9136,$C$3,DEBIT_HARIAN!$C$6:$C$9136,10,DEBIT_HARIAN!$E$6:$E$9136,1)</f>
        <v/>
      </c>
      <c r="G24" s="10">
        <f>IFERROR(AVERAGEIFS(DEBIT_HARIAN!$F$6:$F$9136,DEBIT_HARIAN!$B$6:$B$9136,$C$3,DEBIT_HARIAN!$C$6:$C$9136,10,DEBIT_HARIAN!$E$6:$E$9136,1),"")</f>
        <v/>
      </c>
      <c r="H24" s="11">
        <f>IF(G24="","",G24*E24*86400/1000000)</f>
        <v/>
      </c>
      <c r="I24" s="12">
        <f>WEIBULL_15HARIAN!U$7</f>
        <v/>
      </c>
      <c r="J24" s="13">
        <f>WEIBULL_15HARIAN!U$6</f>
        <v/>
      </c>
      <c r="K24" s="13">
        <f>WEIBULL_15HARIAN!U$8</f>
        <v/>
      </c>
      <c r="L24" s="3">
        <f>IF(OR(G24="",I24=""),"",IF(G24&gt;=I24,"di atas Q80","di bawah Q80"))</f>
        <v/>
      </c>
      <c r="N24" s="6" t="inlineStr">
        <is>
          <t>Okt I</t>
        </is>
      </c>
    </row>
    <row r="25">
      <c r="A25" s="9" t="n">
        <v>20</v>
      </c>
      <c r="B25" s="3" t="inlineStr">
        <is>
          <t>Oktober</t>
        </is>
      </c>
      <c r="C25" s="3" t="inlineStr">
        <is>
          <t>II</t>
        </is>
      </c>
      <c r="D25" s="3">
        <f>16&amp;"-"&amp;DAY(DATE($C$3,10+1,0))</f>
        <v/>
      </c>
      <c r="E25" s="9">
        <f>DAY(DATE($C$3,10+1,0))-15</f>
        <v/>
      </c>
      <c r="F25" s="9">
        <f>COUNTIFS(DEBIT_HARIAN!$B$6:$B$9136,$C$3,DEBIT_HARIAN!$C$6:$C$9136,10,DEBIT_HARIAN!$E$6:$E$9136,2)</f>
        <v/>
      </c>
      <c r="G25" s="10">
        <f>IFERROR(AVERAGEIFS(DEBIT_HARIAN!$F$6:$F$9136,DEBIT_HARIAN!$B$6:$B$9136,$C$3,DEBIT_HARIAN!$C$6:$C$9136,10,DEBIT_HARIAN!$E$6:$E$9136,2),"")</f>
        <v/>
      </c>
      <c r="H25" s="11">
        <f>IF(G25="","",G25*E25*86400/1000000)</f>
        <v/>
      </c>
      <c r="I25" s="12">
        <f>WEIBULL_15HARIAN!V$7</f>
        <v/>
      </c>
      <c r="J25" s="13">
        <f>WEIBULL_15HARIAN!V$6</f>
        <v/>
      </c>
      <c r="K25" s="13">
        <f>WEIBULL_15HARIAN!V$8</f>
        <v/>
      </c>
      <c r="L25" s="3">
        <f>IF(OR(G25="",I25=""),"",IF(G25&gt;=I25,"di atas Q80","di bawah Q80"))</f>
        <v/>
      </c>
      <c r="N25" s="6" t="inlineStr">
        <is>
          <t>Okt II</t>
        </is>
      </c>
    </row>
    <row r="26">
      <c r="A26" s="9" t="n">
        <v>21</v>
      </c>
      <c r="B26" s="3" t="inlineStr">
        <is>
          <t>November</t>
        </is>
      </c>
      <c r="C26" s="3" t="inlineStr">
        <is>
          <t>I</t>
        </is>
      </c>
      <c r="D26" s="3" t="inlineStr">
        <is>
          <t>1-15</t>
        </is>
      </c>
      <c r="E26" s="9" t="n">
        <v>15</v>
      </c>
      <c r="F26" s="9">
        <f>COUNTIFS(DEBIT_HARIAN!$B$6:$B$9136,$C$3,DEBIT_HARIAN!$C$6:$C$9136,11,DEBIT_HARIAN!$E$6:$E$9136,1)</f>
        <v/>
      </c>
      <c r="G26" s="10">
        <f>IFERROR(AVERAGEIFS(DEBIT_HARIAN!$F$6:$F$9136,DEBIT_HARIAN!$B$6:$B$9136,$C$3,DEBIT_HARIAN!$C$6:$C$9136,11,DEBIT_HARIAN!$E$6:$E$9136,1),"")</f>
        <v/>
      </c>
      <c r="H26" s="11">
        <f>IF(G26="","",G26*E26*86400/1000000)</f>
        <v/>
      </c>
      <c r="I26" s="12">
        <f>WEIBULL_15HARIAN!W$7</f>
        <v/>
      </c>
      <c r="J26" s="13">
        <f>WEIBULL_15HARIAN!W$6</f>
        <v/>
      </c>
      <c r="K26" s="13">
        <f>WEIBULL_15HARIAN!W$8</f>
        <v/>
      </c>
      <c r="L26" s="3">
        <f>IF(OR(G26="",I26=""),"",IF(G26&gt;=I26,"di atas Q80","di bawah Q80"))</f>
        <v/>
      </c>
      <c r="N26" s="6" t="inlineStr">
        <is>
          <t>Nov I</t>
        </is>
      </c>
    </row>
    <row r="27">
      <c r="A27" s="9" t="n">
        <v>22</v>
      </c>
      <c r="B27" s="3" t="inlineStr">
        <is>
          <t>November</t>
        </is>
      </c>
      <c r="C27" s="3" t="inlineStr">
        <is>
          <t>II</t>
        </is>
      </c>
      <c r="D27" s="3">
        <f>16&amp;"-"&amp;DAY(DATE($C$3,11+1,0))</f>
        <v/>
      </c>
      <c r="E27" s="9">
        <f>DAY(DATE($C$3,11+1,0))-15</f>
        <v/>
      </c>
      <c r="F27" s="9">
        <f>COUNTIFS(DEBIT_HARIAN!$B$6:$B$9136,$C$3,DEBIT_HARIAN!$C$6:$C$9136,11,DEBIT_HARIAN!$E$6:$E$9136,2)</f>
        <v/>
      </c>
      <c r="G27" s="10">
        <f>IFERROR(AVERAGEIFS(DEBIT_HARIAN!$F$6:$F$9136,DEBIT_HARIAN!$B$6:$B$9136,$C$3,DEBIT_HARIAN!$C$6:$C$9136,11,DEBIT_HARIAN!$E$6:$E$9136,2),"")</f>
        <v/>
      </c>
      <c r="H27" s="11">
        <f>IF(G27="","",G27*E27*86400/1000000)</f>
        <v/>
      </c>
      <c r="I27" s="12">
        <f>WEIBULL_15HARIAN!X$7</f>
        <v/>
      </c>
      <c r="J27" s="13">
        <f>WEIBULL_15HARIAN!X$6</f>
        <v/>
      </c>
      <c r="K27" s="13">
        <f>WEIBULL_15HARIAN!X$8</f>
        <v/>
      </c>
      <c r="L27" s="3">
        <f>IF(OR(G27="",I27=""),"",IF(G27&gt;=I27,"di atas Q80","di bawah Q80"))</f>
        <v/>
      </c>
      <c r="N27" s="6" t="inlineStr">
        <is>
          <t>Nov II</t>
        </is>
      </c>
    </row>
    <row r="28">
      <c r="A28" s="9" t="n">
        <v>23</v>
      </c>
      <c r="B28" s="3" t="inlineStr">
        <is>
          <t>Desember</t>
        </is>
      </c>
      <c r="C28" s="3" t="inlineStr">
        <is>
          <t>I</t>
        </is>
      </c>
      <c r="D28" s="3" t="inlineStr">
        <is>
          <t>1-15</t>
        </is>
      </c>
      <c r="E28" s="9" t="n">
        <v>15</v>
      </c>
      <c r="F28" s="9">
        <f>COUNTIFS(DEBIT_HARIAN!$B$6:$B$9136,$C$3,DEBIT_HARIAN!$C$6:$C$9136,12,DEBIT_HARIAN!$E$6:$E$9136,1)</f>
        <v/>
      </c>
      <c r="G28" s="10">
        <f>IFERROR(AVERAGEIFS(DEBIT_HARIAN!$F$6:$F$9136,DEBIT_HARIAN!$B$6:$B$9136,$C$3,DEBIT_HARIAN!$C$6:$C$9136,12,DEBIT_HARIAN!$E$6:$E$9136,1),"")</f>
        <v/>
      </c>
      <c r="H28" s="11">
        <f>IF(G28="","",G28*E28*86400/1000000)</f>
        <v/>
      </c>
      <c r="I28" s="12">
        <f>WEIBULL_15HARIAN!Y$7</f>
        <v/>
      </c>
      <c r="J28" s="13">
        <f>WEIBULL_15HARIAN!Y$6</f>
        <v/>
      </c>
      <c r="K28" s="13">
        <f>WEIBULL_15HARIAN!Y$8</f>
        <v/>
      </c>
      <c r="L28" s="3">
        <f>IF(OR(G28="",I28=""),"",IF(G28&gt;=I28,"di atas Q80","di bawah Q80"))</f>
        <v/>
      </c>
      <c r="N28" s="6" t="inlineStr">
        <is>
          <t>Des I</t>
        </is>
      </c>
    </row>
    <row r="29">
      <c r="A29" s="9" t="n">
        <v>24</v>
      </c>
      <c r="B29" s="3" t="inlineStr">
        <is>
          <t>Desember</t>
        </is>
      </c>
      <c r="C29" s="3" t="inlineStr">
        <is>
          <t>II</t>
        </is>
      </c>
      <c r="D29" s="3">
        <f>16&amp;"-"&amp;DAY(DATE($C$3,12+1,0))</f>
        <v/>
      </c>
      <c r="E29" s="9">
        <f>DAY(DATE($C$3,12+1,0))-15</f>
        <v/>
      </c>
      <c r="F29" s="9">
        <f>COUNTIFS(DEBIT_HARIAN!$B$6:$B$9136,$C$3,DEBIT_HARIAN!$C$6:$C$9136,12,DEBIT_HARIAN!$E$6:$E$9136,2)</f>
        <v/>
      </c>
      <c r="G29" s="10">
        <f>IFERROR(AVERAGEIFS(DEBIT_HARIAN!$F$6:$F$9136,DEBIT_HARIAN!$B$6:$B$9136,$C$3,DEBIT_HARIAN!$C$6:$C$9136,12,DEBIT_HARIAN!$E$6:$E$9136,2),"")</f>
        <v/>
      </c>
      <c r="H29" s="11">
        <f>IF(G29="","",G29*E29*86400/1000000)</f>
        <v/>
      </c>
      <c r="I29" s="12">
        <f>WEIBULL_15HARIAN!Z$7</f>
        <v/>
      </c>
      <c r="J29" s="13">
        <f>WEIBULL_15HARIAN!Z$6</f>
        <v/>
      </c>
      <c r="K29" s="13">
        <f>WEIBULL_15HARIAN!Z$8</f>
        <v/>
      </c>
      <c r="L29" s="3">
        <f>IF(OR(G29="",I29=""),"",IF(G29&gt;=I29,"di atas Q80","di bawah Q80"))</f>
        <v/>
      </c>
      <c r="N29" s="6" t="inlineStr">
        <is>
          <t>Des II</t>
        </is>
      </c>
    </row>
    <row r="30">
      <c r="A30" s="14" t="inlineStr"/>
      <c r="B30" s="2" t="inlineStr">
        <is>
          <t>Tahun 2025</t>
        </is>
      </c>
      <c r="C30" s="14" t="inlineStr"/>
      <c r="D30" s="14" t="inlineStr"/>
      <c r="E30" s="15">
        <f>SUM(E6:E29)</f>
        <v/>
      </c>
      <c r="F30" s="15">
        <f>SUM(F6:F29)</f>
        <v/>
      </c>
      <c r="G30" s="16">
        <f>IFERROR(AVERAGEIFS(DEBIT_HARIAN!$F$6:$F$9136,DEBIT_HARIAN!$B$6:$B$9136,$C$3),"")</f>
        <v/>
      </c>
      <c r="H30" s="17">
        <f>SUM(H6:H29)</f>
        <v/>
      </c>
      <c r="I30" s="14" t="inlineStr"/>
      <c r="J30" s="14" t="inlineStr"/>
      <c r="K30" s="14" t="inlineStr"/>
      <c r="L30" s="2">
        <f>IF(COUNT(G6:G29)=0,"",COUNTIF(L6:L29,"di atas Q80")&amp;" dari "&amp;COUNT(G6:G29)&amp;" periode di atas Q80")</f>
        <v/>
      </c>
    </row>
    <row r="31">
      <c r="A31" s="6" t="inlineStr">
        <is>
          <t>Baris jumlah: debit = rata-rata debit harian setahun; volume = jumlah volume 24 periode. Ubah sel C3 untuk menampilkan tahun lain yang ada di DEBIT_HARIAN.</t>
        </is>
      </c>
    </row>
  </sheetData>
  <mergeCells count="1">
    <mergeCell ref="A3:B3"/>
  </mergeCell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S1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18" t="inlineStr">
        <is>
          <t>Q50 (m³/s)</t>
        </is>
      </c>
      <c r="B6" s="19" t="n">
        <v>0.5</v>
      </c>
      <c r="C6" s="13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3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3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3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3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3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3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3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3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3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3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3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3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3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3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3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3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3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3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3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3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3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3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3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20" t="inlineStr">
        <is>
          <t>Q80 (m³/s)</t>
        </is>
      </c>
      <c r="B7" s="19" t="n">
        <v>0.8</v>
      </c>
      <c r="C7" s="21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21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21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21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21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21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21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21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21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21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21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21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21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21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21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21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21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21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21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21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21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21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21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21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18" t="inlineStr">
        <is>
          <t>Q90 (m³/s)</t>
        </is>
      </c>
      <c r="B8" s="19" t="n">
        <v>0.9</v>
      </c>
      <c r="C8" s="13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3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3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3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3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3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3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3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3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3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3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3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3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3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3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3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3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3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3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3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3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3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3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3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18" t="inlineStr">
        <is>
          <t>Q95 (m³/s)</t>
        </is>
      </c>
      <c r="B9" s="19" t="n">
        <v>0.95</v>
      </c>
      <c r="C9" s="13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3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3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3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3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3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3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3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3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3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3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3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3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3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3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3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3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3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3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3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3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3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3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3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22">
        <f>IFERROR(AVERAGE(DEBIT_15HARIAN!$B$7:$B$31),"")</f>
        <v/>
      </c>
      <c r="D10" s="22">
        <f>IFERROR(AVERAGE(DEBIT_15HARIAN!$C$7:$C$31),"")</f>
        <v/>
      </c>
      <c r="E10" s="22">
        <f>IFERROR(AVERAGE(DEBIT_15HARIAN!$D$7:$D$31),"")</f>
        <v/>
      </c>
      <c r="F10" s="22">
        <f>IFERROR(AVERAGE(DEBIT_15HARIAN!$E$7:$E$31),"")</f>
        <v/>
      </c>
      <c r="G10" s="22">
        <f>IFERROR(AVERAGE(DEBIT_15HARIAN!$F$7:$F$31),"")</f>
        <v/>
      </c>
      <c r="H10" s="22">
        <f>IFERROR(AVERAGE(DEBIT_15HARIAN!$G$7:$G$31),"")</f>
        <v/>
      </c>
      <c r="I10" s="22">
        <f>IFERROR(AVERAGE(DEBIT_15HARIAN!$H$7:$H$31),"")</f>
        <v/>
      </c>
      <c r="J10" s="22">
        <f>IFERROR(AVERAGE(DEBIT_15HARIAN!$I$7:$I$31),"")</f>
        <v/>
      </c>
      <c r="K10" s="22">
        <f>IFERROR(AVERAGE(DEBIT_15HARIAN!$J$7:$J$31),"")</f>
        <v/>
      </c>
      <c r="L10" s="22">
        <f>IFERROR(AVERAGE(DEBIT_15HARIAN!$K$7:$K$31),"")</f>
        <v/>
      </c>
      <c r="M10" s="22">
        <f>IFERROR(AVERAGE(DEBIT_15HARIAN!$L$7:$L$31),"")</f>
        <v/>
      </c>
      <c r="N10" s="22">
        <f>IFERROR(AVERAGE(DEBIT_15HARIAN!$M$7:$M$31),"")</f>
        <v/>
      </c>
      <c r="O10" s="22">
        <f>IFERROR(AVERAGE(DEBIT_15HARIAN!$N$7:$N$31),"")</f>
        <v/>
      </c>
      <c r="P10" s="22">
        <f>IFERROR(AVERAGE(DEBIT_15HARIAN!$O$7:$O$31),"")</f>
        <v/>
      </c>
      <c r="Q10" s="22">
        <f>IFERROR(AVERAGE(DEBIT_15HARIAN!$P$7:$P$31),"")</f>
        <v/>
      </c>
      <c r="R10" s="22">
        <f>IFERROR(AVERAGE(DEBIT_15HARIAN!$Q$7:$Q$31),"")</f>
        <v/>
      </c>
      <c r="S10" s="22">
        <f>IFERROR(AVERAGE(DEBIT_15HARIAN!$R$7:$R$31),"")</f>
        <v/>
      </c>
      <c r="T10" s="22">
        <f>IFERROR(AVERAGE(DEBIT_15HARIAN!$S$7:$S$31),"")</f>
        <v/>
      </c>
      <c r="U10" s="22">
        <f>IFERROR(AVERAGE(DEBIT_15HARIAN!$T$7:$T$31),"")</f>
        <v/>
      </c>
      <c r="V10" s="22">
        <f>IFERROR(AVERAGE(DEBIT_15HARIAN!$U$7:$U$31),"")</f>
        <v/>
      </c>
      <c r="W10" s="22">
        <f>IFERROR(AVERAGE(DEBIT_15HARIAN!$V$7:$V$31),"")</f>
        <v/>
      </c>
      <c r="X10" s="22">
        <f>IFERROR(AVERAGE(DEBIT_15HARIAN!$W$7:$W$31),"")</f>
        <v/>
      </c>
      <c r="Y10" s="22">
        <f>IFERROR(AVERAGE(DEBIT_15HARIAN!$X$7:$X$31),"")</f>
        <v/>
      </c>
      <c r="Z10" s="22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9" t="n">
        <v>1</v>
      </c>
      <c r="B35" s="23">
        <f>IF(A35&gt;$C$3,"",A35/($C$3+1))</f>
        <v/>
      </c>
      <c r="C35" s="13">
        <f>IF($A35&gt;$C$3,"",LARGE(DEBIT_15HARIAN!$B$7:$B$31,$A35))</f>
        <v/>
      </c>
      <c r="D35" s="13">
        <f>IF($A35&gt;$C$3,"",LARGE(DEBIT_15HARIAN!$C$7:$C$31,$A35))</f>
        <v/>
      </c>
      <c r="E35" s="13">
        <f>IF($A35&gt;$C$3,"",LARGE(DEBIT_15HARIAN!$D$7:$D$31,$A35))</f>
        <v/>
      </c>
      <c r="F35" s="13">
        <f>IF($A35&gt;$C$3,"",LARGE(DEBIT_15HARIAN!$E$7:$E$31,$A35))</f>
        <v/>
      </c>
      <c r="G35" s="13">
        <f>IF($A35&gt;$C$3,"",LARGE(DEBIT_15HARIAN!$F$7:$F$31,$A35))</f>
        <v/>
      </c>
      <c r="H35" s="13">
        <f>IF($A35&gt;$C$3,"",LARGE(DEBIT_15HARIAN!$G$7:$G$31,$A35))</f>
        <v/>
      </c>
      <c r="I35" s="13">
        <f>IF($A35&gt;$C$3,"",LARGE(DEBIT_15HARIAN!$H$7:$H$31,$A35))</f>
        <v/>
      </c>
      <c r="J35" s="13">
        <f>IF($A35&gt;$C$3,"",LARGE(DEBIT_15HARIAN!$I$7:$I$31,$A35))</f>
        <v/>
      </c>
      <c r="K35" s="13">
        <f>IF($A35&gt;$C$3,"",LARGE(DEBIT_15HARIAN!$J$7:$J$31,$A35))</f>
        <v/>
      </c>
      <c r="L35" s="13">
        <f>IF($A35&gt;$C$3,"",LARGE(DEBIT_15HARIAN!$K$7:$K$31,$A35))</f>
        <v/>
      </c>
      <c r="M35" s="13">
        <f>IF($A35&gt;$C$3,"",LARGE(DEBIT_15HARIAN!$L$7:$L$31,$A35))</f>
        <v/>
      </c>
      <c r="N35" s="13">
        <f>IF($A35&gt;$C$3,"",LARGE(DEBIT_15HARIAN!$M$7:$M$31,$A35))</f>
        <v/>
      </c>
      <c r="O35" s="13">
        <f>IF($A35&gt;$C$3,"",LARGE(DEBIT_15HARIAN!$N$7:$N$31,$A35))</f>
        <v/>
      </c>
      <c r="P35" s="13">
        <f>IF($A35&gt;$C$3,"",LARGE(DEBIT_15HARIAN!$O$7:$O$31,$A35))</f>
        <v/>
      </c>
      <c r="Q35" s="13">
        <f>IF($A35&gt;$C$3,"",LARGE(DEBIT_15HARIAN!$P$7:$P$31,$A35))</f>
        <v/>
      </c>
      <c r="R35" s="13">
        <f>IF($A35&gt;$C$3,"",LARGE(DEBIT_15HARIAN!$Q$7:$Q$31,$A35))</f>
        <v/>
      </c>
      <c r="S35" s="13">
        <f>IF($A35&gt;$C$3,"",LARGE(DEBIT_15HARIAN!$R$7:$R$31,$A35))</f>
        <v/>
      </c>
      <c r="T35" s="13">
        <f>IF($A35&gt;$C$3,"",LARGE(DEBIT_15HARIAN!$S$7:$S$31,$A35))</f>
        <v/>
      </c>
      <c r="U35" s="13">
        <f>IF($A35&gt;$C$3,"",LARGE(DEBIT_15HARIAN!$T$7:$T$31,$A35))</f>
        <v/>
      </c>
      <c r="V35" s="13">
        <f>IF($A35&gt;$C$3,"",LARGE(DEBIT_15HARIAN!$U$7:$U$31,$A35))</f>
        <v/>
      </c>
      <c r="W35" s="13">
        <f>IF($A35&gt;$C$3,"",LARGE(DEBIT_15HARIAN!$V$7:$V$31,$A35))</f>
        <v/>
      </c>
      <c r="X35" s="13">
        <f>IF($A35&gt;$C$3,"",LARGE(DEBIT_15HARIAN!$W$7:$W$31,$A35))</f>
        <v/>
      </c>
      <c r="Y35" s="13">
        <f>IF($A35&gt;$C$3,"",LARGE(DEBIT_15HARIAN!$X$7:$X$31,$A35))</f>
        <v/>
      </c>
      <c r="Z35" s="13">
        <f>IF($A35&gt;$C$3,"",LARGE(DEBIT_15HARIAN!$Y$7:$Y$31,$A35))</f>
        <v/>
      </c>
    </row>
    <row r="36">
      <c r="A36" s="9" t="n">
        <v>2</v>
      </c>
      <c r="B36" s="23">
        <f>IF(A36&gt;$C$3,"",A36/($C$3+1))</f>
        <v/>
      </c>
      <c r="C36" s="13">
        <f>IF($A36&gt;$C$3,"",LARGE(DEBIT_15HARIAN!$B$7:$B$31,$A36))</f>
        <v/>
      </c>
      <c r="D36" s="13">
        <f>IF($A36&gt;$C$3,"",LARGE(DEBIT_15HARIAN!$C$7:$C$31,$A36))</f>
        <v/>
      </c>
      <c r="E36" s="13">
        <f>IF($A36&gt;$C$3,"",LARGE(DEBIT_15HARIAN!$D$7:$D$31,$A36))</f>
        <v/>
      </c>
      <c r="F36" s="13">
        <f>IF($A36&gt;$C$3,"",LARGE(DEBIT_15HARIAN!$E$7:$E$31,$A36))</f>
        <v/>
      </c>
      <c r="G36" s="13">
        <f>IF($A36&gt;$C$3,"",LARGE(DEBIT_15HARIAN!$F$7:$F$31,$A36))</f>
        <v/>
      </c>
      <c r="H36" s="13">
        <f>IF($A36&gt;$C$3,"",LARGE(DEBIT_15HARIAN!$G$7:$G$31,$A36))</f>
        <v/>
      </c>
      <c r="I36" s="13">
        <f>IF($A36&gt;$C$3,"",LARGE(DEBIT_15HARIAN!$H$7:$H$31,$A36))</f>
        <v/>
      </c>
      <c r="J36" s="13">
        <f>IF($A36&gt;$C$3,"",LARGE(DEBIT_15HARIAN!$I$7:$I$31,$A36))</f>
        <v/>
      </c>
      <c r="K36" s="13">
        <f>IF($A36&gt;$C$3,"",LARGE(DEBIT_15HARIAN!$J$7:$J$31,$A36))</f>
        <v/>
      </c>
      <c r="L36" s="13">
        <f>IF($A36&gt;$C$3,"",LARGE(DEBIT_15HARIAN!$K$7:$K$31,$A36))</f>
        <v/>
      </c>
      <c r="M36" s="13">
        <f>IF($A36&gt;$C$3,"",LARGE(DEBIT_15HARIAN!$L$7:$L$31,$A36))</f>
        <v/>
      </c>
      <c r="N36" s="13">
        <f>IF($A36&gt;$C$3,"",LARGE(DEBIT_15HARIAN!$M$7:$M$31,$A36))</f>
        <v/>
      </c>
      <c r="O36" s="13">
        <f>IF($A36&gt;$C$3,"",LARGE(DEBIT_15HARIAN!$N$7:$N$31,$A36))</f>
        <v/>
      </c>
      <c r="P36" s="13">
        <f>IF($A36&gt;$C$3,"",LARGE(DEBIT_15HARIAN!$O$7:$O$31,$A36))</f>
        <v/>
      </c>
      <c r="Q36" s="13">
        <f>IF($A36&gt;$C$3,"",LARGE(DEBIT_15HARIAN!$P$7:$P$31,$A36))</f>
        <v/>
      </c>
      <c r="R36" s="13">
        <f>IF($A36&gt;$C$3,"",LARGE(DEBIT_15HARIAN!$Q$7:$Q$31,$A36))</f>
        <v/>
      </c>
      <c r="S36" s="13">
        <f>IF($A36&gt;$C$3,"",LARGE(DEBIT_15HARIAN!$R$7:$R$31,$A36))</f>
        <v/>
      </c>
      <c r="T36" s="13">
        <f>IF($A36&gt;$C$3,"",LARGE(DEBIT_15HARIAN!$S$7:$S$31,$A36))</f>
        <v/>
      </c>
      <c r="U36" s="13">
        <f>IF($A36&gt;$C$3,"",LARGE(DEBIT_15HARIAN!$T$7:$T$31,$A36))</f>
        <v/>
      </c>
      <c r="V36" s="13">
        <f>IF($A36&gt;$C$3,"",LARGE(DEBIT_15HARIAN!$U$7:$U$31,$A36))</f>
        <v/>
      </c>
      <c r="W36" s="13">
        <f>IF($A36&gt;$C$3,"",LARGE(DEBIT_15HARIAN!$V$7:$V$31,$A36))</f>
        <v/>
      </c>
      <c r="X36" s="13">
        <f>IF($A36&gt;$C$3,"",LARGE(DEBIT_15HARIAN!$W$7:$W$31,$A36))</f>
        <v/>
      </c>
      <c r="Y36" s="13">
        <f>IF($A36&gt;$C$3,"",LARGE(DEBIT_15HARIAN!$X$7:$X$31,$A36))</f>
        <v/>
      </c>
      <c r="Z36" s="13">
        <f>IF($A36&gt;$C$3,"",LARGE(DEBIT_15HARIAN!$Y$7:$Y$31,$A36))</f>
        <v/>
      </c>
    </row>
    <row r="37">
      <c r="A37" s="9" t="n">
        <v>3</v>
      </c>
      <c r="B37" s="23">
        <f>IF(A37&gt;$C$3,"",A37/($C$3+1))</f>
        <v/>
      </c>
      <c r="C37" s="13">
        <f>IF($A37&gt;$C$3,"",LARGE(DEBIT_15HARIAN!$B$7:$B$31,$A37))</f>
        <v/>
      </c>
      <c r="D37" s="13">
        <f>IF($A37&gt;$C$3,"",LARGE(DEBIT_15HARIAN!$C$7:$C$31,$A37))</f>
        <v/>
      </c>
      <c r="E37" s="13">
        <f>IF($A37&gt;$C$3,"",LARGE(DEBIT_15HARIAN!$D$7:$D$31,$A37))</f>
        <v/>
      </c>
      <c r="F37" s="13">
        <f>IF($A37&gt;$C$3,"",LARGE(DEBIT_15HARIAN!$E$7:$E$31,$A37))</f>
        <v/>
      </c>
      <c r="G37" s="13">
        <f>IF($A37&gt;$C$3,"",LARGE(DEBIT_15HARIAN!$F$7:$F$31,$A37))</f>
        <v/>
      </c>
      <c r="H37" s="13">
        <f>IF($A37&gt;$C$3,"",LARGE(DEBIT_15HARIAN!$G$7:$G$31,$A37))</f>
        <v/>
      </c>
      <c r="I37" s="13">
        <f>IF($A37&gt;$C$3,"",LARGE(DEBIT_15HARIAN!$H$7:$H$31,$A37))</f>
        <v/>
      </c>
      <c r="J37" s="13">
        <f>IF($A37&gt;$C$3,"",LARGE(DEBIT_15HARIAN!$I$7:$I$31,$A37))</f>
        <v/>
      </c>
      <c r="K37" s="13">
        <f>IF($A37&gt;$C$3,"",LARGE(DEBIT_15HARIAN!$J$7:$J$31,$A37))</f>
        <v/>
      </c>
      <c r="L37" s="13">
        <f>IF($A37&gt;$C$3,"",LARGE(DEBIT_15HARIAN!$K$7:$K$31,$A37))</f>
        <v/>
      </c>
      <c r="M37" s="13">
        <f>IF($A37&gt;$C$3,"",LARGE(DEBIT_15HARIAN!$L$7:$L$31,$A37))</f>
        <v/>
      </c>
      <c r="N37" s="13">
        <f>IF($A37&gt;$C$3,"",LARGE(DEBIT_15HARIAN!$M$7:$M$31,$A37))</f>
        <v/>
      </c>
      <c r="O37" s="13">
        <f>IF($A37&gt;$C$3,"",LARGE(DEBIT_15HARIAN!$N$7:$N$31,$A37))</f>
        <v/>
      </c>
      <c r="P37" s="13">
        <f>IF($A37&gt;$C$3,"",LARGE(DEBIT_15HARIAN!$O$7:$O$31,$A37))</f>
        <v/>
      </c>
      <c r="Q37" s="13">
        <f>IF($A37&gt;$C$3,"",LARGE(DEBIT_15HARIAN!$P$7:$P$31,$A37))</f>
        <v/>
      </c>
      <c r="R37" s="13">
        <f>IF($A37&gt;$C$3,"",LARGE(DEBIT_15HARIAN!$Q$7:$Q$31,$A37))</f>
        <v/>
      </c>
      <c r="S37" s="13">
        <f>IF($A37&gt;$C$3,"",LARGE(DEBIT_15HARIAN!$R$7:$R$31,$A37))</f>
        <v/>
      </c>
      <c r="T37" s="13">
        <f>IF($A37&gt;$C$3,"",LARGE(DEBIT_15HARIAN!$S$7:$S$31,$A37))</f>
        <v/>
      </c>
      <c r="U37" s="13">
        <f>IF($A37&gt;$C$3,"",LARGE(DEBIT_15HARIAN!$T$7:$T$31,$A37))</f>
        <v/>
      </c>
      <c r="V37" s="13">
        <f>IF($A37&gt;$C$3,"",LARGE(DEBIT_15HARIAN!$U$7:$U$31,$A37))</f>
        <v/>
      </c>
      <c r="W37" s="13">
        <f>IF($A37&gt;$C$3,"",LARGE(DEBIT_15HARIAN!$V$7:$V$31,$A37))</f>
        <v/>
      </c>
      <c r="X37" s="13">
        <f>IF($A37&gt;$C$3,"",LARGE(DEBIT_15HARIAN!$W$7:$W$31,$A37))</f>
        <v/>
      </c>
      <c r="Y37" s="13">
        <f>IF($A37&gt;$C$3,"",LARGE(DEBIT_15HARIAN!$X$7:$X$31,$A37))</f>
        <v/>
      </c>
      <c r="Z37" s="13">
        <f>IF($A37&gt;$C$3,"",LARGE(DEBIT_15HARIAN!$Y$7:$Y$31,$A37))</f>
        <v/>
      </c>
    </row>
    <row r="38">
      <c r="A38" s="9" t="n">
        <v>4</v>
      </c>
      <c r="B38" s="23">
        <f>IF(A38&gt;$C$3,"",A38/($C$3+1))</f>
        <v/>
      </c>
      <c r="C38" s="13">
        <f>IF($A38&gt;$C$3,"",LARGE(DEBIT_15HARIAN!$B$7:$B$31,$A38))</f>
        <v/>
      </c>
      <c r="D38" s="13">
        <f>IF($A38&gt;$C$3,"",LARGE(DEBIT_15HARIAN!$C$7:$C$31,$A38))</f>
        <v/>
      </c>
      <c r="E38" s="13">
        <f>IF($A38&gt;$C$3,"",LARGE(DEBIT_15HARIAN!$D$7:$D$31,$A38))</f>
        <v/>
      </c>
      <c r="F38" s="13">
        <f>IF($A38&gt;$C$3,"",LARGE(DEBIT_15HARIAN!$E$7:$E$31,$A38))</f>
        <v/>
      </c>
      <c r="G38" s="13">
        <f>IF($A38&gt;$C$3,"",LARGE(DEBIT_15HARIAN!$F$7:$F$31,$A38))</f>
        <v/>
      </c>
      <c r="H38" s="13">
        <f>IF($A38&gt;$C$3,"",LARGE(DEBIT_15HARIAN!$G$7:$G$31,$A38))</f>
        <v/>
      </c>
      <c r="I38" s="13">
        <f>IF($A38&gt;$C$3,"",LARGE(DEBIT_15HARIAN!$H$7:$H$31,$A38))</f>
        <v/>
      </c>
      <c r="J38" s="13">
        <f>IF($A38&gt;$C$3,"",LARGE(DEBIT_15HARIAN!$I$7:$I$31,$A38))</f>
        <v/>
      </c>
      <c r="K38" s="13">
        <f>IF($A38&gt;$C$3,"",LARGE(DEBIT_15HARIAN!$J$7:$J$31,$A38))</f>
        <v/>
      </c>
      <c r="L38" s="13">
        <f>IF($A38&gt;$C$3,"",LARGE(DEBIT_15HARIAN!$K$7:$K$31,$A38))</f>
        <v/>
      </c>
      <c r="M38" s="13">
        <f>IF($A38&gt;$C$3,"",LARGE(DEBIT_15HARIAN!$L$7:$L$31,$A38))</f>
        <v/>
      </c>
      <c r="N38" s="13">
        <f>IF($A38&gt;$C$3,"",LARGE(DEBIT_15HARIAN!$M$7:$M$31,$A38))</f>
        <v/>
      </c>
      <c r="O38" s="13">
        <f>IF($A38&gt;$C$3,"",LARGE(DEBIT_15HARIAN!$N$7:$N$31,$A38))</f>
        <v/>
      </c>
      <c r="P38" s="13">
        <f>IF($A38&gt;$C$3,"",LARGE(DEBIT_15HARIAN!$O$7:$O$31,$A38))</f>
        <v/>
      </c>
      <c r="Q38" s="13">
        <f>IF($A38&gt;$C$3,"",LARGE(DEBIT_15HARIAN!$P$7:$P$31,$A38))</f>
        <v/>
      </c>
      <c r="R38" s="13">
        <f>IF($A38&gt;$C$3,"",LARGE(DEBIT_15HARIAN!$Q$7:$Q$31,$A38))</f>
        <v/>
      </c>
      <c r="S38" s="13">
        <f>IF($A38&gt;$C$3,"",LARGE(DEBIT_15HARIAN!$R$7:$R$31,$A38))</f>
        <v/>
      </c>
      <c r="T38" s="13">
        <f>IF($A38&gt;$C$3,"",LARGE(DEBIT_15HARIAN!$S$7:$S$31,$A38))</f>
        <v/>
      </c>
      <c r="U38" s="13">
        <f>IF($A38&gt;$C$3,"",LARGE(DEBIT_15HARIAN!$T$7:$T$31,$A38))</f>
        <v/>
      </c>
      <c r="V38" s="13">
        <f>IF($A38&gt;$C$3,"",LARGE(DEBIT_15HARIAN!$U$7:$U$31,$A38))</f>
        <v/>
      </c>
      <c r="W38" s="13">
        <f>IF($A38&gt;$C$3,"",LARGE(DEBIT_15HARIAN!$V$7:$V$31,$A38))</f>
        <v/>
      </c>
      <c r="X38" s="13">
        <f>IF($A38&gt;$C$3,"",LARGE(DEBIT_15HARIAN!$W$7:$W$31,$A38))</f>
        <v/>
      </c>
      <c r="Y38" s="13">
        <f>IF($A38&gt;$C$3,"",LARGE(DEBIT_15HARIAN!$X$7:$X$31,$A38))</f>
        <v/>
      </c>
      <c r="Z38" s="13">
        <f>IF($A38&gt;$C$3,"",LARGE(DEBIT_15HARIAN!$Y$7:$Y$31,$A38))</f>
        <v/>
      </c>
    </row>
    <row r="39">
      <c r="A39" s="9" t="n">
        <v>5</v>
      </c>
      <c r="B39" s="23">
        <f>IF(A39&gt;$C$3,"",A39/($C$3+1))</f>
        <v/>
      </c>
      <c r="C39" s="13">
        <f>IF($A39&gt;$C$3,"",LARGE(DEBIT_15HARIAN!$B$7:$B$31,$A39))</f>
        <v/>
      </c>
      <c r="D39" s="13">
        <f>IF($A39&gt;$C$3,"",LARGE(DEBIT_15HARIAN!$C$7:$C$31,$A39))</f>
        <v/>
      </c>
      <c r="E39" s="13">
        <f>IF($A39&gt;$C$3,"",LARGE(DEBIT_15HARIAN!$D$7:$D$31,$A39))</f>
        <v/>
      </c>
      <c r="F39" s="13">
        <f>IF($A39&gt;$C$3,"",LARGE(DEBIT_15HARIAN!$E$7:$E$31,$A39))</f>
        <v/>
      </c>
      <c r="G39" s="13">
        <f>IF($A39&gt;$C$3,"",LARGE(DEBIT_15HARIAN!$F$7:$F$31,$A39))</f>
        <v/>
      </c>
      <c r="H39" s="13">
        <f>IF($A39&gt;$C$3,"",LARGE(DEBIT_15HARIAN!$G$7:$G$31,$A39))</f>
        <v/>
      </c>
      <c r="I39" s="13">
        <f>IF($A39&gt;$C$3,"",LARGE(DEBIT_15HARIAN!$H$7:$H$31,$A39))</f>
        <v/>
      </c>
      <c r="J39" s="13">
        <f>IF($A39&gt;$C$3,"",LARGE(DEBIT_15HARIAN!$I$7:$I$31,$A39))</f>
        <v/>
      </c>
      <c r="K39" s="13">
        <f>IF($A39&gt;$C$3,"",LARGE(DEBIT_15HARIAN!$J$7:$J$31,$A39))</f>
        <v/>
      </c>
      <c r="L39" s="13">
        <f>IF($A39&gt;$C$3,"",LARGE(DEBIT_15HARIAN!$K$7:$K$31,$A39))</f>
        <v/>
      </c>
      <c r="M39" s="13">
        <f>IF($A39&gt;$C$3,"",LARGE(DEBIT_15HARIAN!$L$7:$L$31,$A39))</f>
        <v/>
      </c>
      <c r="N39" s="13">
        <f>IF($A39&gt;$C$3,"",LARGE(DEBIT_15HARIAN!$M$7:$M$31,$A39))</f>
        <v/>
      </c>
      <c r="O39" s="13">
        <f>IF($A39&gt;$C$3,"",LARGE(DEBIT_15HARIAN!$N$7:$N$31,$A39))</f>
        <v/>
      </c>
      <c r="P39" s="13">
        <f>IF($A39&gt;$C$3,"",LARGE(DEBIT_15HARIAN!$O$7:$O$31,$A39))</f>
        <v/>
      </c>
      <c r="Q39" s="13">
        <f>IF($A39&gt;$C$3,"",LARGE(DEBIT_15HARIAN!$P$7:$P$31,$A39))</f>
        <v/>
      </c>
      <c r="R39" s="13">
        <f>IF($A39&gt;$C$3,"",LARGE(DEBIT_15HARIAN!$Q$7:$Q$31,$A39))</f>
        <v/>
      </c>
      <c r="S39" s="13">
        <f>IF($A39&gt;$C$3,"",LARGE(DEBIT_15HARIAN!$R$7:$R$31,$A39))</f>
        <v/>
      </c>
      <c r="T39" s="13">
        <f>IF($A39&gt;$C$3,"",LARGE(DEBIT_15HARIAN!$S$7:$S$31,$A39))</f>
        <v/>
      </c>
      <c r="U39" s="13">
        <f>IF($A39&gt;$C$3,"",LARGE(DEBIT_15HARIAN!$T$7:$T$31,$A39))</f>
        <v/>
      </c>
      <c r="V39" s="13">
        <f>IF($A39&gt;$C$3,"",LARGE(DEBIT_15HARIAN!$U$7:$U$31,$A39))</f>
        <v/>
      </c>
      <c r="W39" s="13">
        <f>IF($A39&gt;$C$3,"",LARGE(DEBIT_15HARIAN!$V$7:$V$31,$A39))</f>
        <v/>
      </c>
      <c r="X39" s="13">
        <f>IF($A39&gt;$C$3,"",LARGE(DEBIT_15HARIAN!$W$7:$W$31,$A39))</f>
        <v/>
      </c>
      <c r="Y39" s="13">
        <f>IF($A39&gt;$C$3,"",LARGE(DEBIT_15HARIAN!$X$7:$X$31,$A39))</f>
        <v/>
      </c>
      <c r="Z39" s="13">
        <f>IF($A39&gt;$C$3,"",LARGE(DEBIT_15HARIAN!$Y$7:$Y$31,$A39))</f>
        <v/>
      </c>
    </row>
    <row r="40">
      <c r="A40" s="9" t="n">
        <v>6</v>
      </c>
      <c r="B40" s="23">
        <f>IF(A40&gt;$C$3,"",A40/($C$3+1))</f>
        <v/>
      </c>
      <c r="C40" s="13">
        <f>IF($A40&gt;$C$3,"",LARGE(DEBIT_15HARIAN!$B$7:$B$31,$A40))</f>
        <v/>
      </c>
      <c r="D40" s="13">
        <f>IF($A40&gt;$C$3,"",LARGE(DEBIT_15HARIAN!$C$7:$C$31,$A40))</f>
        <v/>
      </c>
      <c r="E40" s="13">
        <f>IF($A40&gt;$C$3,"",LARGE(DEBIT_15HARIAN!$D$7:$D$31,$A40))</f>
        <v/>
      </c>
      <c r="F40" s="13">
        <f>IF($A40&gt;$C$3,"",LARGE(DEBIT_15HARIAN!$E$7:$E$31,$A40))</f>
        <v/>
      </c>
      <c r="G40" s="13">
        <f>IF($A40&gt;$C$3,"",LARGE(DEBIT_15HARIAN!$F$7:$F$31,$A40))</f>
        <v/>
      </c>
      <c r="H40" s="13">
        <f>IF($A40&gt;$C$3,"",LARGE(DEBIT_15HARIAN!$G$7:$G$31,$A40))</f>
        <v/>
      </c>
      <c r="I40" s="13">
        <f>IF($A40&gt;$C$3,"",LARGE(DEBIT_15HARIAN!$H$7:$H$31,$A40))</f>
        <v/>
      </c>
      <c r="J40" s="13">
        <f>IF($A40&gt;$C$3,"",LARGE(DEBIT_15HARIAN!$I$7:$I$31,$A40))</f>
        <v/>
      </c>
      <c r="K40" s="13">
        <f>IF($A40&gt;$C$3,"",LARGE(DEBIT_15HARIAN!$J$7:$J$31,$A40))</f>
        <v/>
      </c>
      <c r="L40" s="13">
        <f>IF($A40&gt;$C$3,"",LARGE(DEBIT_15HARIAN!$K$7:$K$31,$A40))</f>
        <v/>
      </c>
      <c r="M40" s="13">
        <f>IF($A40&gt;$C$3,"",LARGE(DEBIT_15HARIAN!$L$7:$L$31,$A40))</f>
        <v/>
      </c>
      <c r="N40" s="13">
        <f>IF($A40&gt;$C$3,"",LARGE(DEBIT_15HARIAN!$M$7:$M$31,$A40))</f>
        <v/>
      </c>
      <c r="O40" s="13">
        <f>IF($A40&gt;$C$3,"",LARGE(DEBIT_15HARIAN!$N$7:$N$31,$A40))</f>
        <v/>
      </c>
      <c r="P40" s="13">
        <f>IF($A40&gt;$C$3,"",LARGE(DEBIT_15HARIAN!$O$7:$O$31,$A40))</f>
        <v/>
      </c>
      <c r="Q40" s="13">
        <f>IF($A40&gt;$C$3,"",LARGE(DEBIT_15HARIAN!$P$7:$P$31,$A40))</f>
        <v/>
      </c>
      <c r="R40" s="13">
        <f>IF($A40&gt;$C$3,"",LARGE(DEBIT_15HARIAN!$Q$7:$Q$31,$A40))</f>
        <v/>
      </c>
      <c r="S40" s="13">
        <f>IF($A40&gt;$C$3,"",LARGE(DEBIT_15HARIAN!$R$7:$R$31,$A40))</f>
        <v/>
      </c>
      <c r="T40" s="13">
        <f>IF($A40&gt;$C$3,"",LARGE(DEBIT_15HARIAN!$S$7:$S$31,$A40))</f>
        <v/>
      </c>
      <c r="U40" s="13">
        <f>IF($A40&gt;$C$3,"",LARGE(DEBIT_15HARIAN!$T$7:$T$31,$A40))</f>
        <v/>
      </c>
      <c r="V40" s="13">
        <f>IF($A40&gt;$C$3,"",LARGE(DEBIT_15HARIAN!$U$7:$U$31,$A40))</f>
        <v/>
      </c>
      <c r="W40" s="13">
        <f>IF($A40&gt;$C$3,"",LARGE(DEBIT_15HARIAN!$V$7:$V$31,$A40))</f>
        <v/>
      </c>
      <c r="X40" s="13">
        <f>IF($A40&gt;$C$3,"",LARGE(DEBIT_15HARIAN!$W$7:$W$31,$A40))</f>
        <v/>
      </c>
      <c r="Y40" s="13">
        <f>IF($A40&gt;$C$3,"",LARGE(DEBIT_15HARIAN!$X$7:$X$31,$A40))</f>
        <v/>
      </c>
      <c r="Z40" s="13">
        <f>IF($A40&gt;$C$3,"",LARGE(DEBIT_15HARIAN!$Y$7:$Y$31,$A40))</f>
        <v/>
      </c>
    </row>
    <row r="41">
      <c r="A41" s="9" t="n">
        <v>7</v>
      </c>
      <c r="B41" s="23">
        <f>IF(A41&gt;$C$3,"",A41/($C$3+1))</f>
        <v/>
      </c>
      <c r="C41" s="13">
        <f>IF($A41&gt;$C$3,"",LARGE(DEBIT_15HARIAN!$B$7:$B$31,$A41))</f>
        <v/>
      </c>
      <c r="D41" s="13">
        <f>IF($A41&gt;$C$3,"",LARGE(DEBIT_15HARIAN!$C$7:$C$31,$A41))</f>
        <v/>
      </c>
      <c r="E41" s="13">
        <f>IF($A41&gt;$C$3,"",LARGE(DEBIT_15HARIAN!$D$7:$D$31,$A41))</f>
        <v/>
      </c>
      <c r="F41" s="13">
        <f>IF($A41&gt;$C$3,"",LARGE(DEBIT_15HARIAN!$E$7:$E$31,$A41))</f>
        <v/>
      </c>
      <c r="G41" s="13">
        <f>IF($A41&gt;$C$3,"",LARGE(DEBIT_15HARIAN!$F$7:$F$31,$A41))</f>
        <v/>
      </c>
      <c r="H41" s="13">
        <f>IF($A41&gt;$C$3,"",LARGE(DEBIT_15HARIAN!$G$7:$G$31,$A41))</f>
        <v/>
      </c>
      <c r="I41" s="13">
        <f>IF($A41&gt;$C$3,"",LARGE(DEBIT_15HARIAN!$H$7:$H$31,$A41))</f>
        <v/>
      </c>
      <c r="J41" s="13">
        <f>IF($A41&gt;$C$3,"",LARGE(DEBIT_15HARIAN!$I$7:$I$31,$A41))</f>
        <v/>
      </c>
      <c r="K41" s="13">
        <f>IF($A41&gt;$C$3,"",LARGE(DEBIT_15HARIAN!$J$7:$J$31,$A41))</f>
        <v/>
      </c>
      <c r="L41" s="13">
        <f>IF($A41&gt;$C$3,"",LARGE(DEBIT_15HARIAN!$K$7:$K$31,$A41))</f>
        <v/>
      </c>
      <c r="M41" s="13">
        <f>IF($A41&gt;$C$3,"",LARGE(DEBIT_15HARIAN!$L$7:$L$31,$A41))</f>
        <v/>
      </c>
      <c r="N41" s="13">
        <f>IF($A41&gt;$C$3,"",LARGE(DEBIT_15HARIAN!$M$7:$M$31,$A41))</f>
        <v/>
      </c>
      <c r="O41" s="13">
        <f>IF($A41&gt;$C$3,"",LARGE(DEBIT_15HARIAN!$N$7:$N$31,$A41))</f>
        <v/>
      </c>
      <c r="P41" s="13">
        <f>IF($A41&gt;$C$3,"",LARGE(DEBIT_15HARIAN!$O$7:$O$31,$A41))</f>
        <v/>
      </c>
      <c r="Q41" s="13">
        <f>IF($A41&gt;$C$3,"",LARGE(DEBIT_15HARIAN!$P$7:$P$31,$A41))</f>
        <v/>
      </c>
      <c r="R41" s="13">
        <f>IF($A41&gt;$C$3,"",LARGE(DEBIT_15HARIAN!$Q$7:$Q$31,$A41))</f>
        <v/>
      </c>
      <c r="S41" s="13">
        <f>IF($A41&gt;$C$3,"",LARGE(DEBIT_15HARIAN!$R$7:$R$31,$A41))</f>
        <v/>
      </c>
      <c r="T41" s="13">
        <f>IF($A41&gt;$C$3,"",LARGE(DEBIT_15HARIAN!$S$7:$S$31,$A41))</f>
        <v/>
      </c>
      <c r="U41" s="13">
        <f>IF($A41&gt;$C$3,"",LARGE(DEBIT_15HARIAN!$T$7:$T$31,$A41))</f>
        <v/>
      </c>
      <c r="V41" s="13">
        <f>IF($A41&gt;$C$3,"",LARGE(DEBIT_15HARIAN!$U$7:$U$31,$A41))</f>
        <v/>
      </c>
      <c r="W41" s="13">
        <f>IF($A41&gt;$C$3,"",LARGE(DEBIT_15HARIAN!$V$7:$V$31,$A41))</f>
        <v/>
      </c>
      <c r="X41" s="13">
        <f>IF($A41&gt;$C$3,"",LARGE(DEBIT_15HARIAN!$W$7:$W$31,$A41))</f>
        <v/>
      </c>
      <c r="Y41" s="13">
        <f>IF($A41&gt;$C$3,"",LARGE(DEBIT_15HARIAN!$X$7:$X$31,$A41))</f>
        <v/>
      </c>
      <c r="Z41" s="13">
        <f>IF($A41&gt;$C$3,"",LARGE(DEBIT_15HARIAN!$Y$7:$Y$31,$A41))</f>
        <v/>
      </c>
    </row>
    <row r="42">
      <c r="A42" s="9" t="n">
        <v>8</v>
      </c>
      <c r="B42" s="23">
        <f>IF(A42&gt;$C$3,"",A42/($C$3+1))</f>
        <v/>
      </c>
      <c r="C42" s="13">
        <f>IF($A42&gt;$C$3,"",LARGE(DEBIT_15HARIAN!$B$7:$B$31,$A42))</f>
        <v/>
      </c>
      <c r="D42" s="13">
        <f>IF($A42&gt;$C$3,"",LARGE(DEBIT_15HARIAN!$C$7:$C$31,$A42))</f>
        <v/>
      </c>
      <c r="E42" s="13">
        <f>IF($A42&gt;$C$3,"",LARGE(DEBIT_15HARIAN!$D$7:$D$31,$A42))</f>
        <v/>
      </c>
      <c r="F42" s="13">
        <f>IF($A42&gt;$C$3,"",LARGE(DEBIT_15HARIAN!$E$7:$E$31,$A42))</f>
        <v/>
      </c>
      <c r="G42" s="13">
        <f>IF($A42&gt;$C$3,"",LARGE(DEBIT_15HARIAN!$F$7:$F$31,$A42))</f>
        <v/>
      </c>
      <c r="H42" s="13">
        <f>IF($A42&gt;$C$3,"",LARGE(DEBIT_15HARIAN!$G$7:$G$31,$A42))</f>
        <v/>
      </c>
      <c r="I42" s="13">
        <f>IF($A42&gt;$C$3,"",LARGE(DEBIT_15HARIAN!$H$7:$H$31,$A42))</f>
        <v/>
      </c>
      <c r="J42" s="13">
        <f>IF($A42&gt;$C$3,"",LARGE(DEBIT_15HARIAN!$I$7:$I$31,$A42))</f>
        <v/>
      </c>
      <c r="K42" s="13">
        <f>IF($A42&gt;$C$3,"",LARGE(DEBIT_15HARIAN!$J$7:$J$31,$A42))</f>
        <v/>
      </c>
      <c r="L42" s="13">
        <f>IF($A42&gt;$C$3,"",LARGE(DEBIT_15HARIAN!$K$7:$K$31,$A42))</f>
        <v/>
      </c>
      <c r="M42" s="13">
        <f>IF($A42&gt;$C$3,"",LARGE(DEBIT_15HARIAN!$L$7:$L$31,$A42))</f>
        <v/>
      </c>
      <c r="N42" s="13">
        <f>IF($A42&gt;$C$3,"",LARGE(DEBIT_15HARIAN!$M$7:$M$31,$A42))</f>
        <v/>
      </c>
      <c r="O42" s="13">
        <f>IF($A42&gt;$C$3,"",LARGE(DEBIT_15HARIAN!$N$7:$N$31,$A42))</f>
        <v/>
      </c>
      <c r="P42" s="13">
        <f>IF($A42&gt;$C$3,"",LARGE(DEBIT_15HARIAN!$O$7:$O$31,$A42))</f>
        <v/>
      </c>
      <c r="Q42" s="13">
        <f>IF($A42&gt;$C$3,"",LARGE(DEBIT_15HARIAN!$P$7:$P$31,$A42))</f>
        <v/>
      </c>
      <c r="R42" s="13">
        <f>IF($A42&gt;$C$3,"",LARGE(DEBIT_15HARIAN!$Q$7:$Q$31,$A42))</f>
        <v/>
      </c>
      <c r="S42" s="13">
        <f>IF($A42&gt;$C$3,"",LARGE(DEBIT_15HARIAN!$R$7:$R$31,$A42))</f>
        <v/>
      </c>
      <c r="T42" s="13">
        <f>IF($A42&gt;$C$3,"",LARGE(DEBIT_15HARIAN!$S$7:$S$31,$A42))</f>
        <v/>
      </c>
      <c r="U42" s="13">
        <f>IF($A42&gt;$C$3,"",LARGE(DEBIT_15HARIAN!$T$7:$T$31,$A42))</f>
        <v/>
      </c>
      <c r="V42" s="13">
        <f>IF($A42&gt;$C$3,"",LARGE(DEBIT_15HARIAN!$U$7:$U$31,$A42))</f>
        <v/>
      </c>
      <c r="W42" s="13">
        <f>IF($A42&gt;$C$3,"",LARGE(DEBIT_15HARIAN!$V$7:$V$31,$A42))</f>
        <v/>
      </c>
      <c r="X42" s="13">
        <f>IF($A42&gt;$C$3,"",LARGE(DEBIT_15HARIAN!$W$7:$W$31,$A42))</f>
        <v/>
      </c>
      <c r="Y42" s="13">
        <f>IF($A42&gt;$C$3,"",LARGE(DEBIT_15HARIAN!$X$7:$X$31,$A42))</f>
        <v/>
      </c>
      <c r="Z42" s="13">
        <f>IF($A42&gt;$C$3,"",LARGE(DEBIT_15HARIAN!$Y$7:$Y$31,$A42))</f>
        <v/>
      </c>
    </row>
    <row r="43">
      <c r="A43" s="9" t="n">
        <v>9</v>
      </c>
      <c r="B43" s="23">
        <f>IF(A43&gt;$C$3,"",A43/($C$3+1))</f>
        <v/>
      </c>
      <c r="C43" s="13">
        <f>IF($A43&gt;$C$3,"",LARGE(DEBIT_15HARIAN!$B$7:$B$31,$A43))</f>
        <v/>
      </c>
      <c r="D43" s="13">
        <f>IF($A43&gt;$C$3,"",LARGE(DEBIT_15HARIAN!$C$7:$C$31,$A43))</f>
        <v/>
      </c>
      <c r="E43" s="13">
        <f>IF($A43&gt;$C$3,"",LARGE(DEBIT_15HARIAN!$D$7:$D$31,$A43))</f>
        <v/>
      </c>
      <c r="F43" s="13">
        <f>IF($A43&gt;$C$3,"",LARGE(DEBIT_15HARIAN!$E$7:$E$31,$A43))</f>
        <v/>
      </c>
      <c r="G43" s="13">
        <f>IF($A43&gt;$C$3,"",LARGE(DEBIT_15HARIAN!$F$7:$F$31,$A43))</f>
        <v/>
      </c>
      <c r="H43" s="13">
        <f>IF($A43&gt;$C$3,"",LARGE(DEBIT_15HARIAN!$G$7:$G$31,$A43))</f>
        <v/>
      </c>
      <c r="I43" s="13">
        <f>IF($A43&gt;$C$3,"",LARGE(DEBIT_15HARIAN!$H$7:$H$31,$A43))</f>
        <v/>
      </c>
      <c r="J43" s="13">
        <f>IF($A43&gt;$C$3,"",LARGE(DEBIT_15HARIAN!$I$7:$I$31,$A43))</f>
        <v/>
      </c>
      <c r="K43" s="13">
        <f>IF($A43&gt;$C$3,"",LARGE(DEBIT_15HARIAN!$J$7:$J$31,$A43))</f>
        <v/>
      </c>
      <c r="L43" s="13">
        <f>IF($A43&gt;$C$3,"",LARGE(DEBIT_15HARIAN!$K$7:$K$31,$A43))</f>
        <v/>
      </c>
      <c r="M43" s="13">
        <f>IF($A43&gt;$C$3,"",LARGE(DEBIT_15HARIAN!$L$7:$L$31,$A43))</f>
        <v/>
      </c>
      <c r="N43" s="13">
        <f>IF($A43&gt;$C$3,"",LARGE(DEBIT_15HARIAN!$M$7:$M$31,$A43))</f>
        <v/>
      </c>
      <c r="O43" s="13">
        <f>IF($A43&gt;$C$3,"",LARGE(DEBIT_15HARIAN!$N$7:$N$31,$A43))</f>
        <v/>
      </c>
      <c r="P43" s="13">
        <f>IF($A43&gt;$C$3,"",LARGE(DEBIT_15HARIAN!$O$7:$O$31,$A43))</f>
        <v/>
      </c>
      <c r="Q43" s="13">
        <f>IF($A43&gt;$C$3,"",LARGE(DEBIT_15HARIAN!$P$7:$P$31,$A43))</f>
        <v/>
      </c>
      <c r="R43" s="13">
        <f>IF($A43&gt;$C$3,"",LARGE(DEBIT_15HARIAN!$Q$7:$Q$31,$A43))</f>
        <v/>
      </c>
      <c r="S43" s="13">
        <f>IF($A43&gt;$C$3,"",LARGE(DEBIT_15HARIAN!$R$7:$R$31,$A43))</f>
        <v/>
      </c>
      <c r="T43" s="13">
        <f>IF($A43&gt;$C$3,"",LARGE(DEBIT_15HARIAN!$S$7:$S$31,$A43))</f>
        <v/>
      </c>
      <c r="U43" s="13">
        <f>IF($A43&gt;$C$3,"",LARGE(DEBIT_15HARIAN!$T$7:$T$31,$A43))</f>
        <v/>
      </c>
      <c r="V43" s="13">
        <f>IF($A43&gt;$C$3,"",LARGE(DEBIT_15HARIAN!$U$7:$U$31,$A43))</f>
        <v/>
      </c>
      <c r="W43" s="13">
        <f>IF($A43&gt;$C$3,"",LARGE(DEBIT_15HARIAN!$V$7:$V$31,$A43))</f>
        <v/>
      </c>
      <c r="X43" s="13">
        <f>IF($A43&gt;$C$3,"",LARGE(DEBIT_15HARIAN!$W$7:$W$31,$A43))</f>
        <v/>
      </c>
      <c r="Y43" s="13">
        <f>IF($A43&gt;$C$3,"",LARGE(DEBIT_15HARIAN!$X$7:$X$31,$A43))</f>
        <v/>
      </c>
      <c r="Z43" s="13">
        <f>IF($A43&gt;$C$3,"",LARGE(DEBIT_15HARIAN!$Y$7:$Y$31,$A43))</f>
        <v/>
      </c>
    </row>
    <row r="44">
      <c r="A44" s="9" t="n">
        <v>10</v>
      </c>
      <c r="B44" s="23">
        <f>IF(A44&gt;$C$3,"",A44/($C$3+1))</f>
        <v/>
      </c>
      <c r="C44" s="13">
        <f>IF($A44&gt;$C$3,"",LARGE(DEBIT_15HARIAN!$B$7:$B$31,$A44))</f>
        <v/>
      </c>
      <c r="D44" s="13">
        <f>IF($A44&gt;$C$3,"",LARGE(DEBIT_15HARIAN!$C$7:$C$31,$A44))</f>
        <v/>
      </c>
      <c r="E44" s="13">
        <f>IF($A44&gt;$C$3,"",LARGE(DEBIT_15HARIAN!$D$7:$D$31,$A44))</f>
        <v/>
      </c>
      <c r="F44" s="13">
        <f>IF($A44&gt;$C$3,"",LARGE(DEBIT_15HARIAN!$E$7:$E$31,$A44))</f>
        <v/>
      </c>
      <c r="G44" s="13">
        <f>IF($A44&gt;$C$3,"",LARGE(DEBIT_15HARIAN!$F$7:$F$31,$A44))</f>
        <v/>
      </c>
      <c r="H44" s="13">
        <f>IF($A44&gt;$C$3,"",LARGE(DEBIT_15HARIAN!$G$7:$G$31,$A44))</f>
        <v/>
      </c>
      <c r="I44" s="13">
        <f>IF($A44&gt;$C$3,"",LARGE(DEBIT_15HARIAN!$H$7:$H$31,$A44))</f>
        <v/>
      </c>
      <c r="J44" s="13">
        <f>IF($A44&gt;$C$3,"",LARGE(DEBIT_15HARIAN!$I$7:$I$31,$A44))</f>
        <v/>
      </c>
      <c r="K44" s="13">
        <f>IF($A44&gt;$C$3,"",LARGE(DEBIT_15HARIAN!$J$7:$J$31,$A44))</f>
        <v/>
      </c>
      <c r="L44" s="13">
        <f>IF($A44&gt;$C$3,"",LARGE(DEBIT_15HARIAN!$K$7:$K$31,$A44))</f>
        <v/>
      </c>
      <c r="M44" s="13">
        <f>IF($A44&gt;$C$3,"",LARGE(DEBIT_15HARIAN!$L$7:$L$31,$A44))</f>
        <v/>
      </c>
      <c r="N44" s="13">
        <f>IF($A44&gt;$C$3,"",LARGE(DEBIT_15HARIAN!$M$7:$M$31,$A44))</f>
        <v/>
      </c>
      <c r="O44" s="13">
        <f>IF($A44&gt;$C$3,"",LARGE(DEBIT_15HARIAN!$N$7:$N$31,$A44))</f>
        <v/>
      </c>
      <c r="P44" s="13">
        <f>IF($A44&gt;$C$3,"",LARGE(DEBIT_15HARIAN!$O$7:$O$31,$A44))</f>
        <v/>
      </c>
      <c r="Q44" s="13">
        <f>IF($A44&gt;$C$3,"",LARGE(DEBIT_15HARIAN!$P$7:$P$31,$A44))</f>
        <v/>
      </c>
      <c r="R44" s="13">
        <f>IF($A44&gt;$C$3,"",LARGE(DEBIT_15HARIAN!$Q$7:$Q$31,$A44))</f>
        <v/>
      </c>
      <c r="S44" s="13">
        <f>IF($A44&gt;$C$3,"",LARGE(DEBIT_15HARIAN!$R$7:$R$31,$A44))</f>
        <v/>
      </c>
      <c r="T44" s="13">
        <f>IF($A44&gt;$C$3,"",LARGE(DEBIT_15HARIAN!$S$7:$S$31,$A44))</f>
        <v/>
      </c>
      <c r="U44" s="13">
        <f>IF($A44&gt;$C$3,"",LARGE(DEBIT_15HARIAN!$T$7:$T$31,$A44))</f>
        <v/>
      </c>
      <c r="V44" s="13">
        <f>IF($A44&gt;$C$3,"",LARGE(DEBIT_15HARIAN!$U$7:$U$31,$A44))</f>
        <v/>
      </c>
      <c r="W44" s="13">
        <f>IF($A44&gt;$C$3,"",LARGE(DEBIT_15HARIAN!$V$7:$V$31,$A44))</f>
        <v/>
      </c>
      <c r="X44" s="13">
        <f>IF($A44&gt;$C$3,"",LARGE(DEBIT_15HARIAN!$W$7:$W$31,$A44))</f>
        <v/>
      </c>
      <c r="Y44" s="13">
        <f>IF($A44&gt;$C$3,"",LARGE(DEBIT_15HARIAN!$X$7:$X$31,$A44))</f>
        <v/>
      </c>
      <c r="Z44" s="13">
        <f>IF($A44&gt;$C$3,"",LARGE(DEBIT_15HARIAN!$Y$7:$Y$31,$A44))</f>
        <v/>
      </c>
    </row>
    <row r="45">
      <c r="A45" s="9" t="n">
        <v>11</v>
      </c>
      <c r="B45" s="23">
        <f>IF(A45&gt;$C$3,"",A45/($C$3+1))</f>
        <v/>
      </c>
      <c r="C45" s="13">
        <f>IF($A45&gt;$C$3,"",LARGE(DEBIT_15HARIAN!$B$7:$B$31,$A45))</f>
        <v/>
      </c>
      <c r="D45" s="13">
        <f>IF($A45&gt;$C$3,"",LARGE(DEBIT_15HARIAN!$C$7:$C$31,$A45))</f>
        <v/>
      </c>
      <c r="E45" s="13">
        <f>IF($A45&gt;$C$3,"",LARGE(DEBIT_15HARIAN!$D$7:$D$31,$A45))</f>
        <v/>
      </c>
      <c r="F45" s="13">
        <f>IF($A45&gt;$C$3,"",LARGE(DEBIT_15HARIAN!$E$7:$E$31,$A45))</f>
        <v/>
      </c>
      <c r="G45" s="13">
        <f>IF($A45&gt;$C$3,"",LARGE(DEBIT_15HARIAN!$F$7:$F$31,$A45))</f>
        <v/>
      </c>
      <c r="H45" s="13">
        <f>IF($A45&gt;$C$3,"",LARGE(DEBIT_15HARIAN!$G$7:$G$31,$A45))</f>
        <v/>
      </c>
      <c r="I45" s="13">
        <f>IF($A45&gt;$C$3,"",LARGE(DEBIT_15HARIAN!$H$7:$H$31,$A45))</f>
        <v/>
      </c>
      <c r="J45" s="13">
        <f>IF($A45&gt;$C$3,"",LARGE(DEBIT_15HARIAN!$I$7:$I$31,$A45))</f>
        <v/>
      </c>
      <c r="K45" s="13">
        <f>IF($A45&gt;$C$3,"",LARGE(DEBIT_15HARIAN!$J$7:$J$31,$A45))</f>
        <v/>
      </c>
      <c r="L45" s="13">
        <f>IF($A45&gt;$C$3,"",LARGE(DEBIT_15HARIAN!$K$7:$K$31,$A45))</f>
        <v/>
      </c>
      <c r="M45" s="13">
        <f>IF($A45&gt;$C$3,"",LARGE(DEBIT_15HARIAN!$L$7:$L$31,$A45))</f>
        <v/>
      </c>
      <c r="N45" s="13">
        <f>IF($A45&gt;$C$3,"",LARGE(DEBIT_15HARIAN!$M$7:$M$31,$A45))</f>
        <v/>
      </c>
      <c r="O45" s="13">
        <f>IF($A45&gt;$C$3,"",LARGE(DEBIT_15HARIAN!$N$7:$N$31,$A45))</f>
        <v/>
      </c>
      <c r="P45" s="13">
        <f>IF($A45&gt;$C$3,"",LARGE(DEBIT_15HARIAN!$O$7:$O$31,$A45))</f>
        <v/>
      </c>
      <c r="Q45" s="13">
        <f>IF($A45&gt;$C$3,"",LARGE(DEBIT_15HARIAN!$P$7:$P$31,$A45))</f>
        <v/>
      </c>
      <c r="R45" s="13">
        <f>IF($A45&gt;$C$3,"",LARGE(DEBIT_15HARIAN!$Q$7:$Q$31,$A45))</f>
        <v/>
      </c>
      <c r="S45" s="13">
        <f>IF($A45&gt;$C$3,"",LARGE(DEBIT_15HARIAN!$R$7:$R$31,$A45))</f>
        <v/>
      </c>
      <c r="T45" s="13">
        <f>IF($A45&gt;$C$3,"",LARGE(DEBIT_15HARIAN!$S$7:$S$31,$A45))</f>
        <v/>
      </c>
      <c r="U45" s="13">
        <f>IF($A45&gt;$C$3,"",LARGE(DEBIT_15HARIAN!$T$7:$T$31,$A45))</f>
        <v/>
      </c>
      <c r="V45" s="13">
        <f>IF($A45&gt;$C$3,"",LARGE(DEBIT_15HARIAN!$U$7:$U$31,$A45))</f>
        <v/>
      </c>
      <c r="W45" s="13">
        <f>IF($A45&gt;$C$3,"",LARGE(DEBIT_15HARIAN!$V$7:$V$31,$A45))</f>
        <v/>
      </c>
      <c r="X45" s="13">
        <f>IF($A45&gt;$C$3,"",LARGE(DEBIT_15HARIAN!$W$7:$W$31,$A45))</f>
        <v/>
      </c>
      <c r="Y45" s="13">
        <f>IF($A45&gt;$C$3,"",LARGE(DEBIT_15HARIAN!$X$7:$X$31,$A45))</f>
        <v/>
      </c>
      <c r="Z45" s="13">
        <f>IF($A45&gt;$C$3,"",LARGE(DEBIT_15HARIAN!$Y$7:$Y$31,$A45))</f>
        <v/>
      </c>
    </row>
    <row r="46">
      <c r="A46" s="9" t="n">
        <v>12</v>
      </c>
      <c r="B46" s="23">
        <f>IF(A46&gt;$C$3,"",A46/($C$3+1))</f>
        <v/>
      </c>
      <c r="C46" s="13">
        <f>IF($A46&gt;$C$3,"",LARGE(DEBIT_15HARIAN!$B$7:$B$31,$A46))</f>
        <v/>
      </c>
      <c r="D46" s="13">
        <f>IF($A46&gt;$C$3,"",LARGE(DEBIT_15HARIAN!$C$7:$C$31,$A46))</f>
        <v/>
      </c>
      <c r="E46" s="13">
        <f>IF($A46&gt;$C$3,"",LARGE(DEBIT_15HARIAN!$D$7:$D$31,$A46))</f>
        <v/>
      </c>
      <c r="F46" s="13">
        <f>IF($A46&gt;$C$3,"",LARGE(DEBIT_15HARIAN!$E$7:$E$31,$A46))</f>
        <v/>
      </c>
      <c r="G46" s="13">
        <f>IF($A46&gt;$C$3,"",LARGE(DEBIT_15HARIAN!$F$7:$F$31,$A46))</f>
        <v/>
      </c>
      <c r="H46" s="13">
        <f>IF($A46&gt;$C$3,"",LARGE(DEBIT_15HARIAN!$G$7:$G$31,$A46))</f>
        <v/>
      </c>
      <c r="I46" s="13">
        <f>IF($A46&gt;$C$3,"",LARGE(DEBIT_15HARIAN!$H$7:$H$31,$A46))</f>
        <v/>
      </c>
      <c r="J46" s="13">
        <f>IF($A46&gt;$C$3,"",LARGE(DEBIT_15HARIAN!$I$7:$I$31,$A46))</f>
        <v/>
      </c>
      <c r="K46" s="13">
        <f>IF($A46&gt;$C$3,"",LARGE(DEBIT_15HARIAN!$J$7:$J$31,$A46))</f>
        <v/>
      </c>
      <c r="L46" s="13">
        <f>IF($A46&gt;$C$3,"",LARGE(DEBIT_15HARIAN!$K$7:$K$31,$A46))</f>
        <v/>
      </c>
      <c r="M46" s="13">
        <f>IF($A46&gt;$C$3,"",LARGE(DEBIT_15HARIAN!$L$7:$L$31,$A46))</f>
        <v/>
      </c>
      <c r="N46" s="13">
        <f>IF($A46&gt;$C$3,"",LARGE(DEBIT_15HARIAN!$M$7:$M$31,$A46))</f>
        <v/>
      </c>
      <c r="O46" s="13">
        <f>IF($A46&gt;$C$3,"",LARGE(DEBIT_15HARIAN!$N$7:$N$31,$A46))</f>
        <v/>
      </c>
      <c r="P46" s="13">
        <f>IF($A46&gt;$C$3,"",LARGE(DEBIT_15HARIAN!$O$7:$O$31,$A46))</f>
        <v/>
      </c>
      <c r="Q46" s="13">
        <f>IF($A46&gt;$C$3,"",LARGE(DEBIT_15HARIAN!$P$7:$P$31,$A46))</f>
        <v/>
      </c>
      <c r="R46" s="13">
        <f>IF($A46&gt;$C$3,"",LARGE(DEBIT_15HARIAN!$Q$7:$Q$31,$A46))</f>
        <v/>
      </c>
      <c r="S46" s="13">
        <f>IF($A46&gt;$C$3,"",LARGE(DEBIT_15HARIAN!$R$7:$R$31,$A46))</f>
        <v/>
      </c>
      <c r="T46" s="13">
        <f>IF($A46&gt;$C$3,"",LARGE(DEBIT_15HARIAN!$S$7:$S$31,$A46))</f>
        <v/>
      </c>
      <c r="U46" s="13">
        <f>IF($A46&gt;$C$3,"",LARGE(DEBIT_15HARIAN!$T$7:$T$31,$A46))</f>
        <v/>
      </c>
      <c r="V46" s="13">
        <f>IF($A46&gt;$C$3,"",LARGE(DEBIT_15HARIAN!$U$7:$U$31,$A46))</f>
        <v/>
      </c>
      <c r="W46" s="13">
        <f>IF($A46&gt;$C$3,"",LARGE(DEBIT_15HARIAN!$V$7:$V$31,$A46))</f>
        <v/>
      </c>
      <c r="X46" s="13">
        <f>IF($A46&gt;$C$3,"",LARGE(DEBIT_15HARIAN!$W$7:$W$31,$A46))</f>
        <v/>
      </c>
      <c r="Y46" s="13">
        <f>IF($A46&gt;$C$3,"",LARGE(DEBIT_15HARIAN!$X$7:$X$31,$A46))</f>
        <v/>
      </c>
      <c r="Z46" s="13">
        <f>IF($A46&gt;$C$3,"",LARGE(DEBIT_15HARIAN!$Y$7:$Y$31,$A46))</f>
        <v/>
      </c>
    </row>
    <row r="47">
      <c r="A47" s="9" t="n">
        <v>13</v>
      </c>
      <c r="B47" s="23">
        <f>IF(A47&gt;$C$3,"",A47/($C$3+1))</f>
        <v/>
      </c>
      <c r="C47" s="13">
        <f>IF($A47&gt;$C$3,"",LARGE(DEBIT_15HARIAN!$B$7:$B$31,$A47))</f>
        <v/>
      </c>
      <c r="D47" s="13">
        <f>IF($A47&gt;$C$3,"",LARGE(DEBIT_15HARIAN!$C$7:$C$31,$A47))</f>
        <v/>
      </c>
      <c r="E47" s="13">
        <f>IF($A47&gt;$C$3,"",LARGE(DEBIT_15HARIAN!$D$7:$D$31,$A47))</f>
        <v/>
      </c>
      <c r="F47" s="13">
        <f>IF($A47&gt;$C$3,"",LARGE(DEBIT_15HARIAN!$E$7:$E$31,$A47))</f>
        <v/>
      </c>
      <c r="G47" s="13">
        <f>IF($A47&gt;$C$3,"",LARGE(DEBIT_15HARIAN!$F$7:$F$31,$A47))</f>
        <v/>
      </c>
      <c r="H47" s="13">
        <f>IF($A47&gt;$C$3,"",LARGE(DEBIT_15HARIAN!$G$7:$G$31,$A47))</f>
        <v/>
      </c>
      <c r="I47" s="13">
        <f>IF($A47&gt;$C$3,"",LARGE(DEBIT_15HARIAN!$H$7:$H$31,$A47))</f>
        <v/>
      </c>
      <c r="J47" s="13">
        <f>IF($A47&gt;$C$3,"",LARGE(DEBIT_15HARIAN!$I$7:$I$31,$A47))</f>
        <v/>
      </c>
      <c r="K47" s="13">
        <f>IF($A47&gt;$C$3,"",LARGE(DEBIT_15HARIAN!$J$7:$J$31,$A47))</f>
        <v/>
      </c>
      <c r="L47" s="13">
        <f>IF($A47&gt;$C$3,"",LARGE(DEBIT_15HARIAN!$K$7:$K$31,$A47))</f>
        <v/>
      </c>
      <c r="M47" s="13">
        <f>IF($A47&gt;$C$3,"",LARGE(DEBIT_15HARIAN!$L$7:$L$31,$A47))</f>
        <v/>
      </c>
      <c r="N47" s="13">
        <f>IF($A47&gt;$C$3,"",LARGE(DEBIT_15HARIAN!$M$7:$M$31,$A47))</f>
        <v/>
      </c>
      <c r="O47" s="13">
        <f>IF($A47&gt;$C$3,"",LARGE(DEBIT_15HARIAN!$N$7:$N$31,$A47))</f>
        <v/>
      </c>
      <c r="P47" s="13">
        <f>IF($A47&gt;$C$3,"",LARGE(DEBIT_15HARIAN!$O$7:$O$31,$A47))</f>
        <v/>
      </c>
      <c r="Q47" s="13">
        <f>IF($A47&gt;$C$3,"",LARGE(DEBIT_15HARIAN!$P$7:$P$31,$A47))</f>
        <v/>
      </c>
      <c r="R47" s="13">
        <f>IF($A47&gt;$C$3,"",LARGE(DEBIT_15HARIAN!$Q$7:$Q$31,$A47))</f>
        <v/>
      </c>
      <c r="S47" s="13">
        <f>IF($A47&gt;$C$3,"",LARGE(DEBIT_15HARIAN!$R$7:$R$31,$A47))</f>
        <v/>
      </c>
      <c r="T47" s="13">
        <f>IF($A47&gt;$C$3,"",LARGE(DEBIT_15HARIAN!$S$7:$S$31,$A47))</f>
        <v/>
      </c>
      <c r="U47" s="13">
        <f>IF($A47&gt;$C$3,"",LARGE(DEBIT_15HARIAN!$T$7:$T$31,$A47))</f>
        <v/>
      </c>
      <c r="V47" s="13">
        <f>IF($A47&gt;$C$3,"",LARGE(DEBIT_15HARIAN!$U$7:$U$31,$A47))</f>
        <v/>
      </c>
      <c r="W47" s="13">
        <f>IF($A47&gt;$C$3,"",LARGE(DEBIT_15HARIAN!$V$7:$V$31,$A47))</f>
        <v/>
      </c>
      <c r="X47" s="13">
        <f>IF($A47&gt;$C$3,"",LARGE(DEBIT_15HARIAN!$W$7:$W$31,$A47))</f>
        <v/>
      </c>
      <c r="Y47" s="13">
        <f>IF($A47&gt;$C$3,"",LARGE(DEBIT_15HARIAN!$X$7:$X$31,$A47))</f>
        <v/>
      </c>
      <c r="Z47" s="13">
        <f>IF($A47&gt;$C$3,"",LARGE(DEBIT_15HARIAN!$Y$7:$Y$31,$A47))</f>
        <v/>
      </c>
    </row>
    <row r="48">
      <c r="A48" s="9" t="n">
        <v>14</v>
      </c>
      <c r="B48" s="23">
        <f>IF(A48&gt;$C$3,"",A48/($C$3+1))</f>
        <v/>
      </c>
      <c r="C48" s="13">
        <f>IF($A48&gt;$C$3,"",LARGE(DEBIT_15HARIAN!$B$7:$B$31,$A48))</f>
        <v/>
      </c>
      <c r="D48" s="13">
        <f>IF($A48&gt;$C$3,"",LARGE(DEBIT_15HARIAN!$C$7:$C$31,$A48))</f>
        <v/>
      </c>
      <c r="E48" s="13">
        <f>IF($A48&gt;$C$3,"",LARGE(DEBIT_15HARIAN!$D$7:$D$31,$A48))</f>
        <v/>
      </c>
      <c r="F48" s="13">
        <f>IF($A48&gt;$C$3,"",LARGE(DEBIT_15HARIAN!$E$7:$E$31,$A48))</f>
        <v/>
      </c>
      <c r="G48" s="13">
        <f>IF($A48&gt;$C$3,"",LARGE(DEBIT_15HARIAN!$F$7:$F$31,$A48))</f>
        <v/>
      </c>
      <c r="H48" s="13">
        <f>IF($A48&gt;$C$3,"",LARGE(DEBIT_15HARIAN!$G$7:$G$31,$A48))</f>
        <v/>
      </c>
      <c r="I48" s="13">
        <f>IF($A48&gt;$C$3,"",LARGE(DEBIT_15HARIAN!$H$7:$H$31,$A48))</f>
        <v/>
      </c>
      <c r="J48" s="13">
        <f>IF($A48&gt;$C$3,"",LARGE(DEBIT_15HARIAN!$I$7:$I$31,$A48))</f>
        <v/>
      </c>
      <c r="K48" s="13">
        <f>IF($A48&gt;$C$3,"",LARGE(DEBIT_15HARIAN!$J$7:$J$31,$A48))</f>
        <v/>
      </c>
      <c r="L48" s="13">
        <f>IF($A48&gt;$C$3,"",LARGE(DEBIT_15HARIAN!$K$7:$K$31,$A48))</f>
        <v/>
      </c>
      <c r="M48" s="13">
        <f>IF($A48&gt;$C$3,"",LARGE(DEBIT_15HARIAN!$L$7:$L$31,$A48))</f>
        <v/>
      </c>
      <c r="N48" s="13">
        <f>IF($A48&gt;$C$3,"",LARGE(DEBIT_15HARIAN!$M$7:$M$31,$A48))</f>
        <v/>
      </c>
      <c r="O48" s="13">
        <f>IF($A48&gt;$C$3,"",LARGE(DEBIT_15HARIAN!$N$7:$N$31,$A48))</f>
        <v/>
      </c>
      <c r="P48" s="13">
        <f>IF($A48&gt;$C$3,"",LARGE(DEBIT_15HARIAN!$O$7:$O$31,$A48))</f>
        <v/>
      </c>
      <c r="Q48" s="13">
        <f>IF($A48&gt;$C$3,"",LARGE(DEBIT_15HARIAN!$P$7:$P$31,$A48))</f>
        <v/>
      </c>
      <c r="R48" s="13">
        <f>IF($A48&gt;$C$3,"",LARGE(DEBIT_15HARIAN!$Q$7:$Q$31,$A48))</f>
        <v/>
      </c>
      <c r="S48" s="13">
        <f>IF($A48&gt;$C$3,"",LARGE(DEBIT_15HARIAN!$R$7:$R$31,$A48))</f>
        <v/>
      </c>
      <c r="T48" s="13">
        <f>IF($A48&gt;$C$3,"",LARGE(DEBIT_15HARIAN!$S$7:$S$31,$A48))</f>
        <v/>
      </c>
      <c r="U48" s="13">
        <f>IF($A48&gt;$C$3,"",LARGE(DEBIT_15HARIAN!$T$7:$T$31,$A48))</f>
        <v/>
      </c>
      <c r="V48" s="13">
        <f>IF($A48&gt;$C$3,"",LARGE(DEBIT_15HARIAN!$U$7:$U$31,$A48))</f>
        <v/>
      </c>
      <c r="W48" s="13">
        <f>IF($A48&gt;$C$3,"",LARGE(DEBIT_15HARIAN!$V$7:$V$31,$A48))</f>
        <v/>
      </c>
      <c r="X48" s="13">
        <f>IF($A48&gt;$C$3,"",LARGE(DEBIT_15HARIAN!$W$7:$W$31,$A48))</f>
        <v/>
      </c>
      <c r="Y48" s="13">
        <f>IF($A48&gt;$C$3,"",LARGE(DEBIT_15HARIAN!$X$7:$X$31,$A48))</f>
        <v/>
      </c>
      <c r="Z48" s="13">
        <f>IF($A48&gt;$C$3,"",LARGE(DEBIT_15HARIAN!$Y$7:$Y$31,$A48))</f>
        <v/>
      </c>
    </row>
    <row r="49">
      <c r="A49" s="9" t="n">
        <v>15</v>
      </c>
      <c r="B49" s="23">
        <f>IF(A49&gt;$C$3,"",A49/($C$3+1))</f>
        <v/>
      </c>
      <c r="C49" s="13">
        <f>IF($A49&gt;$C$3,"",LARGE(DEBIT_15HARIAN!$B$7:$B$31,$A49))</f>
        <v/>
      </c>
      <c r="D49" s="13">
        <f>IF($A49&gt;$C$3,"",LARGE(DEBIT_15HARIAN!$C$7:$C$31,$A49))</f>
        <v/>
      </c>
      <c r="E49" s="13">
        <f>IF($A49&gt;$C$3,"",LARGE(DEBIT_15HARIAN!$D$7:$D$31,$A49))</f>
        <v/>
      </c>
      <c r="F49" s="13">
        <f>IF($A49&gt;$C$3,"",LARGE(DEBIT_15HARIAN!$E$7:$E$31,$A49))</f>
        <v/>
      </c>
      <c r="G49" s="13">
        <f>IF($A49&gt;$C$3,"",LARGE(DEBIT_15HARIAN!$F$7:$F$31,$A49))</f>
        <v/>
      </c>
      <c r="H49" s="13">
        <f>IF($A49&gt;$C$3,"",LARGE(DEBIT_15HARIAN!$G$7:$G$31,$A49))</f>
        <v/>
      </c>
      <c r="I49" s="13">
        <f>IF($A49&gt;$C$3,"",LARGE(DEBIT_15HARIAN!$H$7:$H$31,$A49))</f>
        <v/>
      </c>
      <c r="J49" s="13">
        <f>IF($A49&gt;$C$3,"",LARGE(DEBIT_15HARIAN!$I$7:$I$31,$A49))</f>
        <v/>
      </c>
      <c r="K49" s="13">
        <f>IF($A49&gt;$C$3,"",LARGE(DEBIT_15HARIAN!$J$7:$J$31,$A49))</f>
        <v/>
      </c>
      <c r="L49" s="13">
        <f>IF($A49&gt;$C$3,"",LARGE(DEBIT_15HARIAN!$K$7:$K$31,$A49))</f>
        <v/>
      </c>
      <c r="M49" s="13">
        <f>IF($A49&gt;$C$3,"",LARGE(DEBIT_15HARIAN!$L$7:$L$31,$A49))</f>
        <v/>
      </c>
      <c r="N49" s="13">
        <f>IF($A49&gt;$C$3,"",LARGE(DEBIT_15HARIAN!$M$7:$M$31,$A49))</f>
        <v/>
      </c>
      <c r="O49" s="13">
        <f>IF($A49&gt;$C$3,"",LARGE(DEBIT_15HARIAN!$N$7:$N$31,$A49))</f>
        <v/>
      </c>
      <c r="P49" s="13">
        <f>IF($A49&gt;$C$3,"",LARGE(DEBIT_15HARIAN!$O$7:$O$31,$A49))</f>
        <v/>
      </c>
      <c r="Q49" s="13">
        <f>IF($A49&gt;$C$3,"",LARGE(DEBIT_15HARIAN!$P$7:$P$31,$A49))</f>
        <v/>
      </c>
      <c r="R49" s="13">
        <f>IF($A49&gt;$C$3,"",LARGE(DEBIT_15HARIAN!$Q$7:$Q$31,$A49))</f>
        <v/>
      </c>
      <c r="S49" s="13">
        <f>IF($A49&gt;$C$3,"",LARGE(DEBIT_15HARIAN!$R$7:$R$31,$A49))</f>
        <v/>
      </c>
      <c r="T49" s="13">
        <f>IF($A49&gt;$C$3,"",LARGE(DEBIT_15HARIAN!$S$7:$S$31,$A49))</f>
        <v/>
      </c>
      <c r="U49" s="13">
        <f>IF($A49&gt;$C$3,"",LARGE(DEBIT_15HARIAN!$T$7:$T$31,$A49))</f>
        <v/>
      </c>
      <c r="V49" s="13">
        <f>IF($A49&gt;$C$3,"",LARGE(DEBIT_15HARIAN!$U$7:$U$31,$A49))</f>
        <v/>
      </c>
      <c r="W49" s="13">
        <f>IF($A49&gt;$C$3,"",LARGE(DEBIT_15HARIAN!$V$7:$V$31,$A49))</f>
        <v/>
      </c>
      <c r="X49" s="13">
        <f>IF($A49&gt;$C$3,"",LARGE(DEBIT_15HARIAN!$W$7:$W$31,$A49))</f>
        <v/>
      </c>
      <c r="Y49" s="13">
        <f>IF($A49&gt;$C$3,"",LARGE(DEBIT_15HARIAN!$X$7:$X$31,$A49))</f>
        <v/>
      </c>
      <c r="Z49" s="13">
        <f>IF($A49&gt;$C$3,"",LARGE(DEBIT_15HARIAN!$Y$7:$Y$31,$A49))</f>
        <v/>
      </c>
    </row>
    <row r="50">
      <c r="A50" s="9" t="n">
        <v>16</v>
      </c>
      <c r="B50" s="23">
        <f>IF(A50&gt;$C$3,"",A50/($C$3+1))</f>
        <v/>
      </c>
      <c r="C50" s="13">
        <f>IF($A50&gt;$C$3,"",LARGE(DEBIT_15HARIAN!$B$7:$B$31,$A50))</f>
        <v/>
      </c>
      <c r="D50" s="13">
        <f>IF($A50&gt;$C$3,"",LARGE(DEBIT_15HARIAN!$C$7:$C$31,$A50))</f>
        <v/>
      </c>
      <c r="E50" s="13">
        <f>IF($A50&gt;$C$3,"",LARGE(DEBIT_15HARIAN!$D$7:$D$31,$A50))</f>
        <v/>
      </c>
      <c r="F50" s="13">
        <f>IF($A50&gt;$C$3,"",LARGE(DEBIT_15HARIAN!$E$7:$E$31,$A50))</f>
        <v/>
      </c>
      <c r="G50" s="13">
        <f>IF($A50&gt;$C$3,"",LARGE(DEBIT_15HARIAN!$F$7:$F$31,$A50))</f>
        <v/>
      </c>
      <c r="H50" s="13">
        <f>IF($A50&gt;$C$3,"",LARGE(DEBIT_15HARIAN!$G$7:$G$31,$A50))</f>
        <v/>
      </c>
      <c r="I50" s="13">
        <f>IF($A50&gt;$C$3,"",LARGE(DEBIT_15HARIAN!$H$7:$H$31,$A50))</f>
        <v/>
      </c>
      <c r="J50" s="13">
        <f>IF($A50&gt;$C$3,"",LARGE(DEBIT_15HARIAN!$I$7:$I$31,$A50))</f>
        <v/>
      </c>
      <c r="K50" s="13">
        <f>IF($A50&gt;$C$3,"",LARGE(DEBIT_15HARIAN!$J$7:$J$31,$A50))</f>
        <v/>
      </c>
      <c r="L50" s="13">
        <f>IF($A50&gt;$C$3,"",LARGE(DEBIT_15HARIAN!$K$7:$K$31,$A50))</f>
        <v/>
      </c>
      <c r="M50" s="13">
        <f>IF($A50&gt;$C$3,"",LARGE(DEBIT_15HARIAN!$L$7:$L$31,$A50))</f>
        <v/>
      </c>
      <c r="N50" s="13">
        <f>IF($A50&gt;$C$3,"",LARGE(DEBIT_15HARIAN!$M$7:$M$31,$A50))</f>
        <v/>
      </c>
      <c r="O50" s="13">
        <f>IF($A50&gt;$C$3,"",LARGE(DEBIT_15HARIAN!$N$7:$N$31,$A50))</f>
        <v/>
      </c>
      <c r="P50" s="13">
        <f>IF($A50&gt;$C$3,"",LARGE(DEBIT_15HARIAN!$O$7:$O$31,$A50))</f>
        <v/>
      </c>
      <c r="Q50" s="13">
        <f>IF($A50&gt;$C$3,"",LARGE(DEBIT_15HARIAN!$P$7:$P$31,$A50))</f>
        <v/>
      </c>
      <c r="R50" s="13">
        <f>IF($A50&gt;$C$3,"",LARGE(DEBIT_15HARIAN!$Q$7:$Q$31,$A50))</f>
        <v/>
      </c>
      <c r="S50" s="13">
        <f>IF($A50&gt;$C$3,"",LARGE(DEBIT_15HARIAN!$R$7:$R$31,$A50))</f>
        <v/>
      </c>
      <c r="T50" s="13">
        <f>IF($A50&gt;$C$3,"",LARGE(DEBIT_15HARIAN!$S$7:$S$31,$A50))</f>
        <v/>
      </c>
      <c r="U50" s="13">
        <f>IF($A50&gt;$C$3,"",LARGE(DEBIT_15HARIAN!$T$7:$T$31,$A50))</f>
        <v/>
      </c>
      <c r="V50" s="13">
        <f>IF($A50&gt;$C$3,"",LARGE(DEBIT_15HARIAN!$U$7:$U$31,$A50))</f>
        <v/>
      </c>
      <c r="W50" s="13">
        <f>IF($A50&gt;$C$3,"",LARGE(DEBIT_15HARIAN!$V$7:$V$31,$A50))</f>
        <v/>
      </c>
      <c r="X50" s="13">
        <f>IF($A50&gt;$C$3,"",LARGE(DEBIT_15HARIAN!$W$7:$W$31,$A50))</f>
        <v/>
      </c>
      <c r="Y50" s="13">
        <f>IF($A50&gt;$C$3,"",LARGE(DEBIT_15HARIAN!$X$7:$X$31,$A50))</f>
        <v/>
      </c>
      <c r="Z50" s="13">
        <f>IF($A50&gt;$C$3,"",LARGE(DEBIT_15HARIAN!$Y$7:$Y$31,$A50))</f>
        <v/>
      </c>
    </row>
    <row r="51">
      <c r="A51" s="9" t="n">
        <v>17</v>
      </c>
      <c r="B51" s="23">
        <f>IF(A51&gt;$C$3,"",A51/($C$3+1))</f>
        <v/>
      </c>
      <c r="C51" s="13">
        <f>IF($A51&gt;$C$3,"",LARGE(DEBIT_15HARIAN!$B$7:$B$31,$A51))</f>
        <v/>
      </c>
      <c r="D51" s="13">
        <f>IF($A51&gt;$C$3,"",LARGE(DEBIT_15HARIAN!$C$7:$C$31,$A51))</f>
        <v/>
      </c>
      <c r="E51" s="13">
        <f>IF($A51&gt;$C$3,"",LARGE(DEBIT_15HARIAN!$D$7:$D$31,$A51))</f>
        <v/>
      </c>
      <c r="F51" s="13">
        <f>IF($A51&gt;$C$3,"",LARGE(DEBIT_15HARIAN!$E$7:$E$31,$A51))</f>
        <v/>
      </c>
      <c r="G51" s="13">
        <f>IF($A51&gt;$C$3,"",LARGE(DEBIT_15HARIAN!$F$7:$F$31,$A51))</f>
        <v/>
      </c>
      <c r="H51" s="13">
        <f>IF($A51&gt;$C$3,"",LARGE(DEBIT_15HARIAN!$G$7:$G$31,$A51))</f>
        <v/>
      </c>
      <c r="I51" s="13">
        <f>IF($A51&gt;$C$3,"",LARGE(DEBIT_15HARIAN!$H$7:$H$31,$A51))</f>
        <v/>
      </c>
      <c r="J51" s="13">
        <f>IF($A51&gt;$C$3,"",LARGE(DEBIT_15HARIAN!$I$7:$I$31,$A51))</f>
        <v/>
      </c>
      <c r="K51" s="13">
        <f>IF($A51&gt;$C$3,"",LARGE(DEBIT_15HARIAN!$J$7:$J$31,$A51))</f>
        <v/>
      </c>
      <c r="L51" s="13">
        <f>IF($A51&gt;$C$3,"",LARGE(DEBIT_15HARIAN!$K$7:$K$31,$A51))</f>
        <v/>
      </c>
      <c r="M51" s="13">
        <f>IF($A51&gt;$C$3,"",LARGE(DEBIT_15HARIAN!$L$7:$L$31,$A51))</f>
        <v/>
      </c>
      <c r="N51" s="13">
        <f>IF($A51&gt;$C$3,"",LARGE(DEBIT_15HARIAN!$M$7:$M$31,$A51))</f>
        <v/>
      </c>
      <c r="O51" s="13">
        <f>IF($A51&gt;$C$3,"",LARGE(DEBIT_15HARIAN!$N$7:$N$31,$A51))</f>
        <v/>
      </c>
      <c r="P51" s="13">
        <f>IF($A51&gt;$C$3,"",LARGE(DEBIT_15HARIAN!$O$7:$O$31,$A51))</f>
        <v/>
      </c>
      <c r="Q51" s="13">
        <f>IF($A51&gt;$C$3,"",LARGE(DEBIT_15HARIAN!$P$7:$P$31,$A51))</f>
        <v/>
      </c>
      <c r="R51" s="13">
        <f>IF($A51&gt;$C$3,"",LARGE(DEBIT_15HARIAN!$Q$7:$Q$31,$A51))</f>
        <v/>
      </c>
      <c r="S51" s="13">
        <f>IF($A51&gt;$C$3,"",LARGE(DEBIT_15HARIAN!$R$7:$R$31,$A51))</f>
        <v/>
      </c>
      <c r="T51" s="13">
        <f>IF($A51&gt;$C$3,"",LARGE(DEBIT_15HARIAN!$S$7:$S$31,$A51))</f>
        <v/>
      </c>
      <c r="U51" s="13">
        <f>IF($A51&gt;$C$3,"",LARGE(DEBIT_15HARIAN!$T$7:$T$31,$A51))</f>
        <v/>
      </c>
      <c r="V51" s="13">
        <f>IF($A51&gt;$C$3,"",LARGE(DEBIT_15HARIAN!$U$7:$U$31,$A51))</f>
        <v/>
      </c>
      <c r="W51" s="13">
        <f>IF($A51&gt;$C$3,"",LARGE(DEBIT_15HARIAN!$V$7:$V$31,$A51))</f>
        <v/>
      </c>
      <c r="X51" s="13">
        <f>IF($A51&gt;$C$3,"",LARGE(DEBIT_15HARIAN!$W$7:$W$31,$A51))</f>
        <v/>
      </c>
      <c r="Y51" s="13">
        <f>IF($A51&gt;$C$3,"",LARGE(DEBIT_15HARIAN!$X$7:$X$31,$A51))</f>
        <v/>
      </c>
      <c r="Z51" s="13">
        <f>IF($A51&gt;$C$3,"",LARGE(DEBIT_15HARIAN!$Y$7:$Y$31,$A51))</f>
        <v/>
      </c>
    </row>
    <row r="52">
      <c r="A52" s="9" t="n">
        <v>18</v>
      </c>
      <c r="B52" s="23">
        <f>IF(A52&gt;$C$3,"",A52/($C$3+1))</f>
        <v/>
      </c>
      <c r="C52" s="13">
        <f>IF($A52&gt;$C$3,"",LARGE(DEBIT_15HARIAN!$B$7:$B$31,$A52))</f>
        <v/>
      </c>
      <c r="D52" s="13">
        <f>IF($A52&gt;$C$3,"",LARGE(DEBIT_15HARIAN!$C$7:$C$31,$A52))</f>
        <v/>
      </c>
      <c r="E52" s="13">
        <f>IF($A52&gt;$C$3,"",LARGE(DEBIT_15HARIAN!$D$7:$D$31,$A52))</f>
        <v/>
      </c>
      <c r="F52" s="13">
        <f>IF($A52&gt;$C$3,"",LARGE(DEBIT_15HARIAN!$E$7:$E$31,$A52))</f>
        <v/>
      </c>
      <c r="G52" s="13">
        <f>IF($A52&gt;$C$3,"",LARGE(DEBIT_15HARIAN!$F$7:$F$31,$A52))</f>
        <v/>
      </c>
      <c r="H52" s="13">
        <f>IF($A52&gt;$C$3,"",LARGE(DEBIT_15HARIAN!$G$7:$G$31,$A52))</f>
        <v/>
      </c>
      <c r="I52" s="13">
        <f>IF($A52&gt;$C$3,"",LARGE(DEBIT_15HARIAN!$H$7:$H$31,$A52))</f>
        <v/>
      </c>
      <c r="J52" s="13">
        <f>IF($A52&gt;$C$3,"",LARGE(DEBIT_15HARIAN!$I$7:$I$31,$A52))</f>
        <v/>
      </c>
      <c r="K52" s="13">
        <f>IF($A52&gt;$C$3,"",LARGE(DEBIT_15HARIAN!$J$7:$J$31,$A52))</f>
        <v/>
      </c>
      <c r="L52" s="13">
        <f>IF($A52&gt;$C$3,"",LARGE(DEBIT_15HARIAN!$K$7:$K$31,$A52))</f>
        <v/>
      </c>
      <c r="M52" s="13">
        <f>IF($A52&gt;$C$3,"",LARGE(DEBIT_15HARIAN!$L$7:$L$31,$A52))</f>
        <v/>
      </c>
      <c r="N52" s="13">
        <f>IF($A52&gt;$C$3,"",LARGE(DEBIT_15HARIAN!$M$7:$M$31,$A52))</f>
        <v/>
      </c>
      <c r="O52" s="13">
        <f>IF($A52&gt;$C$3,"",LARGE(DEBIT_15HARIAN!$N$7:$N$31,$A52))</f>
        <v/>
      </c>
      <c r="P52" s="13">
        <f>IF($A52&gt;$C$3,"",LARGE(DEBIT_15HARIAN!$O$7:$O$31,$A52))</f>
        <v/>
      </c>
      <c r="Q52" s="13">
        <f>IF($A52&gt;$C$3,"",LARGE(DEBIT_15HARIAN!$P$7:$P$31,$A52))</f>
        <v/>
      </c>
      <c r="R52" s="13">
        <f>IF($A52&gt;$C$3,"",LARGE(DEBIT_15HARIAN!$Q$7:$Q$31,$A52))</f>
        <v/>
      </c>
      <c r="S52" s="13">
        <f>IF($A52&gt;$C$3,"",LARGE(DEBIT_15HARIAN!$R$7:$R$31,$A52))</f>
        <v/>
      </c>
      <c r="T52" s="13">
        <f>IF($A52&gt;$C$3,"",LARGE(DEBIT_15HARIAN!$S$7:$S$31,$A52))</f>
        <v/>
      </c>
      <c r="U52" s="13">
        <f>IF($A52&gt;$C$3,"",LARGE(DEBIT_15HARIAN!$T$7:$T$31,$A52))</f>
        <v/>
      </c>
      <c r="V52" s="13">
        <f>IF($A52&gt;$C$3,"",LARGE(DEBIT_15HARIAN!$U$7:$U$31,$A52))</f>
        <v/>
      </c>
      <c r="W52" s="13">
        <f>IF($A52&gt;$C$3,"",LARGE(DEBIT_15HARIAN!$V$7:$V$31,$A52))</f>
        <v/>
      </c>
      <c r="X52" s="13">
        <f>IF($A52&gt;$C$3,"",LARGE(DEBIT_15HARIAN!$W$7:$W$31,$A52))</f>
        <v/>
      </c>
      <c r="Y52" s="13">
        <f>IF($A52&gt;$C$3,"",LARGE(DEBIT_15HARIAN!$X$7:$X$31,$A52))</f>
        <v/>
      </c>
      <c r="Z52" s="13">
        <f>IF($A52&gt;$C$3,"",LARGE(DEBIT_15HARIAN!$Y$7:$Y$31,$A52))</f>
        <v/>
      </c>
    </row>
    <row r="53">
      <c r="A53" s="9" t="n">
        <v>19</v>
      </c>
      <c r="B53" s="23">
        <f>IF(A53&gt;$C$3,"",A53/($C$3+1))</f>
        <v/>
      </c>
      <c r="C53" s="13">
        <f>IF($A53&gt;$C$3,"",LARGE(DEBIT_15HARIAN!$B$7:$B$31,$A53))</f>
        <v/>
      </c>
      <c r="D53" s="13">
        <f>IF($A53&gt;$C$3,"",LARGE(DEBIT_15HARIAN!$C$7:$C$31,$A53))</f>
        <v/>
      </c>
      <c r="E53" s="13">
        <f>IF($A53&gt;$C$3,"",LARGE(DEBIT_15HARIAN!$D$7:$D$31,$A53))</f>
        <v/>
      </c>
      <c r="F53" s="13">
        <f>IF($A53&gt;$C$3,"",LARGE(DEBIT_15HARIAN!$E$7:$E$31,$A53))</f>
        <v/>
      </c>
      <c r="G53" s="13">
        <f>IF($A53&gt;$C$3,"",LARGE(DEBIT_15HARIAN!$F$7:$F$31,$A53))</f>
        <v/>
      </c>
      <c r="H53" s="13">
        <f>IF($A53&gt;$C$3,"",LARGE(DEBIT_15HARIAN!$G$7:$G$31,$A53))</f>
        <v/>
      </c>
      <c r="I53" s="13">
        <f>IF($A53&gt;$C$3,"",LARGE(DEBIT_15HARIAN!$H$7:$H$31,$A53))</f>
        <v/>
      </c>
      <c r="J53" s="13">
        <f>IF($A53&gt;$C$3,"",LARGE(DEBIT_15HARIAN!$I$7:$I$31,$A53))</f>
        <v/>
      </c>
      <c r="K53" s="13">
        <f>IF($A53&gt;$C$3,"",LARGE(DEBIT_15HARIAN!$J$7:$J$31,$A53))</f>
        <v/>
      </c>
      <c r="L53" s="13">
        <f>IF($A53&gt;$C$3,"",LARGE(DEBIT_15HARIAN!$K$7:$K$31,$A53))</f>
        <v/>
      </c>
      <c r="M53" s="13">
        <f>IF($A53&gt;$C$3,"",LARGE(DEBIT_15HARIAN!$L$7:$L$31,$A53))</f>
        <v/>
      </c>
      <c r="N53" s="13">
        <f>IF($A53&gt;$C$3,"",LARGE(DEBIT_15HARIAN!$M$7:$M$31,$A53))</f>
        <v/>
      </c>
      <c r="O53" s="13">
        <f>IF($A53&gt;$C$3,"",LARGE(DEBIT_15HARIAN!$N$7:$N$31,$A53))</f>
        <v/>
      </c>
      <c r="P53" s="13">
        <f>IF($A53&gt;$C$3,"",LARGE(DEBIT_15HARIAN!$O$7:$O$31,$A53))</f>
        <v/>
      </c>
      <c r="Q53" s="13">
        <f>IF($A53&gt;$C$3,"",LARGE(DEBIT_15HARIAN!$P$7:$P$31,$A53))</f>
        <v/>
      </c>
      <c r="R53" s="13">
        <f>IF($A53&gt;$C$3,"",LARGE(DEBIT_15HARIAN!$Q$7:$Q$31,$A53))</f>
        <v/>
      </c>
      <c r="S53" s="13">
        <f>IF($A53&gt;$C$3,"",LARGE(DEBIT_15HARIAN!$R$7:$R$31,$A53))</f>
        <v/>
      </c>
      <c r="T53" s="13">
        <f>IF($A53&gt;$C$3,"",LARGE(DEBIT_15HARIAN!$S$7:$S$31,$A53))</f>
        <v/>
      </c>
      <c r="U53" s="13">
        <f>IF($A53&gt;$C$3,"",LARGE(DEBIT_15HARIAN!$T$7:$T$31,$A53))</f>
        <v/>
      </c>
      <c r="V53" s="13">
        <f>IF($A53&gt;$C$3,"",LARGE(DEBIT_15HARIAN!$U$7:$U$31,$A53))</f>
        <v/>
      </c>
      <c r="W53" s="13">
        <f>IF($A53&gt;$C$3,"",LARGE(DEBIT_15HARIAN!$V$7:$V$31,$A53))</f>
        <v/>
      </c>
      <c r="X53" s="13">
        <f>IF($A53&gt;$C$3,"",LARGE(DEBIT_15HARIAN!$W$7:$W$31,$A53))</f>
        <v/>
      </c>
      <c r="Y53" s="13">
        <f>IF($A53&gt;$C$3,"",LARGE(DEBIT_15HARIAN!$X$7:$X$31,$A53))</f>
        <v/>
      </c>
      <c r="Z53" s="13">
        <f>IF($A53&gt;$C$3,"",LARGE(DEBIT_15HARIAN!$Y$7:$Y$31,$A53))</f>
        <v/>
      </c>
    </row>
    <row r="54">
      <c r="A54" s="9" t="n">
        <v>20</v>
      </c>
      <c r="B54" s="23">
        <f>IF(A54&gt;$C$3,"",A54/($C$3+1))</f>
        <v/>
      </c>
      <c r="C54" s="13">
        <f>IF($A54&gt;$C$3,"",LARGE(DEBIT_15HARIAN!$B$7:$B$31,$A54))</f>
        <v/>
      </c>
      <c r="D54" s="13">
        <f>IF($A54&gt;$C$3,"",LARGE(DEBIT_15HARIAN!$C$7:$C$31,$A54))</f>
        <v/>
      </c>
      <c r="E54" s="13">
        <f>IF($A54&gt;$C$3,"",LARGE(DEBIT_15HARIAN!$D$7:$D$31,$A54))</f>
        <v/>
      </c>
      <c r="F54" s="13">
        <f>IF($A54&gt;$C$3,"",LARGE(DEBIT_15HARIAN!$E$7:$E$31,$A54))</f>
        <v/>
      </c>
      <c r="G54" s="13">
        <f>IF($A54&gt;$C$3,"",LARGE(DEBIT_15HARIAN!$F$7:$F$31,$A54))</f>
        <v/>
      </c>
      <c r="H54" s="13">
        <f>IF($A54&gt;$C$3,"",LARGE(DEBIT_15HARIAN!$G$7:$G$31,$A54))</f>
        <v/>
      </c>
      <c r="I54" s="13">
        <f>IF($A54&gt;$C$3,"",LARGE(DEBIT_15HARIAN!$H$7:$H$31,$A54))</f>
        <v/>
      </c>
      <c r="J54" s="13">
        <f>IF($A54&gt;$C$3,"",LARGE(DEBIT_15HARIAN!$I$7:$I$31,$A54))</f>
        <v/>
      </c>
      <c r="K54" s="13">
        <f>IF($A54&gt;$C$3,"",LARGE(DEBIT_15HARIAN!$J$7:$J$31,$A54))</f>
        <v/>
      </c>
      <c r="L54" s="13">
        <f>IF($A54&gt;$C$3,"",LARGE(DEBIT_15HARIAN!$K$7:$K$31,$A54))</f>
        <v/>
      </c>
      <c r="M54" s="13">
        <f>IF($A54&gt;$C$3,"",LARGE(DEBIT_15HARIAN!$L$7:$L$31,$A54))</f>
        <v/>
      </c>
      <c r="N54" s="13">
        <f>IF($A54&gt;$C$3,"",LARGE(DEBIT_15HARIAN!$M$7:$M$31,$A54))</f>
        <v/>
      </c>
      <c r="O54" s="13">
        <f>IF($A54&gt;$C$3,"",LARGE(DEBIT_15HARIAN!$N$7:$N$31,$A54))</f>
        <v/>
      </c>
      <c r="P54" s="13">
        <f>IF($A54&gt;$C$3,"",LARGE(DEBIT_15HARIAN!$O$7:$O$31,$A54))</f>
        <v/>
      </c>
      <c r="Q54" s="13">
        <f>IF($A54&gt;$C$3,"",LARGE(DEBIT_15HARIAN!$P$7:$P$31,$A54))</f>
        <v/>
      </c>
      <c r="R54" s="13">
        <f>IF($A54&gt;$C$3,"",LARGE(DEBIT_15HARIAN!$Q$7:$Q$31,$A54))</f>
        <v/>
      </c>
      <c r="S54" s="13">
        <f>IF($A54&gt;$C$3,"",LARGE(DEBIT_15HARIAN!$R$7:$R$31,$A54))</f>
        <v/>
      </c>
      <c r="T54" s="13">
        <f>IF($A54&gt;$C$3,"",LARGE(DEBIT_15HARIAN!$S$7:$S$31,$A54))</f>
        <v/>
      </c>
      <c r="U54" s="13">
        <f>IF($A54&gt;$C$3,"",LARGE(DEBIT_15HARIAN!$T$7:$T$31,$A54))</f>
        <v/>
      </c>
      <c r="V54" s="13">
        <f>IF($A54&gt;$C$3,"",LARGE(DEBIT_15HARIAN!$U$7:$U$31,$A54))</f>
        <v/>
      </c>
      <c r="W54" s="13">
        <f>IF($A54&gt;$C$3,"",LARGE(DEBIT_15HARIAN!$V$7:$V$31,$A54))</f>
        <v/>
      </c>
      <c r="X54" s="13">
        <f>IF($A54&gt;$C$3,"",LARGE(DEBIT_15HARIAN!$W$7:$W$31,$A54))</f>
        <v/>
      </c>
      <c r="Y54" s="13">
        <f>IF($A54&gt;$C$3,"",LARGE(DEBIT_15HARIAN!$X$7:$X$31,$A54))</f>
        <v/>
      </c>
      <c r="Z54" s="13">
        <f>IF($A54&gt;$C$3,"",LARGE(DEBIT_15HARIAN!$Y$7:$Y$31,$A54))</f>
        <v/>
      </c>
    </row>
    <row r="55">
      <c r="A55" s="9" t="n">
        <v>21</v>
      </c>
      <c r="B55" s="23">
        <f>IF(A55&gt;$C$3,"",A55/($C$3+1))</f>
        <v/>
      </c>
      <c r="C55" s="13">
        <f>IF($A55&gt;$C$3,"",LARGE(DEBIT_15HARIAN!$B$7:$B$31,$A55))</f>
        <v/>
      </c>
      <c r="D55" s="13">
        <f>IF($A55&gt;$C$3,"",LARGE(DEBIT_15HARIAN!$C$7:$C$31,$A55))</f>
        <v/>
      </c>
      <c r="E55" s="13">
        <f>IF($A55&gt;$C$3,"",LARGE(DEBIT_15HARIAN!$D$7:$D$31,$A55))</f>
        <v/>
      </c>
      <c r="F55" s="13">
        <f>IF($A55&gt;$C$3,"",LARGE(DEBIT_15HARIAN!$E$7:$E$31,$A55))</f>
        <v/>
      </c>
      <c r="G55" s="13">
        <f>IF($A55&gt;$C$3,"",LARGE(DEBIT_15HARIAN!$F$7:$F$31,$A55))</f>
        <v/>
      </c>
      <c r="H55" s="13">
        <f>IF($A55&gt;$C$3,"",LARGE(DEBIT_15HARIAN!$G$7:$G$31,$A55))</f>
        <v/>
      </c>
      <c r="I55" s="13">
        <f>IF($A55&gt;$C$3,"",LARGE(DEBIT_15HARIAN!$H$7:$H$31,$A55))</f>
        <v/>
      </c>
      <c r="J55" s="13">
        <f>IF($A55&gt;$C$3,"",LARGE(DEBIT_15HARIAN!$I$7:$I$31,$A55))</f>
        <v/>
      </c>
      <c r="K55" s="13">
        <f>IF($A55&gt;$C$3,"",LARGE(DEBIT_15HARIAN!$J$7:$J$31,$A55))</f>
        <v/>
      </c>
      <c r="L55" s="13">
        <f>IF($A55&gt;$C$3,"",LARGE(DEBIT_15HARIAN!$K$7:$K$31,$A55))</f>
        <v/>
      </c>
      <c r="M55" s="13">
        <f>IF($A55&gt;$C$3,"",LARGE(DEBIT_15HARIAN!$L$7:$L$31,$A55))</f>
        <v/>
      </c>
      <c r="N55" s="13">
        <f>IF($A55&gt;$C$3,"",LARGE(DEBIT_15HARIAN!$M$7:$M$31,$A55))</f>
        <v/>
      </c>
      <c r="O55" s="13">
        <f>IF($A55&gt;$C$3,"",LARGE(DEBIT_15HARIAN!$N$7:$N$31,$A55))</f>
        <v/>
      </c>
      <c r="P55" s="13">
        <f>IF($A55&gt;$C$3,"",LARGE(DEBIT_15HARIAN!$O$7:$O$31,$A55))</f>
        <v/>
      </c>
      <c r="Q55" s="13">
        <f>IF($A55&gt;$C$3,"",LARGE(DEBIT_15HARIAN!$P$7:$P$31,$A55))</f>
        <v/>
      </c>
      <c r="R55" s="13">
        <f>IF($A55&gt;$C$3,"",LARGE(DEBIT_15HARIAN!$Q$7:$Q$31,$A55))</f>
        <v/>
      </c>
      <c r="S55" s="13">
        <f>IF($A55&gt;$C$3,"",LARGE(DEBIT_15HARIAN!$R$7:$R$31,$A55))</f>
        <v/>
      </c>
      <c r="T55" s="13">
        <f>IF($A55&gt;$C$3,"",LARGE(DEBIT_15HARIAN!$S$7:$S$31,$A55))</f>
        <v/>
      </c>
      <c r="U55" s="13">
        <f>IF($A55&gt;$C$3,"",LARGE(DEBIT_15HARIAN!$T$7:$T$31,$A55))</f>
        <v/>
      </c>
      <c r="V55" s="13">
        <f>IF($A55&gt;$C$3,"",LARGE(DEBIT_15HARIAN!$U$7:$U$31,$A55))</f>
        <v/>
      </c>
      <c r="W55" s="13">
        <f>IF($A55&gt;$C$3,"",LARGE(DEBIT_15HARIAN!$V$7:$V$31,$A55))</f>
        <v/>
      </c>
      <c r="X55" s="13">
        <f>IF($A55&gt;$C$3,"",LARGE(DEBIT_15HARIAN!$W$7:$W$31,$A55))</f>
        <v/>
      </c>
      <c r="Y55" s="13">
        <f>IF($A55&gt;$C$3,"",LARGE(DEBIT_15HARIAN!$X$7:$X$31,$A55))</f>
        <v/>
      </c>
      <c r="Z55" s="13">
        <f>IF($A55&gt;$C$3,"",LARGE(DEBIT_15HARIAN!$Y$7:$Y$31,$A55))</f>
        <v/>
      </c>
    </row>
    <row r="56">
      <c r="A56" s="9" t="n">
        <v>22</v>
      </c>
      <c r="B56" s="23">
        <f>IF(A56&gt;$C$3,"",A56/($C$3+1))</f>
        <v/>
      </c>
      <c r="C56" s="13">
        <f>IF($A56&gt;$C$3,"",LARGE(DEBIT_15HARIAN!$B$7:$B$31,$A56))</f>
        <v/>
      </c>
      <c r="D56" s="13">
        <f>IF($A56&gt;$C$3,"",LARGE(DEBIT_15HARIAN!$C$7:$C$31,$A56))</f>
        <v/>
      </c>
      <c r="E56" s="13">
        <f>IF($A56&gt;$C$3,"",LARGE(DEBIT_15HARIAN!$D$7:$D$31,$A56))</f>
        <v/>
      </c>
      <c r="F56" s="13">
        <f>IF($A56&gt;$C$3,"",LARGE(DEBIT_15HARIAN!$E$7:$E$31,$A56))</f>
        <v/>
      </c>
      <c r="G56" s="13">
        <f>IF($A56&gt;$C$3,"",LARGE(DEBIT_15HARIAN!$F$7:$F$31,$A56))</f>
        <v/>
      </c>
      <c r="H56" s="13">
        <f>IF($A56&gt;$C$3,"",LARGE(DEBIT_15HARIAN!$G$7:$G$31,$A56))</f>
        <v/>
      </c>
      <c r="I56" s="13">
        <f>IF($A56&gt;$C$3,"",LARGE(DEBIT_15HARIAN!$H$7:$H$31,$A56))</f>
        <v/>
      </c>
      <c r="J56" s="13">
        <f>IF($A56&gt;$C$3,"",LARGE(DEBIT_15HARIAN!$I$7:$I$31,$A56))</f>
        <v/>
      </c>
      <c r="K56" s="13">
        <f>IF($A56&gt;$C$3,"",LARGE(DEBIT_15HARIAN!$J$7:$J$31,$A56))</f>
        <v/>
      </c>
      <c r="L56" s="13">
        <f>IF($A56&gt;$C$3,"",LARGE(DEBIT_15HARIAN!$K$7:$K$31,$A56))</f>
        <v/>
      </c>
      <c r="M56" s="13">
        <f>IF($A56&gt;$C$3,"",LARGE(DEBIT_15HARIAN!$L$7:$L$31,$A56))</f>
        <v/>
      </c>
      <c r="N56" s="13">
        <f>IF($A56&gt;$C$3,"",LARGE(DEBIT_15HARIAN!$M$7:$M$31,$A56))</f>
        <v/>
      </c>
      <c r="O56" s="13">
        <f>IF($A56&gt;$C$3,"",LARGE(DEBIT_15HARIAN!$N$7:$N$31,$A56))</f>
        <v/>
      </c>
      <c r="P56" s="13">
        <f>IF($A56&gt;$C$3,"",LARGE(DEBIT_15HARIAN!$O$7:$O$31,$A56))</f>
        <v/>
      </c>
      <c r="Q56" s="13">
        <f>IF($A56&gt;$C$3,"",LARGE(DEBIT_15HARIAN!$P$7:$P$31,$A56))</f>
        <v/>
      </c>
      <c r="R56" s="13">
        <f>IF($A56&gt;$C$3,"",LARGE(DEBIT_15HARIAN!$Q$7:$Q$31,$A56))</f>
        <v/>
      </c>
      <c r="S56" s="13">
        <f>IF($A56&gt;$C$3,"",LARGE(DEBIT_15HARIAN!$R$7:$R$31,$A56))</f>
        <v/>
      </c>
      <c r="T56" s="13">
        <f>IF($A56&gt;$C$3,"",LARGE(DEBIT_15HARIAN!$S$7:$S$31,$A56))</f>
        <v/>
      </c>
      <c r="U56" s="13">
        <f>IF($A56&gt;$C$3,"",LARGE(DEBIT_15HARIAN!$T$7:$T$31,$A56))</f>
        <v/>
      </c>
      <c r="V56" s="13">
        <f>IF($A56&gt;$C$3,"",LARGE(DEBIT_15HARIAN!$U$7:$U$31,$A56))</f>
        <v/>
      </c>
      <c r="W56" s="13">
        <f>IF($A56&gt;$C$3,"",LARGE(DEBIT_15HARIAN!$V$7:$V$31,$A56))</f>
        <v/>
      </c>
      <c r="X56" s="13">
        <f>IF($A56&gt;$C$3,"",LARGE(DEBIT_15HARIAN!$W$7:$W$31,$A56))</f>
        <v/>
      </c>
      <c r="Y56" s="13">
        <f>IF($A56&gt;$C$3,"",LARGE(DEBIT_15HARIAN!$X$7:$X$31,$A56))</f>
        <v/>
      </c>
      <c r="Z56" s="13">
        <f>IF($A56&gt;$C$3,"",LARGE(DEBIT_15HARIAN!$Y$7:$Y$31,$A56))</f>
        <v/>
      </c>
    </row>
    <row r="57">
      <c r="A57" s="9" t="n">
        <v>23</v>
      </c>
      <c r="B57" s="23">
        <f>IF(A57&gt;$C$3,"",A57/($C$3+1))</f>
        <v/>
      </c>
      <c r="C57" s="13">
        <f>IF($A57&gt;$C$3,"",LARGE(DEBIT_15HARIAN!$B$7:$B$31,$A57))</f>
        <v/>
      </c>
      <c r="D57" s="13">
        <f>IF($A57&gt;$C$3,"",LARGE(DEBIT_15HARIAN!$C$7:$C$31,$A57))</f>
        <v/>
      </c>
      <c r="E57" s="13">
        <f>IF($A57&gt;$C$3,"",LARGE(DEBIT_15HARIAN!$D$7:$D$31,$A57))</f>
        <v/>
      </c>
      <c r="F57" s="13">
        <f>IF($A57&gt;$C$3,"",LARGE(DEBIT_15HARIAN!$E$7:$E$31,$A57))</f>
        <v/>
      </c>
      <c r="G57" s="13">
        <f>IF($A57&gt;$C$3,"",LARGE(DEBIT_15HARIAN!$F$7:$F$31,$A57))</f>
        <v/>
      </c>
      <c r="H57" s="13">
        <f>IF($A57&gt;$C$3,"",LARGE(DEBIT_15HARIAN!$G$7:$G$31,$A57))</f>
        <v/>
      </c>
      <c r="I57" s="13">
        <f>IF($A57&gt;$C$3,"",LARGE(DEBIT_15HARIAN!$H$7:$H$31,$A57))</f>
        <v/>
      </c>
      <c r="J57" s="13">
        <f>IF($A57&gt;$C$3,"",LARGE(DEBIT_15HARIAN!$I$7:$I$31,$A57))</f>
        <v/>
      </c>
      <c r="K57" s="13">
        <f>IF($A57&gt;$C$3,"",LARGE(DEBIT_15HARIAN!$J$7:$J$31,$A57))</f>
        <v/>
      </c>
      <c r="L57" s="13">
        <f>IF($A57&gt;$C$3,"",LARGE(DEBIT_15HARIAN!$K$7:$K$31,$A57))</f>
        <v/>
      </c>
      <c r="M57" s="13">
        <f>IF($A57&gt;$C$3,"",LARGE(DEBIT_15HARIAN!$L$7:$L$31,$A57))</f>
        <v/>
      </c>
      <c r="N57" s="13">
        <f>IF($A57&gt;$C$3,"",LARGE(DEBIT_15HARIAN!$M$7:$M$31,$A57))</f>
        <v/>
      </c>
      <c r="O57" s="13">
        <f>IF($A57&gt;$C$3,"",LARGE(DEBIT_15HARIAN!$N$7:$N$31,$A57))</f>
        <v/>
      </c>
      <c r="P57" s="13">
        <f>IF($A57&gt;$C$3,"",LARGE(DEBIT_15HARIAN!$O$7:$O$31,$A57))</f>
        <v/>
      </c>
      <c r="Q57" s="13">
        <f>IF($A57&gt;$C$3,"",LARGE(DEBIT_15HARIAN!$P$7:$P$31,$A57))</f>
        <v/>
      </c>
      <c r="R57" s="13">
        <f>IF($A57&gt;$C$3,"",LARGE(DEBIT_15HARIAN!$Q$7:$Q$31,$A57))</f>
        <v/>
      </c>
      <c r="S57" s="13">
        <f>IF($A57&gt;$C$3,"",LARGE(DEBIT_15HARIAN!$R$7:$R$31,$A57))</f>
        <v/>
      </c>
      <c r="T57" s="13">
        <f>IF($A57&gt;$C$3,"",LARGE(DEBIT_15HARIAN!$S$7:$S$31,$A57))</f>
        <v/>
      </c>
      <c r="U57" s="13">
        <f>IF($A57&gt;$C$3,"",LARGE(DEBIT_15HARIAN!$T$7:$T$31,$A57))</f>
        <v/>
      </c>
      <c r="V57" s="13">
        <f>IF($A57&gt;$C$3,"",LARGE(DEBIT_15HARIAN!$U$7:$U$31,$A57))</f>
        <v/>
      </c>
      <c r="W57" s="13">
        <f>IF($A57&gt;$C$3,"",LARGE(DEBIT_15HARIAN!$V$7:$V$31,$A57))</f>
        <v/>
      </c>
      <c r="X57" s="13">
        <f>IF($A57&gt;$C$3,"",LARGE(DEBIT_15HARIAN!$W$7:$W$31,$A57))</f>
        <v/>
      </c>
      <c r="Y57" s="13">
        <f>IF($A57&gt;$C$3,"",LARGE(DEBIT_15HARIAN!$X$7:$X$31,$A57))</f>
        <v/>
      </c>
      <c r="Z57" s="13">
        <f>IF($A57&gt;$C$3,"",LARGE(DEBIT_15HARIAN!$Y$7:$Y$31,$A57))</f>
        <v/>
      </c>
    </row>
    <row r="58">
      <c r="A58" s="9" t="n">
        <v>24</v>
      </c>
      <c r="B58" s="23">
        <f>IF(A58&gt;$C$3,"",A58/($C$3+1))</f>
        <v/>
      </c>
      <c r="C58" s="13">
        <f>IF($A58&gt;$C$3,"",LARGE(DEBIT_15HARIAN!$B$7:$B$31,$A58))</f>
        <v/>
      </c>
      <c r="D58" s="13">
        <f>IF($A58&gt;$C$3,"",LARGE(DEBIT_15HARIAN!$C$7:$C$31,$A58))</f>
        <v/>
      </c>
      <c r="E58" s="13">
        <f>IF($A58&gt;$C$3,"",LARGE(DEBIT_15HARIAN!$D$7:$D$31,$A58))</f>
        <v/>
      </c>
      <c r="F58" s="13">
        <f>IF($A58&gt;$C$3,"",LARGE(DEBIT_15HARIAN!$E$7:$E$31,$A58))</f>
        <v/>
      </c>
      <c r="G58" s="13">
        <f>IF($A58&gt;$C$3,"",LARGE(DEBIT_15HARIAN!$F$7:$F$31,$A58))</f>
        <v/>
      </c>
      <c r="H58" s="13">
        <f>IF($A58&gt;$C$3,"",LARGE(DEBIT_15HARIAN!$G$7:$G$31,$A58))</f>
        <v/>
      </c>
      <c r="I58" s="13">
        <f>IF($A58&gt;$C$3,"",LARGE(DEBIT_15HARIAN!$H$7:$H$31,$A58))</f>
        <v/>
      </c>
      <c r="J58" s="13">
        <f>IF($A58&gt;$C$3,"",LARGE(DEBIT_15HARIAN!$I$7:$I$31,$A58))</f>
        <v/>
      </c>
      <c r="K58" s="13">
        <f>IF($A58&gt;$C$3,"",LARGE(DEBIT_15HARIAN!$J$7:$J$31,$A58))</f>
        <v/>
      </c>
      <c r="L58" s="13">
        <f>IF($A58&gt;$C$3,"",LARGE(DEBIT_15HARIAN!$K$7:$K$31,$A58))</f>
        <v/>
      </c>
      <c r="M58" s="13">
        <f>IF($A58&gt;$C$3,"",LARGE(DEBIT_15HARIAN!$L$7:$L$31,$A58))</f>
        <v/>
      </c>
      <c r="N58" s="13">
        <f>IF($A58&gt;$C$3,"",LARGE(DEBIT_15HARIAN!$M$7:$M$31,$A58))</f>
        <v/>
      </c>
      <c r="O58" s="13">
        <f>IF($A58&gt;$C$3,"",LARGE(DEBIT_15HARIAN!$N$7:$N$31,$A58))</f>
        <v/>
      </c>
      <c r="P58" s="13">
        <f>IF($A58&gt;$C$3,"",LARGE(DEBIT_15HARIAN!$O$7:$O$31,$A58))</f>
        <v/>
      </c>
      <c r="Q58" s="13">
        <f>IF($A58&gt;$C$3,"",LARGE(DEBIT_15HARIAN!$P$7:$P$31,$A58))</f>
        <v/>
      </c>
      <c r="R58" s="13">
        <f>IF($A58&gt;$C$3,"",LARGE(DEBIT_15HARIAN!$Q$7:$Q$31,$A58))</f>
        <v/>
      </c>
      <c r="S58" s="13">
        <f>IF($A58&gt;$C$3,"",LARGE(DEBIT_15HARIAN!$R$7:$R$31,$A58))</f>
        <v/>
      </c>
      <c r="T58" s="13">
        <f>IF($A58&gt;$C$3,"",LARGE(DEBIT_15HARIAN!$S$7:$S$31,$A58))</f>
        <v/>
      </c>
      <c r="U58" s="13">
        <f>IF($A58&gt;$C$3,"",LARGE(DEBIT_15HARIAN!$T$7:$T$31,$A58))</f>
        <v/>
      </c>
      <c r="V58" s="13">
        <f>IF($A58&gt;$C$3,"",LARGE(DEBIT_15HARIAN!$U$7:$U$31,$A58))</f>
        <v/>
      </c>
      <c r="W58" s="13">
        <f>IF($A58&gt;$C$3,"",LARGE(DEBIT_15HARIAN!$V$7:$V$31,$A58))</f>
        <v/>
      </c>
      <c r="X58" s="13">
        <f>IF($A58&gt;$C$3,"",LARGE(DEBIT_15HARIAN!$W$7:$W$31,$A58))</f>
        <v/>
      </c>
      <c r="Y58" s="13">
        <f>IF($A58&gt;$C$3,"",LARGE(DEBIT_15HARIAN!$X$7:$X$31,$A58))</f>
        <v/>
      </c>
      <c r="Z58" s="13">
        <f>IF($A58&gt;$C$3,"",LARGE(DEBIT_15HARIAN!$Y$7:$Y$31,$A58))</f>
        <v/>
      </c>
    </row>
    <row r="59">
      <c r="A59" s="9" t="n">
        <v>25</v>
      </c>
      <c r="B59" s="23">
        <f>IF(A59&gt;$C$3,"",A59/($C$3+1))</f>
        <v/>
      </c>
      <c r="C59" s="13">
        <f>IF($A59&gt;$C$3,"",LARGE(DEBIT_15HARIAN!$B$7:$B$31,$A59))</f>
        <v/>
      </c>
      <c r="D59" s="13">
        <f>IF($A59&gt;$C$3,"",LARGE(DEBIT_15HARIAN!$C$7:$C$31,$A59))</f>
        <v/>
      </c>
      <c r="E59" s="13">
        <f>IF($A59&gt;$C$3,"",LARGE(DEBIT_15HARIAN!$D$7:$D$31,$A59))</f>
        <v/>
      </c>
      <c r="F59" s="13">
        <f>IF($A59&gt;$C$3,"",LARGE(DEBIT_15HARIAN!$E$7:$E$31,$A59))</f>
        <v/>
      </c>
      <c r="G59" s="13">
        <f>IF($A59&gt;$C$3,"",LARGE(DEBIT_15HARIAN!$F$7:$F$31,$A59))</f>
        <v/>
      </c>
      <c r="H59" s="13">
        <f>IF($A59&gt;$C$3,"",LARGE(DEBIT_15HARIAN!$G$7:$G$31,$A59))</f>
        <v/>
      </c>
      <c r="I59" s="13">
        <f>IF($A59&gt;$C$3,"",LARGE(DEBIT_15HARIAN!$H$7:$H$31,$A59))</f>
        <v/>
      </c>
      <c r="J59" s="13">
        <f>IF($A59&gt;$C$3,"",LARGE(DEBIT_15HARIAN!$I$7:$I$31,$A59))</f>
        <v/>
      </c>
      <c r="K59" s="13">
        <f>IF($A59&gt;$C$3,"",LARGE(DEBIT_15HARIAN!$J$7:$J$31,$A59))</f>
        <v/>
      </c>
      <c r="L59" s="13">
        <f>IF($A59&gt;$C$3,"",LARGE(DEBIT_15HARIAN!$K$7:$K$31,$A59))</f>
        <v/>
      </c>
      <c r="M59" s="13">
        <f>IF($A59&gt;$C$3,"",LARGE(DEBIT_15HARIAN!$L$7:$L$31,$A59))</f>
        <v/>
      </c>
      <c r="N59" s="13">
        <f>IF($A59&gt;$C$3,"",LARGE(DEBIT_15HARIAN!$M$7:$M$31,$A59))</f>
        <v/>
      </c>
      <c r="O59" s="13">
        <f>IF($A59&gt;$C$3,"",LARGE(DEBIT_15HARIAN!$N$7:$N$31,$A59))</f>
        <v/>
      </c>
      <c r="P59" s="13">
        <f>IF($A59&gt;$C$3,"",LARGE(DEBIT_15HARIAN!$O$7:$O$31,$A59))</f>
        <v/>
      </c>
      <c r="Q59" s="13">
        <f>IF($A59&gt;$C$3,"",LARGE(DEBIT_15HARIAN!$P$7:$P$31,$A59))</f>
        <v/>
      </c>
      <c r="R59" s="13">
        <f>IF($A59&gt;$C$3,"",LARGE(DEBIT_15HARIAN!$Q$7:$Q$31,$A59))</f>
        <v/>
      </c>
      <c r="S59" s="13">
        <f>IF($A59&gt;$C$3,"",LARGE(DEBIT_15HARIAN!$R$7:$R$31,$A59))</f>
        <v/>
      </c>
      <c r="T59" s="13">
        <f>IF($A59&gt;$C$3,"",LARGE(DEBIT_15HARIAN!$S$7:$S$31,$A59))</f>
        <v/>
      </c>
      <c r="U59" s="13">
        <f>IF($A59&gt;$C$3,"",LARGE(DEBIT_15HARIAN!$T$7:$T$31,$A59))</f>
        <v/>
      </c>
      <c r="V59" s="13">
        <f>IF($A59&gt;$C$3,"",LARGE(DEBIT_15HARIAN!$U$7:$U$31,$A59))</f>
        <v/>
      </c>
      <c r="W59" s="13">
        <f>IF($A59&gt;$C$3,"",LARGE(DEBIT_15HARIAN!$V$7:$V$31,$A59))</f>
        <v/>
      </c>
      <c r="X59" s="13">
        <f>IF($A59&gt;$C$3,"",LARGE(DEBIT_15HARIAN!$W$7:$W$31,$A59))</f>
        <v/>
      </c>
      <c r="Y59" s="13">
        <f>IF($A59&gt;$C$3,"",LARGE(DEBIT_15HARIAN!$X$7:$X$31,$A59))</f>
        <v/>
      </c>
      <c r="Z59" s="13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S1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18" t="n">
        <v>2001</v>
      </c>
      <c r="B7" s="13">
        <f>IFERROR(AVERAGEIFS(DEBIT_HARIAN!$F$6:$F$9136,DEBIT_HARIAN!$B$6:$B$9136,$A7,DEBIT_HARIAN!$C$6:$C$9136,B$4,DEBIT_HARIAN!$E$6:$E$9136,B$5),"")</f>
        <v/>
      </c>
      <c r="C7" s="13">
        <f>IFERROR(AVERAGEIFS(DEBIT_HARIAN!$F$6:$F$9136,DEBIT_HARIAN!$B$6:$B$9136,$A7,DEBIT_HARIAN!$C$6:$C$9136,C$4,DEBIT_HARIAN!$E$6:$E$9136,C$5),"")</f>
        <v/>
      </c>
      <c r="D7" s="13">
        <f>IFERROR(AVERAGEIFS(DEBIT_HARIAN!$F$6:$F$9136,DEBIT_HARIAN!$B$6:$B$9136,$A7,DEBIT_HARIAN!$C$6:$C$9136,D$4,DEBIT_HARIAN!$E$6:$E$9136,D$5),"")</f>
        <v/>
      </c>
      <c r="E7" s="13">
        <f>IFERROR(AVERAGEIFS(DEBIT_HARIAN!$F$6:$F$9136,DEBIT_HARIAN!$B$6:$B$9136,$A7,DEBIT_HARIAN!$C$6:$C$9136,E$4,DEBIT_HARIAN!$E$6:$E$9136,E$5),"")</f>
        <v/>
      </c>
      <c r="F7" s="13">
        <f>IFERROR(AVERAGEIFS(DEBIT_HARIAN!$F$6:$F$9136,DEBIT_HARIAN!$B$6:$B$9136,$A7,DEBIT_HARIAN!$C$6:$C$9136,F$4,DEBIT_HARIAN!$E$6:$E$9136,F$5),"")</f>
        <v/>
      </c>
      <c r="G7" s="13">
        <f>IFERROR(AVERAGEIFS(DEBIT_HARIAN!$F$6:$F$9136,DEBIT_HARIAN!$B$6:$B$9136,$A7,DEBIT_HARIAN!$C$6:$C$9136,G$4,DEBIT_HARIAN!$E$6:$E$9136,G$5),"")</f>
        <v/>
      </c>
      <c r="H7" s="13">
        <f>IFERROR(AVERAGEIFS(DEBIT_HARIAN!$F$6:$F$9136,DEBIT_HARIAN!$B$6:$B$9136,$A7,DEBIT_HARIAN!$C$6:$C$9136,H$4,DEBIT_HARIAN!$E$6:$E$9136,H$5),"")</f>
        <v/>
      </c>
      <c r="I7" s="13">
        <f>IFERROR(AVERAGEIFS(DEBIT_HARIAN!$F$6:$F$9136,DEBIT_HARIAN!$B$6:$B$9136,$A7,DEBIT_HARIAN!$C$6:$C$9136,I$4,DEBIT_HARIAN!$E$6:$E$9136,I$5),"")</f>
        <v/>
      </c>
      <c r="J7" s="13">
        <f>IFERROR(AVERAGEIFS(DEBIT_HARIAN!$F$6:$F$9136,DEBIT_HARIAN!$B$6:$B$9136,$A7,DEBIT_HARIAN!$C$6:$C$9136,J$4,DEBIT_HARIAN!$E$6:$E$9136,J$5),"")</f>
        <v/>
      </c>
      <c r="K7" s="13">
        <f>IFERROR(AVERAGEIFS(DEBIT_HARIAN!$F$6:$F$9136,DEBIT_HARIAN!$B$6:$B$9136,$A7,DEBIT_HARIAN!$C$6:$C$9136,K$4,DEBIT_HARIAN!$E$6:$E$9136,K$5),"")</f>
        <v/>
      </c>
      <c r="L7" s="13">
        <f>IFERROR(AVERAGEIFS(DEBIT_HARIAN!$F$6:$F$9136,DEBIT_HARIAN!$B$6:$B$9136,$A7,DEBIT_HARIAN!$C$6:$C$9136,L$4,DEBIT_HARIAN!$E$6:$E$9136,L$5),"")</f>
        <v/>
      </c>
      <c r="M7" s="13">
        <f>IFERROR(AVERAGEIFS(DEBIT_HARIAN!$F$6:$F$9136,DEBIT_HARIAN!$B$6:$B$9136,$A7,DEBIT_HARIAN!$C$6:$C$9136,M$4,DEBIT_HARIAN!$E$6:$E$9136,M$5),"")</f>
        <v/>
      </c>
      <c r="N7" s="13">
        <f>IFERROR(AVERAGEIFS(DEBIT_HARIAN!$F$6:$F$9136,DEBIT_HARIAN!$B$6:$B$9136,$A7,DEBIT_HARIAN!$C$6:$C$9136,N$4,DEBIT_HARIAN!$E$6:$E$9136,N$5),"")</f>
        <v/>
      </c>
      <c r="O7" s="13">
        <f>IFERROR(AVERAGEIFS(DEBIT_HARIAN!$F$6:$F$9136,DEBIT_HARIAN!$B$6:$B$9136,$A7,DEBIT_HARIAN!$C$6:$C$9136,O$4,DEBIT_HARIAN!$E$6:$E$9136,O$5),"")</f>
        <v/>
      </c>
      <c r="P7" s="13">
        <f>IFERROR(AVERAGEIFS(DEBIT_HARIAN!$F$6:$F$9136,DEBIT_HARIAN!$B$6:$B$9136,$A7,DEBIT_HARIAN!$C$6:$C$9136,P$4,DEBIT_HARIAN!$E$6:$E$9136,P$5),"")</f>
        <v/>
      </c>
      <c r="Q7" s="13">
        <f>IFERROR(AVERAGEIFS(DEBIT_HARIAN!$F$6:$F$9136,DEBIT_HARIAN!$B$6:$B$9136,$A7,DEBIT_HARIAN!$C$6:$C$9136,Q$4,DEBIT_HARIAN!$E$6:$E$9136,Q$5),"")</f>
        <v/>
      </c>
      <c r="R7" s="13">
        <f>IFERROR(AVERAGEIFS(DEBIT_HARIAN!$F$6:$F$9136,DEBIT_HARIAN!$B$6:$B$9136,$A7,DEBIT_HARIAN!$C$6:$C$9136,R$4,DEBIT_HARIAN!$E$6:$E$9136,R$5),"")</f>
        <v/>
      </c>
      <c r="S7" s="13">
        <f>IFERROR(AVERAGEIFS(DEBIT_HARIAN!$F$6:$F$9136,DEBIT_HARIAN!$B$6:$B$9136,$A7,DEBIT_HARIAN!$C$6:$C$9136,S$4,DEBIT_HARIAN!$E$6:$E$9136,S$5),"")</f>
        <v/>
      </c>
      <c r="T7" s="13">
        <f>IFERROR(AVERAGEIFS(DEBIT_HARIAN!$F$6:$F$9136,DEBIT_HARIAN!$B$6:$B$9136,$A7,DEBIT_HARIAN!$C$6:$C$9136,T$4,DEBIT_HARIAN!$E$6:$E$9136,T$5),"")</f>
        <v/>
      </c>
      <c r="U7" s="13">
        <f>IFERROR(AVERAGEIFS(DEBIT_HARIAN!$F$6:$F$9136,DEBIT_HARIAN!$B$6:$B$9136,$A7,DEBIT_HARIAN!$C$6:$C$9136,U$4,DEBIT_HARIAN!$E$6:$E$9136,U$5),"")</f>
        <v/>
      </c>
      <c r="V7" s="13">
        <f>IFERROR(AVERAGEIFS(DEBIT_HARIAN!$F$6:$F$9136,DEBIT_HARIAN!$B$6:$B$9136,$A7,DEBIT_HARIAN!$C$6:$C$9136,V$4,DEBIT_HARIAN!$E$6:$E$9136,V$5),"")</f>
        <v/>
      </c>
      <c r="W7" s="13">
        <f>IFERROR(AVERAGEIFS(DEBIT_HARIAN!$F$6:$F$9136,DEBIT_HARIAN!$B$6:$B$9136,$A7,DEBIT_HARIAN!$C$6:$C$9136,W$4,DEBIT_HARIAN!$E$6:$E$9136,W$5),"")</f>
        <v/>
      </c>
      <c r="X7" s="13">
        <f>IFERROR(AVERAGEIFS(DEBIT_HARIAN!$F$6:$F$9136,DEBIT_HARIAN!$B$6:$B$9136,$A7,DEBIT_HARIAN!$C$6:$C$9136,X$4,DEBIT_HARIAN!$E$6:$E$9136,X$5),"")</f>
        <v/>
      </c>
      <c r="Y7" s="13">
        <f>IFERROR(AVERAGEIFS(DEBIT_HARIAN!$F$6:$F$9136,DEBIT_HARIAN!$B$6:$B$9136,$A7,DEBIT_HARIAN!$C$6:$C$9136,Y$4,DEBIT_HARIAN!$E$6:$E$9136,Y$5),"")</f>
        <v/>
      </c>
      <c r="Z7" s="10">
        <f>IFERROR(AVERAGEIFS(DEBIT_HARIAN!$F$6:$F$9136,DEBIT_HARIAN!$B$6:$B$9136,$A7),"")</f>
        <v/>
      </c>
    </row>
    <row r="8">
      <c r="A8" s="18" t="n">
        <v>2002</v>
      </c>
      <c r="B8" s="13">
        <f>IFERROR(AVERAGEIFS(DEBIT_HARIAN!$F$6:$F$9136,DEBIT_HARIAN!$B$6:$B$9136,$A8,DEBIT_HARIAN!$C$6:$C$9136,B$4,DEBIT_HARIAN!$E$6:$E$9136,B$5),"")</f>
        <v/>
      </c>
      <c r="C8" s="13">
        <f>IFERROR(AVERAGEIFS(DEBIT_HARIAN!$F$6:$F$9136,DEBIT_HARIAN!$B$6:$B$9136,$A8,DEBIT_HARIAN!$C$6:$C$9136,C$4,DEBIT_HARIAN!$E$6:$E$9136,C$5),"")</f>
        <v/>
      </c>
      <c r="D8" s="13">
        <f>IFERROR(AVERAGEIFS(DEBIT_HARIAN!$F$6:$F$9136,DEBIT_HARIAN!$B$6:$B$9136,$A8,DEBIT_HARIAN!$C$6:$C$9136,D$4,DEBIT_HARIAN!$E$6:$E$9136,D$5),"")</f>
        <v/>
      </c>
      <c r="E8" s="13">
        <f>IFERROR(AVERAGEIFS(DEBIT_HARIAN!$F$6:$F$9136,DEBIT_HARIAN!$B$6:$B$9136,$A8,DEBIT_HARIAN!$C$6:$C$9136,E$4,DEBIT_HARIAN!$E$6:$E$9136,E$5),"")</f>
        <v/>
      </c>
      <c r="F8" s="13">
        <f>IFERROR(AVERAGEIFS(DEBIT_HARIAN!$F$6:$F$9136,DEBIT_HARIAN!$B$6:$B$9136,$A8,DEBIT_HARIAN!$C$6:$C$9136,F$4,DEBIT_HARIAN!$E$6:$E$9136,F$5),"")</f>
        <v/>
      </c>
      <c r="G8" s="13">
        <f>IFERROR(AVERAGEIFS(DEBIT_HARIAN!$F$6:$F$9136,DEBIT_HARIAN!$B$6:$B$9136,$A8,DEBIT_HARIAN!$C$6:$C$9136,G$4,DEBIT_HARIAN!$E$6:$E$9136,G$5),"")</f>
        <v/>
      </c>
      <c r="H8" s="13">
        <f>IFERROR(AVERAGEIFS(DEBIT_HARIAN!$F$6:$F$9136,DEBIT_HARIAN!$B$6:$B$9136,$A8,DEBIT_HARIAN!$C$6:$C$9136,H$4,DEBIT_HARIAN!$E$6:$E$9136,H$5),"")</f>
        <v/>
      </c>
      <c r="I8" s="13">
        <f>IFERROR(AVERAGEIFS(DEBIT_HARIAN!$F$6:$F$9136,DEBIT_HARIAN!$B$6:$B$9136,$A8,DEBIT_HARIAN!$C$6:$C$9136,I$4,DEBIT_HARIAN!$E$6:$E$9136,I$5),"")</f>
        <v/>
      </c>
      <c r="J8" s="13">
        <f>IFERROR(AVERAGEIFS(DEBIT_HARIAN!$F$6:$F$9136,DEBIT_HARIAN!$B$6:$B$9136,$A8,DEBIT_HARIAN!$C$6:$C$9136,J$4,DEBIT_HARIAN!$E$6:$E$9136,J$5),"")</f>
        <v/>
      </c>
      <c r="K8" s="13">
        <f>IFERROR(AVERAGEIFS(DEBIT_HARIAN!$F$6:$F$9136,DEBIT_HARIAN!$B$6:$B$9136,$A8,DEBIT_HARIAN!$C$6:$C$9136,K$4,DEBIT_HARIAN!$E$6:$E$9136,K$5),"")</f>
        <v/>
      </c>
      <c r="L8" s="13">
        <f>IFERROR(AVERAGEIFS(DEBIT_HARIAN!$F$6:$F$9136,DEBIT_HARIAN!$B$6:$B$9136,$A8,DEBIT_HARIAN!$C$6:$C$9136,L$4,DEBIT_HARIAN!$E$6:$E$9136,L$5),"")</f>
        <v/>
      </c>
      <c r="M8" s="13">
        <f>IFERROR(AVERAGEIFS(DEBIT_HARIAN!$F$6:$F$9136,DEBIT_HARIAN!$B$6:$B$9136,$A8,DEBIT_HARIAN!$C$6:$C$9136,M$4,DEBIT_HARIAN!$E$6:$E$9136,M$5),"")</f>
        <v/>
      </c>
      <c r="N8" s="13">
        <f>IFERROR(AVERAGEIFS(DEBIT_HARIAN!$F$6:$F$9136,DEBIT_HARIAN!$B$6:$B$9136,$A8,DEBIT_HARIAN!$C$6:$C$9136,N$4,DEBIT_HARIAN!$E$6:$E$9136,N$5),"")</f>
        <v/>
      </c>
      <c r="O8" s="13">
        <f>IFERROR(AVERAGEIFS(DEBIT_HARIAN!$F$6:$F$9136,DEBIT_HARIAN!$B$6:$B$9136,$A8,DEBIT_HARIAN!$C$6:$C$9136,O$4,DEBIT_HARIAN!$E$6:$E$9136,O$5),"")</f>
        <v/>
      </c>
      <c r="P8" s="13">
        <f>IFERROR(AVERAGEIFS(DEBIT_HARIAN!$F$6:$F$9136,DEBIT_HARIAN!$B$6:$B$9136,$A8,DEBIT_HARIAN!$C$6:$C$9136,P$4,DEBIT_HARIAN!$E$6:$E$9136,P$5),"")</f>
        <v/>
      </c>
      <c r="Q8" s="13">
        <f>IFERROR(AVERAGEIFS(DEBIT_HARIAN!$F$6:$F$9136,DEBIT_HARIAN!$B$6:$B$9136,$A8,DEBIT_HARIAN!$C$6:$C$9136,Q$4,DEBIT_HARIAN!$E$6:$E$9136,Q$5),"")</f>
        <v/>
      </c>
      <c r="R8" s="13">
        <f>IFERROR(AVERAGEIFS(DEBIT_HARIAN!$F$6:$F$9136,DEBIT_HARIAN!$B$6:$B$9136,$A8,DEBIT_HARIAN!$C$6:$C$9136,R$4,DEBIT_HARIAN!$E$6:$E$9136,R$5),"")</f>
        <v/>
      </c>
      <c r="S8" s="13">
        <f>IFERROR(AVERAGEIFS(DEBIT_HARIAN!$F$6:$F$9136,DEBIT_HARIAN!$B$6:$B$9136,$A8,DEBIT_HARIAN!$C$6:$C$9136,S$4,DEBIT_HARIAN!$E$6:$E$9136,S$5),"")</f>
        <v/>
      </c>
      <c r="T8" s="13">
        <f>IFERROR(AVERAGEIFS(DEBIT_HARIAN!$F$6:$F$9136,DEBIT_HARIAN!$B$6:$B$9136,$A8,DEBIT_HARIAN!$C$6:$C$9136,T$4,DEBIT_HARIAN!$E$6:$E$9136,T$5),"")</f>
        <v/>
      </c>
      <c r="U8" s="13">
        <f>IFERROR(AVERAGEIFS(DEBIT_HARIAN!$F$6:$F$9136,DEBIT_HARIAN!$B$6:$B$9136,$A8,DEBIT_HARIAN!$C$6:$C$9136,U$4,DEBIT_HARIAN!$E$6:$E$9136,U$5),"")</f>
        <v/>
      </c>
      <c r="V8" s="13">
        <f>IFERROR(AVERAGEIFS(DEBIT_HARIAN!$F$6:$F$9136,DEBIT_HARIAN!$B$6:$B$9136,$A8,DEBIT_HARIAN!$C$6:$C$9136,V$4,DEBIT_HARIAN!$E$6:$E$9136,V$5),"")</f>
        <v/>
      </c>
      <c r="W8" s="13">
        <f>IFERROR(AVERAGEIFS(DEBIT_HARIAN!$F$6:$F$9136,DEBIT_HARIAN!$B$6:$B$9136,$A8,DEBIT_HARIAN!$C$6:$C$9136,W$4,DEBIT_HARIAN!$E$6:$E$9136,W$5),"")</f>
        <v/>
      </c>
      <c r="X8" s="13">
        <f>IFERROR(AVERAGEIFS(DEBIT_HARIAN!$F$6:$F$9136,DEBIT_HARIAN!$B$6:$B$9136,$A8,DEBIT_HARIAN!$C$6:$C$9136,X$4,DEBIT_HARIAN!$E$6:$E$9136,X$5),"")</f>
        <v/>
      </c>
      <c r="Y8" s="13">
        <f>IFERROR(AVERAGEIFS(DEBIT_HARIAN!$F$6:$F$9136,DEBIT_HARIAN!$B$6:$B$9136,$A8,DEBIT_HARIAN!$C$6:$C$9136,Y$4,DEBIT_HARIAN!$E$6:$E$9136,Y$5),"")</f>
        <v/>
      </c>
      <c r="Z8" s="10">
        <f>IFERROR(AVERAGEIFS(DEBIT_HARIAN!$F$6:$F$9136,DEBIT_HARIAN!$B$6:$B$9136,$A8),"")</f>
        <v/>
      </c>
    </row>
    <row r="9">
      <c r="A9" s="18" t="n">
        <v>2003</v>
      </c>
      <c r="B9" s="13">
        <f>IFERROR(AVERAGEIFS(DEBIT_HARIAN!$F$6:$F$9136,DEBIT_HARIAN!$B$6:$B$9136,$A9,DEBIT_HARIAN!$C$6:$C$9136,B$4,DEBIT_HARIAN!$E$6:$E$9136,B$5),"")</f>
        <v/>
      </c>
      <c r="C9" s="13">
        <f>IFERROR(AVERAGEIFS(DEBIT_HARIAN!$F$6:$F$9136,DEBIT_HARIAN!$B$6:$B$9136,$A9,DEBIT_HARIAN!$C$6:$C$9136,C$4,DEBIT_HARIAN!$E$6:$E$9136,C$5),"")</f>
        <v/>
      </c>
      <c r="D9" s="13">
        <f>IFERROR(AVERAGEIFS(DEBIT_HARIAN!$F$6:$F$9136,DEBIT_HARIAN!$B$6:$B$9136,$A9,DEBIT_HARIAN!$C$6:$C$9136,D$4,DEBIT_HARIAN!$E$6:$E$9136,D$5),"")</f>
        <v/>
      </c>
      <c r="E9" s="13">
        <f>IFERROR(AVERAGEIFS(DEBIT_HARIAN!$F$6:$F$9136,DEBIT_HARIAN!$B$6:$B$9136,$A9,DEBIT_HARIAN!$C$6:$C$9136,E$4,DEBIT_HARIAN!$E$6:$E$9136,E$5),"")</f>
        <v/>
      </c>
      <c r="F9" s="13">
        <f>IFERROR(AVERAGEIFS(DEBIT_HARIAN!$F$6:$F$9136,DEBIT_HARIAN!$B$6:$B$9136,$A9,DEBIT_HARIAN!$C$6:$C$9136,F$4,DEBIT_HARIAN!$E$6:$E$9136,F$5),"")</f>
        <v/>
      </c>
      <c r="G9" s="13">
        <f>IFERROR(AVERAGEIFS(DEBIT_HARIAN!$F$6:$F$9136,DEBIT_HARIAN!$B$6:$B$9136,$A9,DEBIT_HARIAN!$C$6:$C$9136,G$4,DEBIT_HARIAN!$E$6:$E$9136,G$5),"")</f>
        <v/>
      </c>
      <c r="H9" s="13">
        <f>IFERROR(AVERAGEIFS(DEBIT_HARIAN!$F$6:$F$9136,DEBIT_HARIAN!$B$6:$B$9136,$A9,DEBIT_HARIAN!$C$6:$C$9136,H$4,DEBIT_HARIAN!$E$6:$E$9136,H$5),"")</f>
        <v/>
      </c>
      <c r="I9" s="13">
        <f>IFERROR(AVERAGEIFS(DEBIT_HARIAN!$F$6:$F$9136,DEBIT_HARIAN!$B$6:$B$9136,$A9,DEBIT_HARIAN!$C$6:$C$9136,I$4,DEBIT_HARIAN!$E$6:$E$9136,I$5),"")</f>
        <v/>
      </c>
      <c r="J9" s="13">
        <f>IFERROR(AVERAGEIFS(DEBIT_HARIAN!$F$6:$F$9136,DEBIT_HARIAN!$B$6:$B$9136,$A9,DEBIT_HARIAN!$C$6:$C$9136,J$4,DEBIT_HARIAN!$E$6:$E$9136,J$5),"")</f>
        <v/>
      </c>
      <c r="K9" s="13">
        <f>IFERROR(AVERAGEIFS(DEBIT_HARIAN!$F$6:$F$9136,DEBIT_HARIAN!$B$6:$B$9136,$A9,DEBIT_HARIAN!$C$6:$C$9136,K$4,DEBIT_HARIAN!$E$6:$E$9136,K$5),"")</f>
        <v/>
      </c>
      <c r="L9" s="13">
        <f>IFERROR(AVERAGEIFS(DEBIT_HARIAN!$F$6:$F$9136,DEBIT_HARIAN!$B$6:$B$9136,$A9,DEBIT_HARIAN!$C$6:$C$9136,L$4,DEBIT_HARIAN!$E$6:$E$9136,L$5),"")</f>
        <v/>
      </c>
      <c r="M9" s="13">
        <f>IFERROR(AVERAGEIFS(DEBIT_HARIAN!$F$6:$F$9136,DEBIT_HARIAN!$B$6:$B$9136,$A9,DEBIT_HARIAN!$C$6:$C$9136,M$4,DEBIT_HARIAN!$E$6:$E$9136,M$5),"")</f>
        <v/>
      </c>
      <c r="N9" s="13">
        <f>IFERROR(AVERAGEIFS(DEBIT_HARIAN!$F$6:$F$9136,DEBIT_HARIAN!$B$6:$B$9136,$A9,DEBIT_HARIAN!$C$6:$C$9136,N$4,DEBIT_HARIAN!$E$6:$E$9136,N$5),"")</f>
        <v/>
      </c>
      <c r="O9" s="13">
        <f>IFERROR(AVERAGEIFS(DEBIT_HARIAN!$F$6:$F$9136,DEBIT_HARIAN!$B$6:$B$9136,$A9,DEBIT_HARIAN!$C$6:$C$9136,O$4,DEBIT_HARIAN!$E$6:$E$9136,O$5),"")</f>
        <v/>
      </c>
      <c r="P9" s="13">
        <f>IFERROR(AVERAGEIFS(DEBIT_HARIAN!$F$6:$F$9136,DEBIT_HARIAN!$B$6:$B$9136,$A9,DEBIT_HARIAN!$C$6:$C$9136,P$4,DEBIT_HARIAN!$E$6:$E$9136,P$5),"")</f>
        <v/>
      </c>
      <c r="Q9" s="13">
        <f>IFERROR(AVERAGEIFS(DEBIT_HARIAN!$F$6:$F$9136,DEBIT_HARIAN!$B$6:$B$9136,$A9,DEBIT_HARIAN!$C$6:$C$9136,Q$4,DEBIT_HARIAN!$E$6:$E$9136,Q$5),"")</f>
        <v/>
      </c>
      <c r="R9" s="13">
        <f>IFERROR(AVERAGEIFS(DEBIT_HARIAN!$F$6:$F$9136,DEBIT_HARIAN!$B$6:$B$9136,$A9,DEBIT_HARIAN!$C$6:$C$9136,R$4,DEBIT_HARIAN!$E$6:$E$9136,R$5),"")</f>
        <v/>
      </c>
      <c r="S9" s="13">
        <f>IFERROR(AVERAGEIFS(DEBIT_HARIAN!$F$6:$F$9136,DEBIT_HARIAN!$B$6:$B$9136,$A9,DEBIT_HARIAN!$C$6:$C$9136,S$4,DEBIT_HARIAN!$E$6:$E$9136,S$5),"")</f>
        <v/>
      </c>
      <c r="T9" s="13">
        <f>IFERROR(AVERAGEIFS(DEBIT_HARIAN!$F$6:$F$9136,DEBIT_HARIAN!$B$6:$B$9136,$A9,DEBIT_HARIAN!$C$6:$C$9136,T$4,DEBIT_HARIAN!$E$6:$E$9136,T$5),"")</f>
        <v/>
      </c>
      <c r="U9" s="13">
        <f>IFERROR(AVERAGEIFS(DEBIT_HARIAN!$F$6:$F$9136,DEBIT_HARIAN!$B$6:$B$9136,$A9,DEBIT_HARIAN!$C$6:$C$9136,U$4,DEBIT_HARIAN!$E$6:$E$9136,U$5),"")</f>
        <v/>
      </c>
      <c r="V9" s="13">
        <f>IFERROR(AVERAGEIFS(DEBIT_HARIAN!$F$6:$F$9136,DEBIT_HARIAN!$B$6:$B$9136,$A9,DEBIT_HARIAN!$C$6:$C$9136,V$4,DEBIT_HARIAN!$E$6:$E$9136,V$5),"")</f>
        <v/>
      </c>
      <c r="W9" s="13">
        <f>IFERROR(AVERAGEIFS(DEBIT_HARIAN!$F$6:$F$9136,DEBIT_HARIAN!$B$6:$B$9136,$A9,DEBIT_HARIAN!$C$6:$C$9136,W$4,DEBIT_HARIAN!$E$6:$E$9136,W$5),"")</f>
        <v/>
      </c>
      <c r="X9" s="13">
        <f>IFERROR(AVERAGEIFS(DEBIT_HARIAN!$F$6:$F$9136,DEBIT_HARIAN!$B$6:$B$9136,$A9,DEBIT_HARIAN!$C$6:$C$9136,X$4,DEBIT_HARIAN!$E$6:$E$9136,X$5),"")</f>
        <v/>
      </c>
      <c r="Y9" s="13">
        <f>IFERROR(AVERAGEIFS(DEBIT_HARIAN!$F$6:$F$9136,DEBIT_HARIAN!$B$6:$B$9136,$A9,DEBIT_HARIAN!$C$6:$C$9136,Y$4,DEBIT_HARIAN!$E$6:$E$9136,Y$5),"")</f>
        <v/>
      </c>
      <c r="Z9" s="10">
        <f>IFERROR(AVERAGEIFS(DEBIT_HARIAN!$F$6:$F$9136,DEBIT_HARIAN!$B$6:$B$9136,$A9),"")</f>
        <v/>
      </c>
    </row>
    <row r="10">
      <c r="A10" s="18" t="n">
        <v>2004</v>
      </c>
      <c r="B10" s="13">
        <f>IFERROR(AVERAGEIFS(DEBIT_HARIAN!$F$6:$F$9136,DEBIT_HARIAN!$B$6:$B$9136,$A10,DEBIT_HARIAN!$C$6:$C$9136,B$4,DEBIT_HARIAN!$E$6:$E$9136,B$5),"")</f>
        <v/>
      </c>
      <c r="C10" s="13">
        <f>IFERROR(AVERAGEIFS(DEBIT_HARIAN!$F$6:$F$9136,DEBIT_HARIAN!$B$6:$B$9136,$A10,DEBIT_HARIAN!$C$6:$C$9136,C$4,DEBIT_HARIAN!$E$6:$E$9136,C$5),"")</f>
        <v/>
      </c>
      <c r="D10" s="13">
        <f>IFERROR(AVERAGEIFS(DEBIT_HARIAN!$F$6:$F$9136,DEBIT_HARIAN!$B$6:$B$9136,$A10,DEBIT_HARIAN!$C$6:$C$9136,D$4,DEBIT_HARIAN!$E$6:$E$9136,D$5),"")</f>
        <v/>
      </c>
      <c r="E10" s="13">
        <f>IFERROR(AVERAGEIFS(DEBIT_HARIAN!$F$6:$F$9136,DEBIT_HARIAN!$B$6:$B$9136,$A10,DEBIT_HARIAN!$C$6:$C$9136,E$4,DEBIT_HARIAN!$E$6:$E$9136,E$5),"")</f>
        <v/>
      </c>
      <c r="F10" s="13">
        <f>IFERROR(AVERAGEIFS(DEBIT_HARIAN!$F$6:$F$9136,DEBIT_HARIAN!$B$6:$B$9136,$A10,DEBIT_HARIAN!$C$6:$C$9136,F$4,DEBIT_HARIAN!$E$6:$E$9136,F$5),"")</f>
        <v/>
      </c>
      <c r="G10" s="13">
        <f>IFERROR(AVERAGEIFS(DEBIT_HARIAN!$F$6:$F$9136,DEBIT_HARIAN!$B$6:$B$9136,$A10,DEBIT_HARIAN!$C$6:$C$9136,G$4,DEBIT_HARIAN!$E$6:$E$9136,G$5),"")</f>
        <v/>
      </c>
      <c r="H10" s="13">
        <f>IFERROR(AVERAGEIFS(DEBIT_HARIAN!$F$6:$F$9136,DEBIT_HARIAN!$B$6:$B$9136,$A10,DEBIT_HARIAN!$C$6:$C$9136,H$4,DEBIT_HARIAN!$E$6:$E$9136,H$5),"")</f>
        <v/>
      </c>
      <c r="I10" s="13">
        <f>IFERROR(AVERAGEIFS(DEBIT_HARIAN!$F$6:$F$9136,DEBIT_HARIAN!$B$6:$B$9136,$A10,DEBIT_HARIAN!$C$6:$C$9136,I$4,DEBIT_HARIAN!$E$6:$E$9136,I$5),"")</f>
        <v/>
      </c>
      <c r="J10" s="13">
        <f>IFERROR(AVERAGEIFS(DEBIT_HARIAN!$F$6:$F$9136,DEBIT_HARIAN!$B$6:$B$9136,$A10,DEBIT_HARIAN!$C$6:$C$9136,J$4,DEBIT_HARIAN!$E$6:$E$9136,J$5),"")</f>
        <v/>
      </c>
      <c r="K10" s="13">
        <f>IFERROR(AVERAGEIFS(DEBIT_HARIAN!$F$6:$F$9136,DEBIT_HARIAN!$B$6:$B$9136,$A10,DEBIT_HARIAN!$C$6:$C$9136,K$4,DEBIT_HARIAN!$E$6:$E$9136,K$5),"")</f>
        <v/>
      </c>
      <c r="L10" s="13">
        <f>IFERROR(AVERAGEIFS(DEBIT_HARIAN!$F$6:$F$9136,DEBIT_HARIAN!$B$6:$B$9136,$A10,DEBIT_HARIAN!$C$6:$C$9136,L$4,DEBIT_HARIAN!$E$6:$E$9136,L$5),"")</f>
        <v/>
      </c>
      <c r="M10" s="13">
        <f>IFERROR(AVERAGEIFS(DEBIT_HARIAN!$F$6:$F$9136,DEBIT_HARIAN!$B$6:$B$9136,$A10,DEBIT_HARIAN!$C$6:$C$9136,M$4,DEBIT_HARIAN!$E$6:$E$9136,M$5),"")</f>
        <v/>
      </c>
      <c r="N10" s="13">
        <f>IFERROR(AVERAGEIFS(DEBIT_HARIAN!$F$6:$F$9136,DEBIT_HARIAN!$B$6:$B$9136,$A10,DEBIT_HARIAN!$C$6:$C$9136,N$4,DEBIT_HARIAN!$E$6:$E$9136,N$5),"")</f>
        <v/>
      </c>
      <c r="O10" s="13">
        <f>IFERROR(AVERAGEIFS(DEBIT_HARIAN!$F$6:$F$9136,DEBIT_HARIAN!$B$6:$B$9136,$A10,DEBIT_HARIAN!$C$6:$C$9136,O$4,DEBIT_HARIAN!$E$6:$E$9136,O$5),"")</f>
        <v/>
      </c>
      <c r="P10" s="13">
        <f>IFERROR(AVERAGEIFS(DEBIT_HARIAN!$F$6:$F$9136,DEBIT_HARIAN!$B$6:$B$9136,$A10,DEBIT_HARIAN!$C$6:$C$9136,P$4,DEBIT_HARIAN!$E$6:$E$9136,P$5),"")</f>
        <v/>
      </c>
      <c r="Q10" s="13">
        <f>IFERROR(AVERAGEIFS(DEBIT_HARIAN!$F$6:$F$9136,DEBIT_HARIAN!$B$6:$B$9136,$A10,DEBIT_HARIAN!$C$6:$C$9136,Q$4,DEBIT_HARIAN!$E$6:$E$9136,Q$5),"")</f>
        <v/>
      </c>
      <c r="R10" s="13">
        <f>IFERROR(AVERAGEIFS(DEBIT_HARIAN!$F$6:$F$9136,DEBIT_HARIAN!$B$6:$B$9136,$A10,DEBIT_HARIAN!$C$6:$C$9136,R$4,DEBIT_HARIAN!$E$6:$E$9136,R$5),"")</f>
        <v/>
      </c>
      <c r="S10" s="13">
        <f>IFERROR(AVERAGEIFS(DEBIT_HARIAN!$F$6:$F$9136,DEBIT_HARIAN!$B$6:$B$9136,$A10,DEBIT_HARIAN!$C$6:$C$9136,S$4,DEBIT_HARIAN!$E$6:$E$9136,S$5),"")</f>
        <v/>
      </c>
      <c r="T10" s="13">
        <f>IFERROR(AVERAGEIFS(DEBIT_HARIAN!$F$6:$F$9136,DEBIT_HARIAN!$B$6:$B$9136,$A10,DEBIT_HARIAN!$C$6:$C$9136,T$4,DEBIT_HARIAN!$E$6:$E$9136,T$5),"")</f>
        <v/>
      </c>
      <c r="U10" s="13">
        <f>IFERROR(AVERAGEIFS(DEBIT_HARIAN!$F$6:$F$9136,DEBIT_HARIAN!$B$6:$B$9136,$A10,DEBIT_HARIAN!$C$6:$C$9136,U$4,DEBIT_HARIAN!$E$6:$E$9136,U$5),"")</f>
        <v/>
      </c>
      <c r="V10" s="13">
        <f>IFERROR(AVERAGEIFS(DEBIT_HARIAN!$F$6:$F$9136,DEBIT_HARIAN!$B$6:$B$9136,$A10,DEBIT_HARIAN!$C$6:$C$9136,V$4,DEBIT_HARIAN!$E$6:$E$9136,V$5),"")</f>
        <v/>
      </c>
      <c r="W10" s="13">
        <f>IFERROR(AVERAGEIFS(DEBIT_HARIAN!$F$6:$F$9136,DEBIT_HARIAN!$B$6:$B$9136,$A10,DEBIT_HARIAN!$C$6:$C$9136,W$4,DEBIT_HARIAN!$E$6:$E$9136,W$5),"")</f>
        <v/>
      </c>
      <c r="X10" s="13">
        <f>IFERROR(AVERAGEIFS(DEBIT_HARIAN!$F$6:$F$9136,DEBIT_HARIAN!$B$6:$B$9136,$A10,DEBIT_HARIAN!$C$6:$C$9136,X$4,DEBIT_HARIAN!$E$6:$E$9136,X$5),"")</f>
        <v/>
      </c>
      <c r="Y10" s="13">
        <f>IFERROR(AVERAGEIFS(DEBIT_HARIAN!$F$6:$F$9136,DEBIT_HARIAN!$B$6:$B$9136,$A10,DEBIT_HARIAN!$C$6:$C$9136,Y$4,DEBIT_HARIAN!$E$6:$E$9136,Y$5),"")</f>
        <v/>
      </c>
      <c r="Z10" s="10">
        <f>IFERROR(AVERAGEIFS(DEBIT_HARIAN!$F$6:$F$9136,DEBIT_HARIAN!$B$6:$B$9136,$A10),"")</f>
        <v/>
      </c>
    </row>
    <row r="11">
      <c r="A11" s="18" t="n">
        <v>2005</v>
      </c>
      <c r="B11" s="13">
        <f>IFERROR(AVERAGEIFS(DEBIT_HARIAN!$F$6:$F$9136,DEBIT_HARIAN!$B$6:$B$9136,$A11,DEBIT_HARIAN!$C$6:$C$9136,B$4,DEBIT_HARIAN!$E$6:$E$9136,B$5),"")</f>
        <v/>
      </c>
      <c r="C11" s="13">
        <f>IFERROR(AVERAGEIFS(DEBIT_HARIAN!$F$6:$F$9136,DEBIT_HARIAN!$B$6:$B$9136,$A11,DEBIT_HARIAN!$C$6:$C$9136,C$4,DEBIT_HARIAN!$E$6:$E$9136,C$5),"")</f>
        <v/>
      </c>
      <c r="D11" s="13">
        <f>IFERROR(AVERAGEIFS(DEBIT_HARIAN!$F$6:$F$9136,DEBIT_HARIAN!$B$6:$B$9136,$A11,DEBIT_HARIAN!$C$6:$C$9136,D$4,DEBIT_HARIAN!$E$6:$E$9136,D$5),"")</f>
        <v/>
      </c>
      <c r="E11" s="13">
        <f>IFERROR(AVERAGEIFS(DEBIT_HARIAN!$F$6:$F$9136,DEBIT_HARIAN!$B$6:$B$9136,$A11,DEBIT_HARIAN!$C$6:$C$9136,E$4,DEBIT_HARIAN!$E$6:$E$9136,E$5),"")</f>
        <v/>
      </c>
      <c r="F11" s="13">
        <f>IFERROR(AVERAGEIFS(DEBIT_HARIAN!$F$6:$F$9136,DEBIT_HARIAN!$B$6:$B$9136,$A11,DEBIT_HARIAN!$C$6:$C$9136,F$4,DEBIT_HARIAN!$E$6:$E$9136,F$5),"")</f>
        <v/>
      </c>
      <c r="G11" s="13">
        <f>IFERROR(AVERAGEIFS(DEBIT_HARIAN!$F$6:$F$9136,DEBIT_HARIAN!$B$6:$B$9136,$A11,DEBIT_HARIAN!$C$6:$C$9136,G$4,DEBIT_HARIAN!$E$6:$E$9136,G$5),"")</f>
        <v/>
      </c>
      <c r="H11" s="13">
        <f>IFERROR(AVERAGEIFS(DEBIT_HARIAN!$F$6:$F$9136,DEBIT_HARIAN!$B$6:$B$9136,$A11,DEBIT_HARIAN!$C$6:$C$9136,H$4,DEBIT_HARIAN!$E$6:$E$9136,H$5),"")</f>
        <v/>
      </c>
      <c r="I11" s="13">
        <f>IFERROR(AVERAGEIFS(DEBIT_HARIAN!$F$6:$F$9136,DEBIT_HARIAN!$B$6:$B$9136,$A11,DEBIT_HARIAN!$C$6:$C$9136,I$4,DEBIT_HARIAN!$E$6:$E$9136,I$5),"")</f>
        <v/>
      </c>
      <c r="J11" s="13">
        <f>IFERROR(AVERAGEIFS(DEBIT_HARIAN!$F$6:$F$9136,DEBIT_HARIAN!$B$6:$B$9136,$A11,DEBIT_HARIAN!$C$6:$C$9136,J$4,DEBIT_HARIAN!$E$6:$E$9136,J$5),"")</f>
        <v/>
      </c>
      <c r="K11" s="13">
        <f>IFERROR(AVERAGEIFS(DEBIT_HARIAN!$F$6:$F$9136,DEBIT_HARIAN!$B$6:$B$9136,$A11,DEBIT_HARIAN!$C$6:$C$9136,K$4,DEBIT_HARIAN!$E$6:$E$9136,K$5),"")</f>
        <v/>
      </c>
      <c r="L11" s="13">
        <f>IFERROR(AVERAGEIFS(DEBIT_HARIAN!$F$6:$F$9136,DEBIT_HARIAN!$B$6:$B$9136,$A11,DEBIT_HARIAN!$C$6:$C$9136,L$4,DEBIT_HARIAN!$E$6:$E$9136,L$5),"")</f>
        <v/>
      </c>
      <c r="M11" s="13">
        <f>IFERROR(AVERAGEIFS(DEBIT_HARIAN!$F$6:$F$9136,DEBIT_HARIAN!$B$6:$B$9136,$A11,DEBIT_HARIAN!$C$6:$C$9136,M$4,DEBIT_HARIAN!$E$6:$E$9136,M$5),"")</f>
        <v/>
      </c>
      <c r="N11" s="13">
        <f>IFERROR(AVERAGEIFS(DEBIT_HARIAN!$F$6:$F$9136,DEBIT_HARIAN!$B$6:$B$9136,$A11,DEBIT_HARIAN!$C$6:$C$9136,N$4,DEBIT_HARIAN!$E$6:$E$9136,N$5),"")</f>
        <v/>
      </c>
      <c r="O11" s="13">
        <f>IFERROR(AVERAGEIFS(DEBIT_HARIAN!$F$6:$F$9136,DEBIT_HARIAN!$B$6:$B$9136,$A11,DEBIT_HARIAN!$C$6:$C$9136,O$4,DEBIT_HARIAN!$E$6:$E$9136,O$5),"")</f>
        <v/>
      </c>
      <c r="P11" s="13">
        <f>IFERROR(AVERAGEIFS(DEBIT_HARIAN!$F$6:$F$9136,DEBIT_HARIAN!$B$6:$B$9136,$A11,DEBIT_HARIAN!$C$6:$C$9136,P$4,DEBIT_HARIAN!$E$6:$E$9136,P$5),"")</f>
        <v/>
      </c>
      <c r="Q11" s="13">
        <f>IFERROR(AVERAGEIFS(DEBIT_HARIAN!$F$6:$F$9136,DEBIT_HARIAN!$B$6:$B$9136,$A11,DEBIT_HARIAN!$C$6:$C$9136,Q$4,DEBIT_HARIAN!$E$6:$E$9136,Q$5),"")</f>
        <v/>
      </c>
      <c r="R11" s="13">
        <f>IFERROR(AVERAGEIFS(DEBIT_HARIAN!$F$6:$F$9136,DEBIT_HARIAN!$B$6:$B$9136,$A11,DEBIT_HARIAN!$C$6:$C$9136,R$4,DEBIT_HARIAN!$E$6:$E$9136,R$5),"")</f>
        <v/>
      </c>
      <c r="S11" s="13">
        <f>IFERROR(AVERAGEIFS(DEBIT_HARIAN!$F$6:$F$9136,DEBIT_HARIAN!$B$6:$B$9136,$A11,DEBIT_HARIAN!$C$6:$C$9136,S$4,DEBIT_HARIAN!$E$6:$E$9136,S$5),"")</f>
        <v/>
      </c>
      <c r="T11" s="13">
        <f>IFERROR(AVERAGEIFS(DEBIT_HARIAN!$F$6:$F$9136,DEBIT_HARIAN!$B$6:$B$9136,$A11,DEBIT_HARIAN!$C$6:$C$9136,T$4,DEBIT_HARIAN!$E$6:$E$9136,T$5),"")</f>
        <v/>
      </c>
      <c r="U11" s="13">
        <f>IFERROR(AVERAGEIFS(DEBIT_HARIAN!$F$6:$F$9136,DEBIT_HARIAN!$B$6:$B$9136,$A11,DEBIT_HARIAN!$C$6:$C$9136,U$4,DEBIT_HARIAN!$E$6:$E$9136,U$5),"")</f>
        <v/>
      </c>
      <c r="V11" s="13">
        <f>IFERROR(AVERAGEIFS(DEBIT_HARIAN!$F$6:$F$9136,DEBIT_HARIAN!$B$6:$B$9136,$A11,DEBIT_HARIAN!$C$6:$C$9136,V$4,DEBIT_HARIAN!$E$6:$E$9136,V$5),"")</f>
        <v/>
      </c>
      <c r="W11" s="13">
        <f>IFERROR(AVERAGEIFS(DEBIT_HARIAN!$F$6:$F$9136,DEBIT_HARIAN!$B$6:$B$9136,$A11,DEBIT_HARIAN!$C$6:$C$9136,W$4,DEBIT_HARIAN!$E$6:$E$9136,W$5),"")</f>
        <v/>
      </c>
      <c r="X11" s="13">
        <f>IFERROR(AVERAGEIFS(DEBIT_HARIAN!$F$6:$F$9136,DEBIT_HARIAN!$B$6:$B$9136,$A11,DEBIT_HARIAN!$C$6:$C$9136,X$4,DEBIT_HARIAN!$E$6:$E$9136,X$5),"")</f>
        <v/>
      </c>
      <c r="Y11" s="13">
        <f>IFERROR(AVERAGEIFS(DEBIT_HARIAN!$F$6:$F$9136,DEBIT_HARIAN!$B$6:$B$9136,$A11,DEBIT_HARIAN!$C$6:$C$9136,Y$4,DEBIT_HARIAN!$E$6:$E$9136,Y$5),"")</f>
        <v/>
      </c>
      <c r="Z11" s="10">
        <f>IFERROR(AVERAGEIFS(DEBIT_HARIAN!$F$6:$F$9136,DEBIT_HARIAN!$B$6:$B$9136,$A11),"")</f>
        <v/>
      </c>
    </row>
    <row r="12">
      <c r="A12" s="18" t="n">
        <v>2006</v>
      </c>
      <c r="B12" s="13">
        <f>IFERROR(AVERAGEIFS(DEBIT_HARIAN!$F$6:$F$9136,DEBIT_HARIAN!$B$6:$B$9136,$A12,DEBIT_HARIAN!$C$6:$C$9136,B$4,DEBIT_HARIAN!$E$6:$E$9136,B$5),"")</f>
        <v/>
      </c>
      <c r="C12" s="13">
        <f>IFERROR(AVERAGEIFS(DEBIT_HARIAN!$F$6:$F$9136,DEBIT_HARIAN!$B$6:$B$9136,$A12,DEBIT_HARIAN!$C$6:$C$9136,C$4,DEBIT_HARIAN!$E$6:$E$9136,C$5),"")</f>
        <v/>
      </c>
      <c r="D12" s="13">
        <f>IFERROR(AVERAGEIFS(DEBIT_HARIAN!$F$6:$F$9136,DEBIT_HARIAN!$B$6:$B$9136,$A12,DEBIT_HARIAN!$C$6:$C$9136,D$4,DEBIT_HARIAN!$E$6:$E$9136,D$5),"")</f>
        <v/>
      </c>
      <c r="E12" s="13">
        <f>IFERROR(AVERAGEIFS(DEBIT_HARIAN!$F$6:$F$9136,DEBIT_HARIAN!$B$6:$B$9136,$A12,DEBIT_HARIAN!$C$6:$C$9136,E$4,DEBIT_HARIAN!$E$6:$E$9136,E$5),"")</f>
        <v/>
      </c>
      <c r="F12" s="13">
        <f>IFERROR(AVERAGEIFS(DEBIT_HARIAN!$F$6:$F$9136,DEBIT_HARIAN!$B$6:$B$9136,$A12,DEBIT_HARIAN!$C$6:$C$9136,F$4,DEBIT_HARIAN!$E$6:$E$9136,F$5),"")</f>
        <v/>
      </c>
      <c r="G12" s="13">
        <f>IFERROR(AVERAGEIFS(DEBIT_HARIAN!$F$6:$F$9136,DEBIT_HARIAN!$B$6:$B$9136,$A12,DEBIT_HARIAN!$C$6:$C$9136,G$4,DEBIT_HARIAN!$E$6:$E$9136,G$5),"")</f>
        <v/>
      </c>
      <c r="H12" s="13">
        <f>IFERROR(AVERAGEIFS(DEBIT_HARIAN!$F$6:$F$9136,DEBIT_HARIAN!$B$6:$B$9136,$A12,DEBIT_HARIAN!$C$6:$C$9136,H$4,DEBIT_HARIAN!$E$6:$E$9136,H$5),"")</f>
        <v/>
      </c>
      <c r="I12" s="13">
        <f>IFERROR(AVERAGEIFS(DEBIT_HARIAN!$F$6:$F$9136,DEBIT_HARIAN!$B$6:$B$9136,$A12,DEBIT_HARIAN!$C$6:$C$9136,I$4,DEBIT_HARIAN!$E$6:$E$9136,I$5),"")</f>
        <v/>
      </c>
      <c r="J12" s="13">
        <f>IFERROR(AVERAGEIFS(DEBIT_HARIAN!$F$6:$F$9136,DEBIT_HARIAN!$B$6:$B$9136,$A12,DEBIT_HARIAN!$C$6:$C$9136,J$4,DEBIT_HARIAN!$E$6:$E$9136,J$5),"")</f>
        <v/>
      </c>
      <c r="K12" s="13">
        <f>IFERROR(AVERAGEIFS(DEBIT_HARIAN!$F$6:$F$9136,DEBIT_HARIAN!$B$6:$B$9136,$A12,DEBIT_HARIAN!$C$6:$C$9136,K$4,DEBIT_HARIAN!$E$6:$E$9136,K$5),"")</f>
        <v/>
      </c>
      <c r="L12" s="13">
        <f>IFERROR(AVERAGEIFS(DEBIT_HARIAN!$F$6:$F$9136,DEBIT_HARIAN!$B$6:$B$9136,$A12,DEBIT_HARIAN!$C$6:$C$9136,L$4,DEBIT_HARIAN!$E$6:$E$9136,L$5),"")</f>
        <v/>
      </c>
      <c r="M12" s="13">
        <f>IFERROR(AVERAGEIFS(DEBIT_HARIAN!$F$6:$F$9136,DEBIT_HARIAN!$B$6:$B$9136,$A12,DEBIT_HARIAN!$C$6:$C$9136,M$4,DEBIT_HARIAN!$E$6:$E$9136,M$5),"")</f>
        <v/>
      </c>
      <c r="N12" s="13">
        <f>IFERROR(AVERAGEIFS(DEBIT_HARIAN!$F$6:$F$9136,DEBIT_HARIAN!$B$6:$B$9136,$A12,DEBIT_HARIAN!$C$6:$C$9136,N$4,DEBIT_HARIAN!$E$6:$E$9136,N$5),"")</f>
        <v/>
      </c>
      <c r="O12" s="13">
        <f>IFERROR(AVERAGEIFS(DEBIT_HARIAN!$F$6:$F$9136,DEBIT_HARIAN!$B$6:$B$9136,$A12,DEBIT_HARIAN!$C$6:$C$9136,O$4,DEBIT_HARIAN!$E$6:$E$9136,O$5),"")</f>
        <v/>
      </c>
      <c r="P12" s="13">
        <f>IFERROR(AVERAGEIFS(DEBIT_HARIAN!$F$6:$F$9136,DEBIT_HARIAN!$B$6:$B$9136,$A12,DEBIT_HARIAN!$C$6:$C$9136,P$4,DEBIT_HARIAN!$E$6:$E$9136,P$5),"")</f>
        <v/>
      </c>
      <c r="Q12" s="13">
        <f>IFERROR(AVERAGEIFS(DEBIT_HARIAN!$F$6:$F$9136,DEBIT_HARIAN!$B$6:$B$9136,$A12,DEBIT_HARIAN!$C$6:$C$9136,Q$4,DEBIT_HARIAN!$E$6:$E$9136,Q$5),"")</f>
        <v/>
      </c>
      <c r="R12" s="13">
        <f>IFERROR(AVERAGEIFS(DEBIT_HARIAN!$F$6:$F$9136,DEBIT_HARIAN!$B$6:$B$9136,$A12,DEBIT_HARIAN!$C$6:$C$9136,R$4,DEBIT_HARIAN!$E$6:$E$9136,R$5),"")</f>
        <v/>
      </c>
      <c r="S12" s="13">
        <f>IFERROR(AVERAGEIFS(DEBIT_HARIAN!$F$6:$F$9136,DEBIT_HARIAN!$B$6:$B$9136,$A12,DEBIT_HARIAN!$C$6:$C$9136,S$4,DEBIT_HARIAN!$E$6:$E$9136,S$5),"")</f>
        <v/>
      </c>
      <c r="T12" s="13">
        <f>IFERROR(AVERAGEIFS(DEBIT_HARIAN!$F$6:$F$9136,DEBIT_HARIAN!$B$6:$B$9136,$A12,DEBIT_HARIAN!$C$6:$C$9136,T$4,DEBIT_HARIAN!$E$6:$E$9136,T$5),"")</f>
        <v/>
      </c>
      <c r="U12" s="13">
        <f>IFERROR(AVERAGEIFS(DEBIT_HARIAN!$F$6:$F$9136,DEBIT_HARIAN!$B$6:$B$9136,$A12,DEBIT_HARIAN!$C$6:$C$9136,U$4,DEBIT_HARIAN!$E$6:$E$9136,U$5),"")</f>
        <v/>
      </c>
      <c r="V12" s="13">
        <f>IFERROR(AVERAGEIFS(DEBIT_HARIAN!$F$6:$F$9136,DEBIT_HARIAN!$B$6:$B$9136,$A12,DEBIT_HARIAN!$C$6:$C$9136,V$4,DEBIT_HARIAN!$E$6:$E$9136,V$5),"")</f>
        <v/>
      </c>
      <c r="W12" s="13">
        <f>IFERROR(AVERAGEIFS(DEBIT_HARIAN!$F$6:$F$9136,DEBIT_HARIAN!$B$6:$B$9136,$A12,DEBIT_HARIAN!$C$6:$C$9136,W$4,DEBIT_HARIAN!$E$6:$E$9136,W$5),"")</f>
        <v/>
      </c>
      <c r="X12" s="13">
        <f>IFERROR(AVERAGEIFS(DEBIT_HARIAN!$F$6:$F$9136,DEBIT_HARIAN!$B$6:$B$9136,$A12,DEBIT_HARIAN!$C$6:$C$9136,X$4,DEBIT_HARIAN!$E$6:$E$9136,X$5),"")</f>
        <v/>
      </c>
      <c r="Y12" s="13">
        <f>IFERROR(AVERAGEIFS(DEBIT_HARIAN!$F$6:$F$9136,DEBIT_HARIAN!$B$6:$B$9136,$A12,DEBIT_HARIAN!$C$6:$C$9136,Y$4,DEBIT_HARIAN!$E$6:$E$9136,Y$5),"")</f>
        <v/>
      </c>
      <c r="Z12" s="10">
        <f>IFERROR(AVERAGEIFS(DEBIT_HARIAN!$F$6:$F$9136,DEBIT_HARIAN!$B$6:$B$9136,$A12),"")</f>
        <v/>
      </c>
    </row>
    <row r="13">
      <c r="A13" s="18" t="n">
        <v>2007</v>
      </c>
      <c r="B13" s="13">
        <f>IFERROR(AVERAGEIFS(DEBIT_HARIAN!$F$6:$F$9136,DEBIT_HARIAN!$B$6:$B$9136,$A13,DEBIT_HARIAN!$C$6:$C$9136,B$4,DEBIT_HARIAN!$E$6:$E$9136,B$5),"")</f>
        <v/>
      </c>
      <c r="C13" s="13">
        <f>IFERROR(AVERAGEIFS(DEBIT_HARIAN!$F$6:$F$9136,DEBIT_HARIAN!$B$6:$B$9136,$A13,DEBIT_HARIAN!$C$6:$C$9136,C$4,DEBIT_HARIAN!$E$6:$E$9136,C$5),"")</f>
        <v/>
      </c>
      <c r="D13" s="13">
        <f>IFERROR(AVERAGEIFS(DEBIT_HARIAN!$F$6:$F$9136,DEBIT_HARIAN!$B$6:$B$9136,$A13,DEBIT_HARIAN!$C$6:$C$9136,D$4,DEBIT_HARIAN!$E$6:$E$9136,D$5),"")</f>
        <v/>
      </c>
      <c r="E13" s="13">
        <f>IFERROR(AVERAGEIFS(DEBIT_HARIAN!$F$6:$F$9136,DEBIT_HARIAN!$B$6:$B$9136,$A13,DEBIT_HARIAN!$C$6:$C$9136,E$4,DEBIT_HARIAN!$E$6:$E$9136,E$5),"")</f>
        <v/>
      </c>
      <c r="F13" s="13">
        <f>IFERROR(AVERAGEIFS(DEBIT_HARIAN!$F$6:$F$9136,DEBIT_HARIAN!$B$6:$B$9136,$A13,DEBIT_HARIAN!$C$6:$C$9136,F$4,DEBIT_HARIAN!$E$6:$E$9136,F$5),"")</f>
        <v/>
      </c>
      <c r="G13" s="13">
        <f>IFERROR(AVERAGEIFS(DEBIT_HARIAN!$F$6:$F$9136,DEBIT_HARIAN!$B$6:$B$9136,$A13,DEBIT_HARIAN!$C$6:$C$9136,G$4,DEBIT_HARIAN!$E$6:$E$9136,G$5),"")</f>
        <v/>
      </c>
      <c r="H13" s="13">
        <f>IFERROR(AVERAGEIFS(DEBIT_HARIAN!$F$6:$F$9136,DEBIT_HARIAN!$B$6:$B$9136,$A13,DEBIT_HARIAN!$C$6:$C$9136,H$4,DEBIT_HARIAN!$E$6:$E$9136,H$5),"")</f>
        <v/>
      </c>
      <c r="I13" s="13">
        <f>IFERROR(AVERAGEIFS(DEBIT_HARIAN!$F$6:$F$9136,DEBIT_HARIAN!$B$6:$B$9136,$A13,DEBIT_HARIAN!$C$6:$C$9136,I$4,DEBIT_HARIAN!$E$6:$E$9136,I$5),"")</f>
        <v/>
      </c>
      <c r="J13" s="13">
        <f>IFERROR(AVERAGEIFS(DEBIT_HARIAN!$F$6:$F$9136,DEBIT_HARIAN!$B$6:$B$9136,$A13,DEBIT_HARIAN!$C$6:$C$9136,J$4,DEBIT_HARIAN!$E$6:$E$9136,J$5),"")</f>
        <v/>
      </c>
      <c r="K13" s="13">
        <f>IFERROR(AVERAGEIFS(DEBIT_HARIAN!$F$6:$F$9136,DEBIT_HARIAN!$B$6:$B$9136,$A13,DEBIT_HARIAN!$C$6:$C$9136,K$4,DEBIT_HARIAN!$E$6:$E$9136,K$5),"")</f>
        <v/>
      </c>
      <c r="L13" s="13">
        <f>IFERROR(AVERAGEIFS(DEBIT_HARIAN!$F$6:$F$9136,DEBIT_HARIAN!$B$6:$B$9136,$A13,DEBIT_HARIAN!$C$6:$C$9136,L$4,DEBIT_HARIAN!$E$6:$E$9136,L$5),"")</f>
        <v/>
      </c>
      <c r="M13" s="13">
        <f>IFERROR(AVERAGEIFS(DEBIT_HARIAN!$F$6:$F$9136,DEBIT_HARIAN!$B$6:$B$9136,$A13,DEBIT_HARIAN!$C$6:$C$9136,M$4,DEBIT_HARIAN!$E$6:$E$9136,M$5),"")</f>
        <v/>
      </c>
      <c r="N13" s="13">
        <f>IFERROR(AVERAGEIFS(DEBIT_HARIAN!$F$6:$F$9136,DEBIT_HARIAN!$B$6:$B$9136,$A13,DEBIT_HARIAN!$C$6:$C$9136,N$4,DEBIT_HARIAN!$E$6:$E$9136,N$5),"")</f>
        <v/>
      </c>
      <c r="O13" s="13">
        <f>IFERROR(AVERAGEIFS(DEBIT_HARIAN!$F$6:$F$9136,DEBIT_HARIAN!$B$6:$B$9136,$A13,DEBIT_HARIAN!$C$6:$C$9136,O$4,DEBIT_HARIAN!$E$6:$E$9136,O$5),"")</f>
        <v/>
      </c>
      <c r="P13" s="13">
        <f>IFERROR(AVERAGEIFS(DEBIT_HARIAN!$F$6:$F$9136,DEBIT_HARIAN!$B$6:$B$9136,$A13,DEBIT_HARIAN!$C$6:$C$9136,P$4,DEBIT_HARIAN!$E$6:$E$9136,P$5),"")</f>
        <v/>
      </c>
      <c r="Q13" s="13">
        <f>IFERROR(AVERAGEIFS(DEBIT_HARIAN!$F$6:$F$9136,DEBIT_HARIAN!$B$6:$B$9136,$A13,DEBIT_HARIAN!$C$6:$C$9136,Q$4,DEBIT_HARIAN!$E$6:$E$9136,Q$5),"")</f>
        <v/>
      </c>
      <c r="R13" s="13">
        <f>IFERROR(AVERAGEIFS(DEBIT_HARIAN!$F$6:$F$9136,DEBIT_HARIAN!$B$6:$B$9136,$A13,DEBIT_HARIAN!$C$6:$C$9136,R$4,DEBIT_HARIAN!$E$6:$E$9136,R$5),"")</f>
        <v/>
      </c>
      <c r="S13" s="13">
        <f>IFERROR(AVERAGEIFS(DEBIT_HARIAN!$F$6:$F$9136,DEBIT_HARIAN!$B$6:$B$9136,$A13,DEBIT_HARIAN!$C$6:$C$9136,S$4,DEBIT_HARIAN!$E$6:$E$9136,S$5),"")</f>
        <v/>
      </c>
      <c r="T13" s="13">
        <f>IFERROR(AVERAGEIFS(DEBIT_HARIAN!$F$6:$F$9136,DEBIT_HARIAN!$B$6:$B$9136,$A13,DEBIT_HARIAN!$C$6:$C$9136,T$4,DEBIT_HARIAN!$E$6:$E$9136,T$5),"")</f>
        <v/>
      </c>
      <c r="U13" s="13">
        <f>IFERROR(AVERAGEIFS(DEBIT_HARIAN!$F$6:$F$9136,DEBIT_HARIAN!$B$6:$B$9136,$A13,DEBIT_HARIAN!$C$6:$C$9136,U$4,DEBIT_HARIAN!$E$6:$E$9136,U$5),"")</f>
        <v/>
      </c>
      <c r="V13" s="13">
        <f>IFERROR(AVERAGEIFS(DEBIT_HARIAN!$F$6:$F$9136,DEBIT_HARIAN!$B$6:$B$9136,$A13,DEBIT_HARIAN!$C$6:$C$9136,V$4,DEBIT_HARIAN!$E$6:$E$9136,V$5),"")</f>
        <v/>
      </c>
      <c r="W13" s="13">
        <f>IFERROR(AVERAGEIFS(DEBIT_HARIAN!$F$6:$F$9136,DEBIT_HARIAN!$B$6:$B$9136,$A13,DEBIT_HARIAN!$C$6:$C$9136,W$4,DEBIT_HARIAN!$E$6:$E$9136,W$5),"")</f>
        <v/>
      </c>
      <c r="X13" s="13">
        <f>IFERROR(AVERAGEIFS(DEBIT_HARIAN!$F$6:$F$9136,DEBIT_HARIAN!$B$6:$B$9136,$A13,DEBIT_HARIAN!$C$6:$C$9136,X$4,DEBIT_HARIAN!$E$6:$E$9136,X$5),"")</f>
        <v/>
      </c>
      <c r="Y13" s="13">
        <f>IFERROR(AVERAGEIFS(DEBIT_HARIAN!$F$6:$F$9136,DEBIT_HARIAN!$B$6:$B$9136,$A13,DEBIT_HARIAN!$C$6:$C$9136,Y$4,DEBIT_HARIAN!$E$6:$E$9136,Y$5),"")</f>
        <v/>
      </c>
      <c r="Z13" s="10">
        <f>IFERROR(AVERAGEIFS(DEBIT_HARIAN!$F$6:$F$9136,DEBIT_HARIAN!$B$6:$B$9136,$A13),"")</f>
        <v/>
      </c>
    </row>
    <row r="14">
      <c r="A14" s="18" t="n">
        <v>2008</v>
      </c>
      <c r="B14" s="13">
        <f>IFERROR(AVERAGEIFS(DEBIT_HARIAN!$F$6:$F$9136,DEBIT_HARIAN!$B$6:$B$9136,$A14,DEBIT_HARIAN!$C$6:$C$9136,B$4,DEBIT_HARIAN!$E$6:$E$9136,B$5),"")</f>
        <v/>
      </c>
      <c r="C14" s="13">
        <f>IFERROR(AVERAGEIFS(DEBIT_HARIAN!$F$6:$F$9136,DEBIT_HARIAN!$B$6:$B$9136,$A14,DEBIT_HARIAN!$C$6:$C$9136,C$4,DEBIT_HARIAN!$E$6:$E$9136,C$5),"")</f>
        <v/>
      </c>
      <c r="D14" s="13">
        <f>IFERROR(AVERAGEIFS(DEBIT_HARIAN!$F$6:$F$9136,DEBIT_HARIAN!$B$6:$B$9136,$A14,DEBIT_HARIAN!$C$6:$C$9136,D$4,DEBIT_HARIAN!$E$6:$E$9136,D$5),"")</f>
        <v/>
      </c>
      <c r="E14" s="13">
        <f>IFERROR(AVERAGEIFS(DEBIT_HARIAN!$F$6:$F$9136,DEBIT_HARIAN!$B$6:$B$9136,$A14,DEBIT_HARIAN!$C$6:$C$9136,E$4,DEBIT_HARIAN!$E$6:$E$9136,E$5),"")</f>
        <v/>
      </c>
      <c r="F14" s="13">
        <f>IFERROR(AVERAGEIFS(DEBIT_HARIAN!$F$6:$F$9136,DEBIT_HARIAN!$B$6:$B$9136,$A14,DEBIT_HARIAN!$C$6:$C$9136,F$4,DEBIT_HARIAN!$E$6:$E$9136,F$5),"")</f>
        <v/>
      </c>
      <c r="G14" s="13">
        <f>IFERROR(AVERAGEIFS(DEBIT_HARIAN!$F$6:$F$9136,DEBIT_HARIAN!$B$6:$B$9136,$A14,DEBIT_HARIAN!$C$6:$C$9136,G$4,DEBIT_HARIAN!$E$6:$E$9136,G$5),"")</f>
        <v/>
      </c>
      <c r="H14" s="13">
        <f>IFERROR(AVERAGEIFS(DEBIT_HARIAN!$F$6:$F$9136,DEBIT_HARIAN!$B$6:$B$9136,$A14,DEBIT_HARIAN!$C$6:$C$9136,H$4,DEBIT_HARIAN!$E$6:$E$9136,H$5),"")</f>
        <v/>
      </c>
      <c r="I14" s="13">
        <f>IFERROR(AVERAGEIFS(DEBIT_HARIAN!$F$6:$F$9136,DEBIT_HARIAN!$B$6:$B$9136,$A14,DEBIT_HARIAN!$C$6:$C$9136,I$4,DEBIT_HARIAN!$E$6:$E$9136,I$5),"")</f>
        <v/>
      </c>
      <c r="J14" s="13">
        <f>IFERROR(AVERAGEIFS(DEBIT_HARIAN!$F$6:$F$9136,DEBIT_HARIAN!$B$6:$B$9136,$A14,DEBIT_HARIAN!$C$6:$C$9136,J$4,DEBIT_HARIAN!$E$6:$E$9136,J$5),"")</f>
        <v/>
      </c>
      <c r="K14" s="13">
        <f>IFERROR(AVERAGEIFS(DEBIT_HARIAN!$F$6:$F$9136,DEBIT_HARIAN!$B$6:$B$9136,$A14,DEBIT_HARIAN!$C$6:$C$9136,K$4,DEBIT_HARIAN!$E$6:$E$9136,K$5),"")</f>
        <v/>
      </c>
      <c r="L14" s="13">
        <f>IFERROR(AVERAGEIFS(DEBIT_HARIAN!$F$6:$F$9136,DEBIT_HARIAN!$B$6:$B$9136,$A14,DEBIT_HARIAN!$C$6:$C$9136,L$4,DEBIT_HARIAN!$E$6:$E$9136,L$5),"")</f>
        <v/>
      </c>
      <c r="M14" s="13">
        <f>IFERROR(AVERAGEIFS(DEBIT_HARIAN!$F$6:$F$9136,DEBIT_HARIAN!$B$6:$B$9136,$A14,DEBIT_HARIAN!$C$6:$C$9136,M$4,DEBIT_HARIAN!$E$6:$E$9136,M$5),"")</f>
        <v/>
      </c>
      <c r="N14" s="13">
        <f>IFERROR(AVERAGEIFS(DEBIT_HARIAN!$F$6:$F$9136,DEBIT_HARIAN!$B$6:$B$9136,$A14,DEBIT_HARIAN!$C$6:$C$9136,N$4,DEBIT_HARIAN!$E$6:$E$9136,N$5),"")</f>
        <v/>
      </c>
      <c r="O14" s="13">
        <f>IFERROR(AVERAGEIFS(DEBIT_HARIAN!$F$6:$F$9136,DEBIT_HARIAN!$B$6:$B$9136,$A14,DEBIT_HARIAN!$C$6:$C$9136,O$4,DEBIT_HARIAN!$E$6:$E$9136,O$5),"")</f>
        <v/>
      </c>
      <c r="P14" s="13">
        <f>IFERROR(AVERAGEIFS(DEBIT_HARIAN!$F$6:$F$9136,DEBIT_HARIAN!$B$6:$B$9136,$A14,DEBIT_HARIAN!$C$6:$C$9136,P$4,DEBIT_HARIAN!$E$6:$E$9136,P$5),"")</f>
        <v/>
      </c>
      <c r="Q14" s="13">
        <f>IFERROR(AVERAGEIFS(DEBIT_HARIAN!$F$6:$F$9136,DEBIT_HARIAN!$B$6:$B$9136,$A14,DEBIT_HARIAN!$C$6:$C$9136,Q$4,DEBIT_HARIAN!$E$6:$E$9136,Q$5),"")</f>
        <v/>
      </c>
      <c r="R14" s="13">
        <f>IFERROR(AVERAGEIFS(DEBIT_HARIAN!$F$6:$F$9136,DEBIT_HARIAN!$B$6:$B$9136,$A14,DEBIT_HARIAN!$C$6:$C$9136,R$4,DEBIT_HARIAN!$E$6:$E$9136,R$5),"")</f>
        <v/>
      </c>
      <c r="S14" s="13">
        <f>IFERROR(AVERAGEIFS(DEBIT_HARIAN!$F$6:$F$9136,DEBIT_HARIAN!$B$6:$B$9136,$A14,DEBIT_HARIAN!$C$6:$C$9136,S$4,DEBIT_HARIAN!$E$6:$E$9136,S$5),"")</f>
        <v/>
      </c>
      <c r="T14" s="13">
        <f>IFERROR(AVERAGEIFS(DEBIT_HARIAN!$F$6:$F$9136,DEBIT_HARIAN!$B$6:$B$9136,$A14,DEBIT_HARIAN!$C$6:$C$9136,T$4,DEBIT_HARIAN!$E$6:$E$9136,T$5),"")</f>
        <v/>
      </c>
      <c r="U14" s="13">
        <f>IFERROR(AVERAGEIFS(DEBIT_HARIAN!$F$6:$F$9136,DEBIT_HARIAN!$B$6:$B$9136,$A14,DEBIT_HARIAN!$C$6:$C$9136,U$4,DEBIT_HARIAN!$E$6:$E$9136,U$5),"")</f>
        <v/>
      </c>
      <c r="V14" s="13">
        <f>IFERROR(AVERAGEIFS(DEBIT_HARIAN!$F$6:$F$9136,DEBIT_HARIAN!$B$6:$B$9136,$A14,DEBIT_HARIAN!$C$6:$C$9136,V$4,DEBIT_HARIAN!$E$6:$E$9136,V$5),"")</f>
        <v/>
      </c>
      <c r="W14" s="13">
        <f>IFERROR(AVERAGEIFS(DEBIT_HARIAN!$F$6:$F$9136,DEBIT_HARIAN!$B$6:$B$9136,$A14,DEBIT_HARIAN!$C$6:$C$9136,W$4,DEBIT_HARIAN!$E$6:$E$9136,W$5),"")</f>
        <v/>
      </c>
      <c r="X14" s="13">
        <f>IFERROR(AVERAGEIFS(DEBIT_HARIAN!$F$6:$F$9136,DEBIT_HARIAN!$B$6:$B$9136,$A14,DEBIT_HARIAN!$C$6:$C$9136,X$4,DEBIT_HARIAN!$E$6:$E$9136,X$5),"")</f>
        <v/>
      </c>
      <c r="Y14" s="13">
        <f>IFERROR(AVERAGEIFS(DEBIT_HARIAN!$F$6:$F$9136,DEBIT_HARIAN!$B$6:$B$9136,$A14,DEBIT_HARIAN!$C$6:$C$9136,Y$4,DEBIT_HARIAN!$E$6:$E$9136,Y$5),"")</f>
        <v/>
      </c>
      <c r="Z14" s="10">
        <f>IFERROR(AVERAGEIFS(DEBIT_HARIAN!$F$6:$F$9136,DEBIT_HARIAN!$B$6:$B$9136,$A14),"")</f>
        <v/>
      </c>
    </row>
    <row r="15">
      <c r="A15" s="18" t="n">
        <v>2009</v>
      </c>
      <c r="B15" s="13">
        <f>IFERROR(AVERAGEIFS(DEBIT_HARIAN!$F$6:$F$9136,DEBIT_HARIAN!$B$6:$B$9136,$A15,DEBIT_HARIAN!$C$6:$C$9136,B$4,DEBIT_HARIAN!$E$6:$E$9136,B$5),"")</f>
        <v/>
      </c>
      <c r="C15" s="13">
        <f>IFERROR(AVERAGEIFS(DEBIT_HARIAN!$F$6:$F$9136,DEBIT_HARIAN!$B$6:$B$9136,$A15,DEBIT_HARIAN!$C$6:$C$9136,C$4,DEBIT_HARIAN!$E$6:$E$9136,C$5),"")</f>
        <v/>
      </c>
      <c r="D15" s="13">
        <f>IFERROR(AVERAGEIFS(DEBIT_HARIAN!$F$6:$F$9136,DEBIT_HARIAN!$B$6:$B$9136,$A15,DEBIT_HARIAN!$C$6:$C$9136,D$4,DEBIT_HARIAN!$E$6:$E$9136,D$5),"")</f>
        <v/>
      </c>
      <c r="E15" s="13">
        <f>IFERROR(AVERAGEIFS(DEBIT_HARIAN!$F$6:$F$9136,DEBIT_HARIAN!$B$6:$B$9136,$A15,DEBIT_HARIAN!$C$6:$C$9136,E$4,DEBIT_HARIAN!$E$6:$E$9136,E$5),"")</f>
        <v/>
      </c>
      <c r="F15" s="13">
        <f>IFERROR(AVERAGEIFS(DEBIT_HARIAN!$F$6:$F$9136,DEBIT_HARIAN!$B$6:$B$9136,$A15,DEBIT_HARIAN!$C$6:$C$9136,F$4,DEBIT_HARIAN!$E$6:$E$9136,F$5),"")</f>
        <v/>
      </c>
      <c r="G15" s="13">
        <f>IFERROR(AVERAGEIFS(DEBIT_HARIAN!$F$6:$F$9136,DEBIT_HARIAN!$B$6:$B$9136,$A15,DEBIT_HARIAN!$C$6:$C$9136,G$4,DEBIT_HARIAN!$E$6:$E$9136,G$5),"")</f>
        <v/>
      </c>
      <c r="H15" s="13">
        <f>IFERROR(AVERAGEIFS(DEBIT_HARIAN!$F$6:$F$9136,DEBIT_HARIAN!$B$6:$B$9136,$A15,DEBIT_HARIAN!$C$6:$C$9136,H$4,DEBIT_HARIAN!$E$6:$E$9136,H$5),"")</f>
        <v/>
      </c>
      <c r="I15" s="13">
        <f>IFERROR(AVERAGEIFS(DEBIT_HARIAN!$F$6:$F$9136,DEBIT_HARIAN!$B$6:$B$9136,$A15,DEBIT_HARIAN!$C$6:$C$9136,I$4,DEBIT_HARIAN!$E$6:$E$9136,I$5),"")</f>
        <v/>
      </c>
      <c r="J15" s="13">
        <f>IFERROR(AVERAGEIFS(DEBIT_HARIAN!$F$6:$F$9136,DEBIT_HARIAN!$B$6:$B$9136,$A15,DEBIT_HARIAN!$C$6:$C$9136,J$4,DEBIT_HARIAN!$E$6:$E$9136,J$5),"")</f>
        <v/>
      </c>
      <c r="K15" s="13">
        <f>IFERROR(AVERAGEIFS(DEBIT_HARIAN!$F$6:$F$9136,DEBIT_HARIAN!$B$6:$B$9136,$A15,DEBIT_HARIAN!$C$6:$C$9136,K$4,DEBIT_HARIAN!$E$6:$E$9136,K$5),"")</f>
        <v/>
      </c>
      <c r="L15" s="13">
        <f>IFERROR(AVERAGEIFS(DEBIT_HARIAN!$F$6:$F$9136,DEBIT_HARIAN!$B$6:$B$9136,$A15,DEBIT_HARIAN!$C$6:$C$9136,L$4,DEBIT_HARIAN!$E$6:$E$9136,L$5),"")</f>
        <v/>
      </c>
      <c r="M15" s="13">
        <f>IFERROR(AVERAGEIFS(DEBIT_HARIAN!$F$6:$F$9136,DEBIT_HARIAN!$B$6:$B$9136,$A15,DEBIT_HARIAN!$C$6:$C$9136,M$4,DEBIT_HARIAN!$E$6:$E$9136,M$5),"")</f>
        <v/>
      </c>
      <c r="N15" s="13">
        <f>IFERROR(AVERAGEIFS(DEBIT_HARIAN!$F$6:$F$9136,DEBIT_HARIAN!$B$6:$B$9136,$A15,DEBIT_HARIAN!$C$6:$C$9136,N$4,DEBIT_HARIAN!$E$6:$E$9136,N$5),"")</f>
        <v/>
      </c>
      <c r="O15" s="13">
        <f>IFERROR(AVERAGEIFS(DEBIT_HARIAN!$F$6:$F$9136,DEBIT_HARIAN!$B$6:$B$9136,$A15,DEBIT_HARIAN!$C$6:$C$9136,O$4,DEBIT_HARIAN!$E$6:$E$9136,O$5),"")</f>
        <v/>
      </c>
      <c r="P15" s="13">
        <f>IFERROR(AVERAGEIFS(DEBIT_HARIAN!$F$6:$F$9136,DEBIT_HARIAN!$B$6:$B$9136,$A15,DEBIT_HARIAN!$C$6:$C$9136,P$4,DEBIT_HARIAN!$E$6:$E$9136,P$5),"")</f>
        <v/>
      </c>
      <c r="Q15" s="13">
        <f>IFERROR(AVERAGEIFS(DEBIT_HARIAN!$F$6:$F$9136,DEBIT_HARIAN!$B$6:$B$9136,$A15,DEBIT_HARIAN!$C$6:$C$9136,Q$4,DEBIT_HARIAN!$E$6:$E$9136,Q$5),"")</f>
        <v/>
      </c>
      <c r="R15" s="13">
        <f>IFERROR(AVERAGEIFS(DEBIT_HARIAN!$F$6:$F$9136,DEBIT_HARIAN!$B$6:$B$9136,$A15,DEBIT_HARIAN!$C$6:$C$9136,R$4,DEBIT_HARIAN!$E$6:$E$9136,R$5),"")</f>
        <v/>
      </c>
      <c r="S15" s="13">
        <f>IFERROR(AVERAGEIFS(DEBIT_HARIAN!$F$6:$F$9136,DEBIT_HARIAN!$B$6:$B$9136,$A15,DEBIT_HARIAN!$C$6:$C$9136,S$4,DEBIT_HARIAN!$E$6:$E$9136,S$5),"")</f>
        <v/>
      </c>
      <c r="T15" s="13">
        <f>IFERROR(AVERAGEIFS(DEBIT_HARIAN!$F$6:$F$9136,DEBIT_HARIAN!$B$6:$B$9136,$A15,DEBIT_HARIAN!$C$6:$C$9136,T$4,DEBIT_HARIAN!$E$6:$E$9136,T$5),"")</f>
        <v/>
      </c>
      <c r="U15" s="13">
        <f>IFERROR(AVERAGEIFS(DEBIT_HARIAN!$F$6:$F$9136,DEBIT_HARIAN!$B$6:$B$9136,$A15,DEBIT_HARIAN!$C$6:$C$9136,U$4,DEBIT_HARIAN!$E$6:$E$9136,U$5),"")</f>
        <v/>
      </c>
      <c r="V15" s="13">
        <f>IFERROR(AVERAGEIFS(DEBIT_HARIAN!$F$6:$F$9136,DEBIT_HARIAN!$B$6:$B$9136,$A15,DEBIT_HARIAN!$C$6:$C$9136,V$4,DEBIT_HARIAN!$E$6:$E$9136,V$5),"")</f>
        <v/>
      </c>
      <c r="W15" s="13">
        <f>IFERROR(AVERAGEIFS(DEBIT_HARIAN!$F$6:$F$9136,DEBIT_HARIAN!$B$6:$B$9136,$A15,DEBIT_HARIAN!$C$6:$C$9136,W$4,DEBIT_HARIAN!$E$6:$E$9136,W$5),"")</f>
        <v/>
      </c>
      <c r="X15" s="13">
        <f>IFERROR(AVERAGEIFS(DEBIT_HARIAN!$F$6:$F$9136,DEBIT_HARIAN!$B$6:$B$9136,$A15,DEBIT_HARIAN!$C$6:$C$9136,X$4,DEBIT_HARIAN!$E$6:$E$9136,X$5),"")</f>
        <v/>
      </c>
      <c r="Y15" s="13">
        <f>IFERROR(AVERAGEIFS(DEBIT_HARIAN!$F$6:$F$9136,DEBIT_HARIAN!$B$6:$B$9136,$A15,DEBIT_HARIAN!$C$6:$C$9136,Y$4,DEBIT_HARIAN!$E$6:$E$9136,Y$5),"")</f>
        <v/>
      </c>
      <c r="Z15" s="10">
        <f>IFERROR(AVERAGEIFS(DEBIT_HARIAN!$F$6:$F$9136,DEBIT_HARIAN!$B$6:$B$9136,$A15),"")</f>
        <v/>
      </c>
    </row>
    <row r="16">
      <c r="A16" s="18" t="n">
        <v>2010</v>
      </c>
      <c r="B16" s="13">
        <f>IFERROR(AVERAGEIFS(DEBIT_HARIAN!$F$6:$F$9136,DEBIT_HARIAN!$B$6:$B$9136,$A16,DEBIT_HARIAN!$C$6:$C$9136,B$4,DEBIT_HARIAN!$E$6:$E$9136,B$5),"")</f>
        <v/>
      </c>
      <c r="C16" s="13">
        <f>IFERROR(AVERAGEIFS(DEBIT_HARIAN!$F$6:$F$9136,DEBIT_HARIAN!$B$6:$B$9136,$A16,DEBIT_HARIAN!$C$6:$C$9136,C$4,DEBIT_HARIAN!$E$6:$E$9136,C$5),"")</f>
        <v/>
      </c>
      <c r="D16" s="13">
        <f>IFERROR(AVERAGEIFS(DEBIT_HARIAN!$F$6:$F$9136,DEBIT_HARIAN!$B$6:$B$9136,$A16,DEBIT_HARIAN!$C$6:$C$9136,D$4,DEBIT_HARIAN!$E$6:$E$9136,D$5),"")</f>
        <v/>
      </c>
      <c r="E16" s="13">
        <f>IFERROR(AVERAGEIFS(DEBIT_HARIAN!$F$6:$F$9136,DEBIT_HARIAN!$B$6:$B$9136,$A16,DEBIT_HARIAN!$C$6:$C$9136,E$4,DEBIT_HARIAN!$E$6:$E$9136,E$5),"")</f>
        <v/>
      </c>
      <c r="F16" s="13">
        <f>IFERROR(AVERAGEIFS(DEBIT_HARIAN!$F$6:$F$9136,DEBIT_HARIAN!$B$6:$B$9136,$A16,DEBIT_HARIAN!$C$6:$C$9136,F$4,DEBIT_HARIAN!$E$6:$E$9136,F$5),"")</f>
        <v/>
      </c>
      <c r="G16" s="13">
        <f>IFERROR(AVERAGEIFS(DEBIT_HARIAN!$F$6:$F$9136,DEBIT_HARIAN!$B$6:$B$9136,$A16,DEBIT_HARIAN!$C$6:$C$9136,G$4,DEBIT_HARIAN!$E$6:$E$9136,G$5),"")</f>
        <v/>
      </c>
      <c r="H16" s="13">
        <f>IFERROR(AVERAGEIFS(DEBIT_HARIAN!$F$6:$F$9136,DEBIT_HARIAN!$B$6:$B$9136,$A16,DEBIT_HARIAN!$C$6:$C$9136,H$4,DEBIT_HARIAN!$E$6:$E$9136,H$5),"")</f>
        <v/>
      </c>
      <c r="I16" s="13">
        <f>IFERROR(AVERAGEIFS(DEBIT_HARIAN!$F$6:$F$9136,DEBIT_HARIAN!$B$6:$B$9136,$A16,DEBIT_HARIAN!$C$6:$C$9136,I$4,DEBIT_HARIAN!$E$6:$E$9136,I$5),"")</f>
        <v/>
      </c>
      <c r="J16" s="13">
        <f>IFERROR(AVERAGEIFS(DEBIT_HARIAN!$F$6:$F$9136,DEBIT_HARIAN!$B$6:$B$9136,$A16,DEBIT_HARIAN!$C$6:$C$9136,J$4,DEBIT_HARIAN!$E$6:$E$9136,J$5),"")</f>
        <v/>
      </c>
      <c r="K16" s="13">
        <f>IFERROR(AVERAGEIFS(DEBIT_HARIAN!$F$6:$F$9136,DEBIT_HARIAN!$B$6:$B$9136,$A16,DEBIT_HARIAN!$C$6:$C$9136,K$4,DEBIT_HARIAN!$E$6:$E$9136,K$5),"")</f>
        <v/>
      </c>
      <c r="L16" s="13">
        <f>IFERROR(AVERAGEIFS(DEBIT_HARIAN!$F$6:$F$9136,DEBIT_HARIAN!$B$6:$B$9136,$A16,DEBIT_HARIAN!$C$6:$C$9136,L$4,DEBIT_HARIAN!$E$6:$E$9136,L$5),"")</f>
        <v/>
      </c>
      <c r="M16" s="13">
        <f>IFERROR(AVERAGEIFS(DEBIT_HARIAN!$F$6:$F$9136,DEBIT_HARIAN!$B$6:$B$9136,$A16,DEBIT_HARIAN!$C$6:$C$9136,M$4,DEBIT_HARIAN!$E$6:$E$9136,M$5),"")</f>
        <v/>
      </c>
      <c r="N16" s="13">
        <f>IFERROR(AVERAGEIFS(DEBIT_HARIAN!$F$6:$F$9136,DEBIT_HARIAN!$B$6:$B$9136,$A16,DEBIT_HARIAN!$C$6:$C$9136,N$4,DEBIT_HARIAN!$E$6:$E$9136,N$5),"")</f>
        <v/>
      </c>
      <c r="O16" s="13">
        <f>IFERROR(AVERAGEIFS(DEBIT_HARIAN!$F$6:$F$9136,DEBIT_HARIAN!$B$6:$B$9136,$A16,DEBIT_HARIAN!$C$6:$C$9136,O$4,DEBIT_HARIAN!$E$6:$E$9136,O$5),"")</f>
        <v/>
      </c>
      <c r="P16" s="13">
        <f>IFERROR(AVERAGEIFS(DEBIT_HARIAN!$F$6:$F$9136,DEBIT_HARIAN!$B$6:$B$9136,$A16,DEBIT_HARIAN!$C$6:$C$9136,P$4,DEBIT_HARIAN!$E$6:$E$9136,P$5),"")</f>
        <v/>
      </c>
      <c r="Q16" s="13">
        <f>IFERROR(AVERAGEIFS(DEBIT_HARIAN!$F$6:$F$9136,DEBIT_HARIAN!$B$6:$B$9136,$A16,DEBIT_HARIAN!$C$6:$C$9136,Q$4,DEBIT_HARIAN!$E$6:$E$9136,Q$5),"")</f>
        <v/>
      </c>
      <c r="R16" s="13">
        <f>IFERROR(AVERAGEIFS(DEBIT_HARIAN!$F$6:$F$9136,DEBIT_HARIAN!$B$6:$B$9136,$A16,DEBIT_HARIAN!$C$6:$C$9136,R$4,DEBIT_HARIAN!$E$6:$E$9136,R$5),"")</f>
        <v/>
      </c>
      <c r="S16" s="13">
        <f>IFERROR(AVERAGEIFS(DEBIT_HARIAN!$F$6:$F$9136,DEBIT_HARIAN!$B$6:$B$9136,$A16,DEBIT_HARIAN!$C$6:$C$9136,S$4,DEBIT_HARIAN!$E$6:$E$9136,S$5),"")</f>
        <v/>
      </c>
      <c r="T16" s="13">
        <f>IFERROR(AVERAGEIFS(DEBIT_HARIAN!$F$6:$F$9136,DEBIT_HARIAN!$B$6:$B$9136,$A16,DEBIT_HARIAN!$C$6:$C$9136,T$4,DEBIT_HARIAN!$E$6:$E$9136,T$5),"")</f>
        <v/>
      </c>
      <c r="U16" s="13">
        <f>IFERROR(AVERAGEIFS(DEBIT_HARIAN!$F$6:$F$9136,DEBIT_HARIAN!$B$6:$B$9136,$A16,DEBIT_HARIAN!$C$6:$C$9136,U$4,DEBIT_HARIAN!$E$6:$E$9136,U$5),"")</f>
        <v/>
      </c>
      <c r="V16" s="13">
        <f>IFERROR(AVERAGEIFS(DEBIT_HARIAN!$F$6:$F$9136,DEBIT_HARIAN!$B$6:$B$9136,$A16,DEBIT_HARIAN!$C$6:$C$9136,V$4,DEBIT_HARIAN!$E$6:$E$9136,V$5),"")</f>
        <v/>
      </c>
      <c r="W16" s="13">
        <f>IFERROR(AVERAGEIFS(DEBIT_HARIAN!$F$6:$F$9136,DEBIT_HARIAN!$B$6:$B$9136,$A16,DEBIT_HARIAN!$C$6:$C$9136,W$4,DEBIT_HARIAN!$E$6:$E$9136,W$5),"")</f>
        <v/>
      </c>
      <c r="X16" s="13">
        <f>IFERROR(AVERAGEIFS(DEBIT_HARIAN!$F$6:$F$9136,DEBIT_HARIAN!$B$6:$B$9136,$A16,DEBIT_HARIAN!$C$6:$C$9136,X$4,DEBIT_HARIAN!$E$6:$E$9136,X$5),"")</f>
        <v/>
      </c>
      <c r="Y16" s="13">
        <f>IFERROR(AVERAGEIFS(DEBIT_HARIAN!$F$6:$F$9136,DEBIT_HARIAN!$B$6:$B$9136,$A16,DEBIT_HARIAN!$C$6:$C$9136,Y$4,DEBIT_HARIAN!$E$6:$E$9136,Y$5),"")</f>
        <v/>
      </c>
      <c r="Z16" s="10">
        <f>IFERROR(AVERAGEIFS(DEBIT_HARIAN!$F$6:$F$9136,DEBIT_HARIAN!$B$6:$B$9136,$A16),"")</f>
        <v/>
      </c>
    </row>
    <row r="17">
      <c r="A17" s="18" t="n">
        <v>2011</v>
      </c>
      <c r="B17" s="13">
        <f>IFERROR(AVERAGEIFS(DEBIT_HARIAN!$F$6:$F$9136,DEBIT_HARIAN!$B$6:$B$9136,$A17,DEBIT_HARIAN!$C$6:$C$9136,B$4,DEBIT_HARIAN!$E$6:$E$9136,B$5),"")</f>
        <v/>
      </c>
      <c r="C17" s="13">
        <f>IFERROR(AVERAGEIFS(DEBIT_HARIAN!$F$6:$F$9136,DEBIT_HARIAN!$B$6:$B$9136,$A17,DEBIT_HARIAN!$C$6:$C$9136,C$4,DEBIT_HARIAN!$E$6:$E$9136,C$5),"")</f>
        <v/>
      </c>
      <c r="D17" s="13">
        <f>IFERROR(AVERAGEIFS(DEBIT_HARIAN!$F$6:$F$9136,DEBIT_HARIAN!$B$6:$B$9136,$A17,DEBIT_HARIAN!$C$6:$C$9136,D$4,DEBIT_HARIAN!$E$6:$E$9136,D$5),"")</f>
        <v/>
      </c>
      <c r="E17" s="13">
        <f>IFERROR(AVERAGEIFS(DEBIT_HARIAN!$F$6:$F$9136,DEBIT_HARIAN!$B$6:$B$9136,$A17,DEBIT_HARIAN!$C$6:$C$9136,E$4,DEBIT_HARIAN!$E$6:$E$9136,E$5),"")</f>
        <v/>
      </c>
      <c r="F17" s="13">
        <f>IFERROR(AVERAGEIFS(DEBIT_HARIAN!$F$6:$F$9136,DEBIT_HARIAN!$B$6:$B$9136,$A17,DEBIT_HARIAN!$C$6:$C$9136,F$4,DEBIT_HARIAN!$E$6:$E$9136,F$5),"")</f>
        <v/>
      </c>
      <c r="G17" s="13">
        <f>IFERROR(AVERAGEIFS(DEBIT_HARIAN!$F$6:$F$9136,DEBIT_HARIAN!$B$6:$B$9136,$A17,DEBIT_HARIAN!$C$6:$C$9136,G$4,DEBIT_HARIAN!$E$6:$E$9136,G$5),"")</f>
        <v/>
      </c>
      <c r="H17" s="13">
        <f>IFERROR(AVERAGEIFS(DEBIT_HARIAN!$F$6:$F$9136,DEBIT_HARIAN!$B$6:$B$9136,$A17,DEBIT_HARIAN!$C$6:$C$9136,H$4,DEBIT_HARIAN!$E$6:$E$9136,H$5),"")</f>
        <v/>
      </c>
      <c r="I17" s="13">
        <f>IFERROR(AVERAGEIFS(DEBIT_HARIAN!$F$6:$F$9136,DEBIT_HARIAN!$B$6:$B$9136,$A17,DEBIT_HARIAN!$C$6:$C$9136,I$4,DEBIT_HARIAN!$E$6:$E$9136,I$5),"")</f>
        <v/>
      </c>
      <c r="J17" s="13">
        <f>IFERROR(AVERAGEIFS(DEBIT_HARIAN!$F$6:$F$9136,DEBIT_HARIAN!$B$6:$B$9136,$A17,DEBIT_HARIAN!$C$6:$C$9136,J$4,DEBIT_HARIAN!$E$6:$E$9136,J$5),"")</f>
        <v/>
      </c>
      <c r="K17" s="13">
        <f>IFERROR(AVERAGEIFS(DEBIT_HARIAN!$F$6:$F$9136,DEBIT_HARIAN!$B$6:$B$9136,$A17,DEBIT_HARIAN!$C$6:$C$9136,K$4,DEBIT_HARIAN!$E$6:$E$9136,K$5),"")</f>
        <v/>
      </c>
      <c r="L17" s="13">
        <f>IFERROR(AVERAGEIFS(DEBIT_HARIAN!$F$6:$F$9136,DEBIT_HARIAN!$B$6:$B$9136,$A17,DEBIT_HARIAN!$C$6:$C$9136,L$4,DEBIT_HARIAN!$E$6:$E$9136,L$5),"")</f>
        <v/>
      </c>
      <c r="M17" s="13">
        <f>IFERROR(AVERAGEIFS(DEBIT_HARIAN!$F$6:$F$9136,DEBIT_HARIAN!$B$6:$B$9136,$A17,DEBIT_HARIAN!$C$6:$C$9136,M$4,DEBIT_HARIAN!$E$6:$E$9136,M$5),"")</f>
        <v/>
      </c>
      <c r="N17" s="13">
        <f>IFERROR(AVERAGEIFS(DEBIT_HARIAN!$F$6:$F$9136,DEBIT_HARIAN!$B$6:$B$9136,$A17,DEBIT_HARIAN!$C$6:$C$9136,N$4,DEBIT_HARIAN!$E$6:$E$9136,N$5),"")</f>
        <v/>
      </c>
      <c r="O17" s="13">
        <f>IFERROR(AVERAGEIFS(DEBIT_HARIAN!$F$6:$F$9136,DEBIT_HARIAN!$B$6:$B$9136,$A17,DEBIT_HARIAN!$C$6:$C$9136,O$4,DEBIT_HARIAN!$E$6:$E$9136,O$5),"")</f>
        <v/>
      </c>
      <c r="P17" s="13">
        <f>IFERROR(AVERAGEIFS(DEBIT_HARIAN!$F$6:$F$9136,DEBIT_HARIAN!$B$6:$B$9136,$A17,DEBIT_HARIAN!$C$6:$C$9136,P$4,DEBIT_HARIAN!$E$6:$E$9136,P$5),"")</f>
        <v/>
      </c>
      <c r="Q17" s="13">
        <f>IFERROR(AVERAGEIFS(DEBIT_HARIAN!$F$6:$F$9136,DEBIT_HARIAN!$B$6:$B$9136,$A17,DEBIT_HARIAN!$C$6:$C$9136,Q$4,DEBIT_HARIAN!$E$6:$E$9136,Q$5),"")</f>
        <v/>
      </c>
      <c r="R17" s="13">
        <f>IFERROR(AVERAGEIFS(DEBIT_HARIAN!$F$6:$F$9136,DEBIT_HARIAN!$B$6:$B$9136,$A17,DEBIT_HARIAN!$C$6:$C$9136,R$4,DEBIT_HARIAN!$E$6:$E$9136,R$5),"")</f>
        <v/>
      </c>
      <c r="S17" s="13">
        <f>IFERROR(AVERAGEIFS(DEBIT_HARIAN!$F$6:$F$9136,DEBIT_HARIAN!$B$6:$B$9136,$A17,DEBIT_HARIAN!$C$6:$C$9136,S$4,DEBIT_HARIAN!$E$6:$E$9136,S$5),"")</f>
        <v/>
      </c>
      <c r="T17" s="13">
        <f>IFERROR(AVERAGEIFS(DEBIT_HARIAN!$F$6:$F$9136,DEBIT_HARIAN!$B$6:$B$9136,$A17,DEBIT_HARIAN!$C$6:$C$9136,T$4,DEBIT_HARIAN!$E$6:$E$9136,T$5),"")</f>
        <v/>
      </c>
      <c r="U17" s="13">
        <f>IFERROR(AVERAGEIFS(DEBIT_HARIAN!$F$6:$F$9136,DEBIT_HARIAN!$B$6:$B$9136,$A17,DEBIT_HARIAN!$C$6:$C$9136,U$4,DEBIT_HARIAN!$E$6:$E$9136,U$5),"")</f>
        <v/>
      </c>
      <c r="V17" s="13">
        <f>IFERROR(AVERAGEIFS(DEBIT_HARIAN!$F$6:$F$9136,DEBIT_HARIAN!$B$6:$B$9136,$A17,DEBIT_HARIAN!$C$6:$C$9136,V$4,DEBIT_HARIAN!$E$6:$E$9136,V$5),"")</f>
        <v/>
      </c>
      <c r="W17" s="13">
        <f>IFERROR(AVERAGEIFS(DEBIT_HARIAN!$F$6:$F$9136,DEBIT_HARIAN!$B$6:$B$9136,$A17,DEBIT_HARIAN!$C$6:$C$9136,W$4,DEBIT_HARIAN!$E$6:$E$9136,W$5),"")</f>
        <v/>
      </c>
      <c r="X17" s="13">
        <f>IFERROR(AVERAGEIFS(DEBIT_HARIAN!$F$6:$F$9136,DEBIT_HARIAN!$B$6:$B$9136,$A17,DEBIT_HARIAN!$C$6:$C$9136,X$4,DEBIT_HARIAN!$E$6:$E$9136,X$5),"")</f>
        <v/>
      </c>
      <c r="Y17" s="13">
        <f>IFERROR(AVERAGEIFS(DEBIT_HARIAN!$F$6:$F$9136,DEBIT_HARIAN!$B$6:$B$9136,$A17,DEBIT_HARIAN!$C$6:$C$9136,Y$4,DEBIT_HARIAN!$E$6:$E$9136,Y$5),"")</f>
        <v/>
      </c>
      <c r="Z17" s="10">
        <f>IFERROR(AVERAGEIFS(DEBIT_HARIAN!$F$6:$F$9136,DEBIT_HARIAN!$B$6:$B$9136,$A17),"")</f>
        <v/>
      </c>
    </row>
    <row r="18">
      <c r="A18" s="18" t="n">
        <v>2012</v>
      </c>
      <c r="B18" s="13">
        <f>IFERROR(AVERAGEIFS(DEBIT_HARIAN!$F$6:$F$9136,DEBIT_HARIAN!$B$6:$B$9136,$A18,DEBIT_HARIAN!$C$6:$C$9136,B$4,DEBIT_HARIAN!$E$6:$E$9136,B$5),"")</f>
        <v/>
      </c>
      <c r="C18" s="13">
        <f>IFERROR(AVERAGEIFS(DEBIT_HARIAN!$F$6:$F$9136,DEBIT_HARIAN!$B$6:$B$9136,$A18,DEBIT_HARIAN!$C$6:$C$9136,C$4,DEBIT_HARIAN!$E$6:$E$9136,C$5),"")</f>
        <v/>
      </c>
      <c r="D18" s="13">
        <f>IFERROR(AVERAGEIFS(DEBIT_HARIAN!$F$6:$F$9136,DEBIT_HARIAN!$B$6:$B$9136,$A18,DEBIT_HARIAN!$C$6:$C$9136,D$4,DEBIT_HARIAN!$E$6:$E$9136,D$5),"")</f>
        <v/>
      </c>
      <c r="E18" s="13">
        <f>IFERROR(AVERAGEIFS(DEBIT_HARIAN!$F$6:$F$9136,DEBIT_HARIAN!$B$6:$B$9136,$A18,DEBIT_HARIAN!$C$6:$C$9136,E$4,DEBIT_HARIAN!$E$6:$E$9136,E$5),"")</f>
        <v/>
      </c>
      <c r="F18" s="13">
        <f>IFERROR(AVERAGEIFS(DEBIT_HARIAN!$F$6:$F$9136,DEBIT_HARIAN!$B$6:$B$9136,$A18,DEBIT_HARIAN!$C$6:$C$9136,F$4,DEBIT_HARIAN!$E$6:$E$9136,F$5),"")</f>
        <v/>
      </c>
      <c r="G18" s="13">
        <f>IFERROR(AVERAGEIFS(DEBIT_HARIAN!$F$6:$F$9136,DEBIT_HARIAN!$B$6:$B$9136,$A18,DEBIT_HARIAN!$C$6:$C$9136,G$4,DEBIT_HARIAN!$E$6:$E$9136,G$5),"")</f>
        <v/>
      </c>
      <c r="H18" s="13">
        <f>IFERROR(AVERAGEIFS(DEBIT_HARIAN!$F$6:$F$9136,DEBIT_HARIAN!$B$6:$B$9136,$A18,DEBIT_HARIAN!$C$6:$C$9136,H$4,DEBIT_HARIAN!$E$6:$E$9136,H$5),"")</f>
        <v/>
      </c>
      <c r="I18" s="13">
        <f>IFERROR(AVERAGEIFS(DEBIT_HARIAN!$F$6:$F$9136,DEBIT_HARIAN!$B$6:$B$9136,$A18,DEBIT_HARIAN!$C$6:$C$9136,I$4,DEBIT_HARIAN!$E$6:$E$9136,I$5),"")</f>
        <v/>
      </c>
      <c r="J18" s="13">
        <f>IFERROR(AVERAGEIFS(DEBIT_HARIAN!$F$6:$F$9136,DEBIT_HARIAN!$B$6:$B$9136,$A18,DEBIT_HARIAN!$C$6:$C$9136,J$4,DEBIT_HARIAN!$E$6:$E$9136,J$5),"")</f>
        <v/>
      </c>
      <c r="K18" s="13">
        <f>IFERROR(AVERAGEIFS(DEBIT_HARIAN!$F$6:$F$9136,DEBIT_HARIAN!$B$6:$B$9136,$A18,DEBIT_HARIAN!$C$6:$C$9136,K$4,DEBIT_HARIAN!$E$6:$E$9136,K$5),"")</f>
        <v/>
      </c>
      <c r="L18" s="13">
        <f>IFERROR(AVERAGEIFS(DEBIT_HARIAN!$F$6:$F$9136,DEBIT_HARIAN!$B$6:$B$9136,$A18,DEBIT_HARIAN!$C$6:$C$9136,L$4,DEBIT_HARIAN!$E$6:$E$9136,L$5),"")</f>
        <v/>
      </c>
      <c r="M18" s="13">
        <f>IFERROR(AVERAGEIFS(DEBIT_HARIAN!$F$6:$F$9136,DEBIT_HARIAN!$B$6:$B$9136,$A18,DEBIT_HARIAN!$C$6:$C$9136,M$4,DEBIT_HARIAN!$E$6:$E$9136,M$5),"")</f>
        <v/>
      </c>
      <c r="N18" s="13">
        <f>IFERROR(AVERAGEIFS(DEBIT_HARIAN!$F$6:$F$9136,DEBIT_HARIAN!$B$6:$B$9136,$A18,DEBIT_HARIAN!$C$6:$C$9136,N$4,DEBIT_HARIAN!$E$6:$E$9136,N$5),"")</f>
        <v/>
      </c>
      <c r="O18" s="13">
        <f>IFERROR(AVERAGEIFS(DEBIT_HARIAN!$F$6:$F$9136,DEBIT_HARIAN!$B$6:$B$9136,$A18,DEBIT_HARIAN!$C$6:$C$9136,O$4,DEBIT_HARIAN!$E$6:$E$9136,O$5),"")</f>
        <v/>
      </c>
      <c r="P18" s="13">
        <f>IFERROR(AVERAGEIFS(DEBIT_HARIAN!$F$6:$F$9136,DEBIT_HARIAN!$B$6:$B$9136,$A18,DEBIT_HARIAN!$C$6:$C$9136,P$4,DEBIT_HARIAN!$E$6:$E$9136,P$5),"")</f>
        <v/>
      </c>
      <c r="Q18" s="13">
        <f>IFERROR(AVERAGEIFS(DEBIT_HARIAN!$F$6:$F$9136,DEBIT_HARIAN!$B$6:$B$9136,$A18,DEBIT_HARIAN!$C$6:$C$9136,Q$4,DEBIT_HARIAN!$E$6:$E$9136,Q$5),"")</f>
        <v/>
      </c>
      <c r="R18" s="13">
        <f>IFERROR(AVERAGEIFS(DEBIT_HARIAN!$F$6:$F$9136,DEBIT_HARIAN!$B$6:$B$9136,$A18,DEBIT_HARIAN!$C$6:$C$9136,R$4,DEBIT_HARIAN!$E$6:$E$9136,R$5),"")</f>
        <v/>
      </c>
      <c r="S18" s="13">
        <f>IFERROR(AVERAGEIFS(DEBIT_HARIAN!$F$6:$F$9136,DEBIT_HARIAN!$B$6:$B$9136,$A18,DEBIT_HARIAN!$C$6:$C$9136,S$4,DEBIT_HARIAN!$E$6:$E$9136,S$5),"")</f>
        <v/>
      </c>
      <c r="T18" s="13">
        <f>IFERROR(AVERAGEIFS(DEBIT_HARIAN!$F$6:$F$9136,DEBIT_HARIAN!$B$6:$B$9136,$A18,DEBIT_HARIAN!$C$6:$C$9136,T$4,DEBIT_HARIAN!$E$6:$E$9136,T$5),"")</f>
        <v/>
      </c>
      <c r="U18" s="13">
        <f>IFERROR(AVERAGEIFS(DEBIT_HARIAN!$F$6:$F$9136,DEBIT_HARIAN!$B$6:$B$9136,$A18,DEBIT_HARIAN!$C$6:$C$9136,U$4,DEBIT_HARIAN!$E$6:$E$9136,U$5),"")</f>
        <v/>
      </c>
      <c r="V18" s="13">
        <f>IFERROR(AVERAGEIFS(DEBIT_HARIAN!$F$6:$F$9136,DEBIT_HARIAN!$B$6:$B$9136,$A18,DEBIT_HARIAN!$C$6:$C$9136,V$4,DEBIT_HARIAN!$E$6:$E$9136,V$5),"")</f>
        <v/>
      </c>
      <c r="W18" s="13">
        <f>IFERROR(AVERAGEIFS(DEBIT_HARIAN!$F$6:$F$9136,DEBIT_HARIAN!$B$6:$B$9136,$A18,DEBIT_HARIAN!$C$6:$C$9136,W$4,DEBIT_HARIAN!$E$6:$E$9136,W$5),"")</f>
        <v/>
      </c>
      <c r="X18" s="13">
        <f>IFERROR(AVERAGEIFS(DEBIT_HARIAN!$F$6:$F$9136,DEBIT_HARIAN!$B$6:$B$9136,$A18,DEBIT_HARIAN!$C$6:$C$9136,X$4,DEBIT_HARIAN!$E$6:$E$9136,X$5),"")</f>
        <v/>
      </c>
      <c r="Y18" s="13">
        <f>IFERROR(AVERAGEIFS(DEBIT_HARIAN!$F$6:$F$9136,DEBIT_HARIAN!$B$6:$B$9136,$A18,DEBIT_HARIAN!$C$6:$C$9136,Y$4,DEBIT_HARIAN!$E$6:$E$9136,Y$5),"")</f>
        <v/>
      </c>
      <c r="Z18" s="10">
        <f>IFERROR(AVERAGEIFS(DEBIT_HARIAN!$F$6:$F$9136,DEBIT_HARIAN!$B$6:$B$9136,$A18),"")</f>
        <v/>
      </c>
    </row>
    <row r="19">
      <c r="A19" s="18" t="n">
        <v>2013</v>
      </c>
      <c r="B19" s="13">
        <f>IFERROR(AVERAGEIFS(DEBIT_HARIAN!$F$6:$F$9136,DEBIT_HARIAN!$B$6:$B$9136,$A19,DEBIT_HARIAN!$C$6:$C$9136,B$4,DEBIT_HARIAN!$E$6:$E$9136,B$5),"")</f>
        <v/>
      </c>
      <c r="C19" s="13">
        <f>IFERROR(AVERAGEIFS(DEBIT_HARIAN!$F$6:$F$9136,DEBIT_HARIAN!$B$6:$B$9136,$A19,DEBIT_HARIAN!$C$6:$C$9136,C$4,DEBIT_HARIAN!$E$6:$E$9136,C$5),"")</f>
        <v/>
      </c>
      <c r="D19" s="13">
        <f>IFERROR(AVERAGEIFS(DEBIT_HARIAN!$F$6:$F$9136,DEBIT_HARIAN!$B$6:$B$9136,$A19,DEBIT_HARIAN!$C$6:$C$9136,D$4,DEBIT_HARIAN!$E$6:$E$9136,D$5),"")</f>
        <v/>
      </c>
      <c r="E19" s="13">
        <f>IFERROR(AVERAGEIFS(DEBIT_HARIAN!$F$6:$F$9136,DEBIT_HARIAN!$B$6:$B$9136,$A19,DEBIT_HARIAN!$C$6:$C$9136,E$4,DEBIT_HARIAN!$E$6:$E$9136,E$5),"")</f>
        <v/>
      </c>
      <c r="F19" s="13">
        <f>IFERROR(AVERAGEIFS(DEBIT_HARIAN!$F$6:$F$9136,DEBIT_HARIAN!$B$6:$B$9136,$A19,DEBIT_HARIAN!$C$6:$C$9136,F$4,DEBIT_HARIAN!$E$6:$E$9136,F$5),"")</f>
        <v/>
      </c>
      <c r="G19" s="13">
        <f>IFERROR(AVERAGEIFS(DEBIT_HARIAN!$F$6:$F$9136,DEBIT_HARIAN!$B$6:$B$9136,$A19,DEBIT_HARIAN!$C$6:$C$9136,G$4,DEBIT_HARIAN!$E$6:$E$9136,G$5),"")</f>
        <v/>
      </c>
      <c r="H19" s="13">
        <f>IFERROR(AVERAGEIFS(DEBIT_HARIAN!$F$6:$F$9136,DEBIT_HARIAN!$B$6:$B$9136,$A19,DEBIT_HARIAN!$C$6:$C$9136,H$4,DEBIT_HARIAN!$E$6:$E$9136,H$5),"")</f>
        <v/>
      </c>
      <c r="I19" s="13">
        <f>IFERROR(AVERAGEIFS(DEBIT_HARIAN!$F$6:$F$9136,DEBIT_HARIAN!$B$6:$B$9136,$A19,DEBIT_HARIAN!$C$6:$C$9136,I$4,DEBIT_HARIAN!$E$6:$E$9136,I$5),"")</f>
        <v/>
      </c>
      <c r="J19" s="13">
        <f>IFERROR(AVERAGEIFS(DEBIT_HARIAN!$F$6:$F$9136,DEBIT_HARIAN!$B$6:$B$9136,$A19,DEBIT_HARIAN!$C$6:$C$9136,J$4,DEBIT_HARIAN!$E$6:$E$9136,J$5),"")</f>
        <v/>
      </c>
      <c r="K19" s="13">
        <f>IFERROR(AVERAGEIFS(DEBIT_HARIAN!$F$6:$F$9136,DEBIT_HARIAN!$B$6:$B$9136,$A19,DEBIT_HARIAN!$C$6:$C$9136,K$4,DEBIT_HARIAN!$E$6:$E$9136,K$5),"")</f>
        <v/>
      </c>
      <c r="L19" s="13">
        <f>IFERROR(AVERAGEIFS(DEBIT_HARIAN!$F$6:$F$9136,DEBIT_HARIAN!$B$6:$B$9136,$A19,DEBIT_HARIAN!$C$6:$C$9136,L$4,DEBIT_HARIAN!$E$6:$E$9136,L$5),"")</f>
        <v/>
      </c>
      <c r="M19" s="13">
        <f>IFERROR(AVERAGEIFS(DEBIT_HARIAN!$F$6:$F$9136,DEBIT_HARIAN!$B$6:$B$9136,$A19,DEBIT_HARIAN!$C$6:$C$9136,M$4,DEBIT_HARIAN!$E$6:$E$9136,M$5),"")</f>
        <v/>
      </c>
      <c r="N19" s="13">
        <f>IFERROR(AVERAGEIFS(DEBIT_HARIAN!$F$6:$F$9136,DEBIT_HARIAN!$B$6:$B$9136,$A19,DEBIT_HARIAN!$C$6:$C$9136,N$4,DEBIT_HARIAN!$E$6:$E$9136,N$5),"")</f>
        <v/>
      </c>
      <c r="O19" s="13">
        <f>IFERROR(AVERAGEIFS(DEBIT_HARIAN!$F$6:$F$9136,DEBIT_HARIAN!$B$6:$B$9136,$A19,DEBIT_HARIAN!$C$6:$C$9136,O$4,DEBIT_HARIAN!$E$6:$E$9136,O$5),"")</f>
        <v/>
      </c>
      <c r="P19" s="13">
        <f>IFERROR(AVERAGEIFS(DEBIT_HARIAN!$F$6:$F$9136,DEBIT_HARIAN!$B$6:$B$9136,$A19,DEBIT_HARIAN!$C$6:$C$9136,P$4,DEBIT_HARIAN!$E$6:$E$9136,P$5),"")</f>
        <v/>
      </c>
      <c r="Q19" s="13">
        <f>IFERROR(AVERAGEIFS(DEBIT_HARIAN!$F$6:$F$9136,DEBIT_HARIAN!$B$6:$B$9136,$A19,DEBIT_HARIAN!$C$6:$C$9136,Q$4,DEBIT_HARIAN!$E$6:$E$9136,Q$5),"")</f>
        <v/>
      </c>
      <c r="R19" s="13">
        <f>IFERROR(AVERAGEIFS(DEBIT_HARIAN!$F$6:$F$9136,DEBIT_HARIAN!$B$6:$B$9136,$A19,DEBIT_HARIAN!$C$6:$C$9136,R$4,DEBIT_HARIAN!$E$6:$E$9136,R$5),"")</f>
        <v/>
      </c>
      <c r="S19" s="13">
        <f>IFERROR(AVERAGEIFS(DEBIT_HARIAN!$F$6:$F$9136,DEBIT_HARIAN!$B$6:$B$9136,$A19,DEBIT_HARIAN!$C$6:$C$9136,S$4,DEBIT_HARIAN!$E$6:$E$9136,S$5),"")</f>
        <v/>
      </c>
      <c r="T19" s="13">
        <f>IFERROR(AVERAGEIFS(DEBIT_HARIAN!$F$6:$F$9136,DEBIT_HARIAN!$B$6:$B$9136,$A19,DEBIT_HARIAN!$C$6:$C$9136,T$4,DEBIT_HARIAN!$E$6:$E$9136,T$5),"")</f>
        <v/>
      </c>
      <c r="U19" s="13">
        <f>IFERROR(AVERAGEIFS(DEBIT_HARIAN!$F$6:$F$9136,DEBIT_HARIAN!$B$6:$B$9136,$A19,DEBIT_HARIAN!$C$6:$C$9136,U$4,DEBIT_HARIAN!$E$6:$E$9136,U$5),"")</f>
        <v/>
      </c>
      <c r="V19" s="13">
        <f>IFERROR(AVERAGEIFS(DEBIT_HARIAN!$F$6:$F$9136,DEBIT_HARIAN!$B$6:$B$9136,$A19,DEBIT_HARIAN!$C$6:$C$9136,V$4,DEBIT_HARIAN!$E$6:$E$9136,V$5),"")</f>
        <v/>
      </c>
      <c r="W19" s="13">
        <f>IFERROR(AVERAGEIFS(DEBIT_HARIAN!$F$6:$F$9136,DEBIT_HARIAN!$B$6:$B$9136,$A19,DEBIT_HARIAN!$C$6:$C$9136,W$4,DEBIT_HARIAN!$E$6:$E$9136,W$5),"")</f>
        <v/>
      </c>
      <c r="X19" s="13">
        <f>IFERROR(AVERAGEIFS(DEBIT_HARIAN!$F$6:$F$9136,DEBIT_HARIAN!$B$6:$B$9136,$A19,DEBIT_HARIAN!$C$6:$C$9136,X$4,DEBIT_HARIAN!$E$6:$E$9136,X$5),"")</f>
        <v/>
      </c>
      <c r="Y19" s="13">
        <f>IFERROR(AVERAGEIFS(DEBIT_HARIAN!$F$6:$F$9136,DEBIT_HARIAN!$B$6:$B$9136,$A19,DEBIT_HARIAN!$C$6:$C$9136,Y$4,DEBIT_HARIAN!$E$6:$E$9136,Y$5),"")</f>
        <v/>
      </c>
      <c r="Z19" s="10">
        <f>IFERROR(AVERAGEIFS(DEBIT_HARIAN!$F$6:$F$9136,DEBIT_HARIAN!$B$6:$B$9136,$A19),"")</f>
        <v/>
      </c>
    </row>
    <row r="20">
      <c r="A20" s="18" t="n">
        <v>2014</v>
      </c>
      <c r="B20" s="13">
        <f>IFERROR(AVERAGEIFS(DEBIT_HARIAN!$F$6:$F$9136,DEBIT_HARIAN!$B$6:$B$9136,$A20,DEBIT_HARIAN!$C$6:$C$9136,B$4,DEBIT_HARIAN!$E$6:$E$9136,B$5),"")</f>
        <v/>
      </c>
      <c r="C20" s="13">
        <f>IFERROR(AVERAGEIFS(DEBIT_HARIAN!$F$6:$F$9136,DEBIT_HARIAN!$B$6:$B$9136,$A20,DEBIT_HARIAN!$C$6:$C$9136,C$4,DEBIT_HARIAN!$E$6:$E$9136,C$5),"")</f>
        <v/>
      </c>
      <c r="D20" s="13">
        <f>IFERROR(AVERAGEIFS(DEBIT_HARIAN!$F$6:$F$9136,DEBIT_HARIAN!$B$6:$B$9136,$A20,DEBIT_HARIAN!$C$6:$C$9136,D$4,DEBIT_HARIAN!$E$6:$E$9136,D$5),"")</f>
        <v/>
      </c>
      <c r="E20" s="13">
        <f>IFERROR(AVERAGEIFS(DEBIT_HARIAN!$F$6:$F$9136,DEBIT_HARIAN!$B$6:$B$9136,$A20,DEBIT_HARIAN!$C$6:$C$9136,E$4,DEBIT_HARIAN!$E$6:$E$9136,E$5),"")</f>
        <v/>
      </c>
      <c r="F20" s="13">
        <f>IFERROR(AVERAGEIFS(DEBIT_HARIAN!$F$6:$F$9136,DEBIT_HARIAN!$B$6:$B$9136,$A20,DEBIT_HARIAN!$C$6:$C$9136,F$4,DEBIT_HARIAN!$E$6:$E$9136,F$5),"")</f>
        <v/>
      </c>
      <c r="G20" s="13">
        <f>IFERROR(AVERAGEIFS(DEBIT_HARIAN!$F$6:$F$9136,DEBIT_HARIAN!$B$6:$B$9136,$A20,DEBIT_HARIAN!$C$6:$C$9136,G$4,DEBIT_HARIAN!$E$6:$E$9136,G$5),"")</f>
        <v/>
      </c>
      <c r="H20" s="13">
        <f>IFERROR(AVERAGEIFS(DEBIT_HARIAN!$F$6:$F$9136,DEBIT_HARIAN!$B$6:$B$9136,$A20,DEBIT_HARIAN!$C$6:$C$9136,H$4,DEBIT_HARIAN!$E$6:$E$9136,H$5),"")</f>
        <v/>
      </c>
      <c r="I20" s="13">
        <f>IFERROR(AVERAGEIFS(DEBIT_HARIAN!$F$6:$F$9136,DEBIT_HARIAN!$B$6:$B$9136,$A20,DEBIT_HARIAN!$C$6:$C$9136,I$4,DEBIT_HARIAN!$E$6:$E$9136,I$5),"")</f>
        <v/>
      </c>
      <c r="J20" s="13">
        <f>IFERROR(AVERAGEIFS(DEBIT_HARIAN!$F$6:$F$9136,DEBIT_HARIAN!$B$6:$B$9136,$A20,DEBIT_HARIAN!$C$6:$C$9136,J$4,DEBIT_HARIAN!$E$6:$E$9136,J$5),"")</f>
        <v/>
      </c>
      <c r="K20" s="13">
        <f>IFERROR(AVERAGEIFS(DEBIT_HARIAN!$F$6:$F$9136,DEBIT_HARIAN!$B$6:$B$9136,$A20,DEBIT_HARIAN!$C$6:$C$9136,K$4,DEBIT_HARIAN!$E$6:$E$9136,K$5),"")</f>
        <v/>
      </c>
      <c r="L20" s="13">
        <f>IFERROR(AVERAGEIFS(DEBIT_HARIAN!$F$6:$F$9136,DEBIT_HARIAN!$B$6:$B$9136,$A20,DEBIT_HARIAN!$C$6:$C$9136,L$4,DEBIT_HARIAN!$E$6:$E$9136,L$5),"")</f>
        <v/>
      </c>
      <c r="M20" s="13">
        <f>IFERROR(AVERAGEIFS(DEBIT_HARIAN!$F$6:$F$9136,DEBIT_HARIAN!$B$6:$B$9136,$A20,DEBIT_HARIAN!$C$6:$C$9136,M$4,DEBIT_HARIAN!$E$6:$E$9136,M$5),"")</f>
        <v/>
      </c>
      <c r="N20" s="13">
        <f>IFERROR(AVERAGEIFS(DEBIT_HARIAN!$F$6:$F$9136,DEBIT_HARIAN!$B$6:$B$9136,$A20,DEBIT_HARIAN!$C$6:$C$9136,N$4,DEBIT_HARIAN!$E$6:$E$9136,N$5),"")</f>
        <v/>
      </c>
      <c r="O20" s="13">
        <f>IFERROR(AVERAGEIFS(DEBIT_HARIAN!$F$6:$F$9136,DEBIT_HARIAN!$B$6:$B$9136,$A20,DEBIT_HARIAN!$C$6:$C$9136,O$4,DEBIT_HARIAN!$E$6:$E$9136,O$5),"")</f>
        <v/>
      </c>
      <c r="P20" s="13">
        <f>IFERROR(AVERAGEIFS(DEBIT_HARIAN!$F$6:$F$9136,DEBIT_HARIAN!$B$6:$B$9136,$A20,DEBIT_HARIAN!$C$6:$C$9136,P$4,DEBIT_HARIAN!$E$6:$E$9136,P$5),"")</f>
        <v/>
      </c>
      <c r="Q20" s="13">
        <f>IFERROR(AVERAGEIFS(DEBIT_HARIAN!$F$6:$F$9136,DEBIT_HARIAN!$B$6:$B$9136,$A20,DEBIT_HARIAN!$C$6:$C$9136,Q$4,DEBIT_HARIAN!$E$6:$E$9136,Q$5),"")</f>
        <v/>
      </c>
      <c r="R20" s="13">
        <f>IFERROR(AVERAGEIFS(DEBIT_HARIAN!$F$6:$F$9136,DEBIT_HARIAN!$B$6:$B$9136,$A20,DEBIT_HARIAN!$C$6:$C$9136,R$4,DEBIT_HARIAN!$E$6:$E$9136,R$5),"")</f>
        <v/>
      </c>
      <c r="S20" s="13">
        <f>IFERROR(AVERAGEIFS(DEBIT_HARIAN!$F$6:$F$9136,DEBIT_HARIAN!$B$6:$B$9136,$A20,DEBIT_HARIAN!$C$6:$C$9136,S$4,DEBIT_HARIAN!$E$6:$E$9136,S$5),"")</f>
        <v/>
      </c>
      <c r="T20" s="13">
        <f>IFERROR(AVERAGEIFS(DEBIT_HARIAN!$F$6:$F$9136,DEBIT_HARIAN!$B$6:$B$9136,$A20,DEBIT_HARIAN!$C$6:$C$9136,T$4,DEBIT_HARIAN!$E$6:$E$9136,T$5),"")</f>
        <v/>
      </c>
      <c r="U20" s="13">
        <f>IFERROR(AVERAGEIFS(DEBIT_HARIAN!$F$6:$F$9136,DEBIT_HARIAN!$B$6:$B$9136,$A20,DEBIT_HARIAN!$C$6:$C$9136,U$4,DEBIT_HARIAN!$E$6:$E$9136,U$5),"")</f>
        <v/>
      </c>
      <c r="V20" s="13">
        <f>IFERROR(AVERAGEIFS(DEBIT_HARIAN!$F$6:$F$9136,DEBIT_HARIAN!$B$6:$B$9136,$A20,DEBIT_HARIAN!$C$6:$C$9136,V$4,DEBIT_HARIAN!$E$6:$E$9136,V$5),"")</f>
        <v/>
      </c>
      <c r="W20" s="13">
        <f>IFERROR(AVERAGEIFS(DEBIT_HARIAN!$F$6:$F$9136,DEBIT_HARIAN!$B$6:$B$9136,$A20,DEBIT_HARIAN!$C$6:$C$9136,W$4,DEBIT_HARIAN!$E$6:$E$9136,W$5),"")</f>
        <v/>
      </c>
      <c r="X20" s="13">
        <f>IFERROR(AVERAGEIFS(DEBIT_HARIAN!$F$6:$F$9136,DEBIT_HARIAN!$B$6:$B$9136,$A20,DEBIT_HARIAN!$C$6:$C$9136,X$4,DEBIT_HARIAN!$E$6:$E$9136,X$5),"")</f>
        <v/>
      </c>
      <c r="Y20" s="13">
        <f>IFERROR(AVERAGEIFS(DEBIT_HARIAN!$F$6:$F$9136,DEBIT_HARIAN!$B$6:$B$9136,$A20,DEBIT_HARIAN!$C$6:$C$9136,Y$4,DEBIT_HARIAN!$E$6:$E$9136,Y$5),"")</f>
        <v/>
      </c>
      <c r="Z20" s="10">
        <f>IFERROR(AVERAGEIFS(DEBIT_HARIAN!$F$6:$F$9136,DEBIT_HARIAN!$B$6:$B$9136,$A20),"")</f>
        <v/>
      </c>
    </row>
    <row r="21">
      <c r="A21" s="18" t="n">
        <v>2015</v>
      </c>
      <c r="B21" s="13">
        <f>IFERROR(AVERAGEIFS(DEBIT_HARIAN!$F$6:$F$9136,DEBIT_HARIAN!$B$6:$B$9136,$A21,DEBIT_HARIAN!$C$6:$C$9136,B$4,DEBIT_HARIAN!$E$6:$E$9136,B$5),"")</f>
        <v/>
      </c>
      <c r="C21" s="13">
        <f>IFERROR(AVERAGEIFS(DEBIT_HARIAN!$F$6:$F$9136,DEBIT_HARIAN!$B$6:$B$9136,$A21,DEBIT_HARIAN!$C$6:$C$9136,C$4,DEBIT_HARIAN!$E$6:$E$9136,C$5),"")</f>
        <v/>
      </c>
      <c r="D21" s="13">
        <f>IFERROR(AVERAGEIFS(DEBIT_HARIAN!$F$6:$F$9136,DEBIT_HARIAN!$B$6:$B$9136,$A21,DEBIT_HARIAN!$C$6:$C$9136,D$4,DEBIT_HARIAN!$E$6:$E$9136,D$5),"")</f>
        <v/>
      </c>
      <c r="E21" s="13">
        <f>IFERROR(AVERAGEIFS(DEBIT_HARIAN!$F$6:$F$9136,DEBIT_HARIAN!$B$6:$B$9136,$A21,DEBIT_HARIAN!$C$6:$C$9136,E$4,DEBIT_HARIAN!$E$6:$E$9136,E$5),"")</f>
        <v/>
      </c>
      <c r="F21" s="13">
        <f>IFERROR(AVERAGEIFS(DEBIT_HARIAN!$F$6:$F$9136,DEBIT_HARIAN!$B$6:$B$9136,$A21,DEBIT_HARIAN!$C$6:$C$9136,F$4,DEBIT_HARIAN!$E$6:$E$9136,F$5),"")</f>
        <v/>
      </c>
      <c r="G21" s="13">
        <f>IFERROR(AVERAGEIFS(DEBIT_HARIAN!$F$6:$F$9136,DEBIT_HARIAN!$B$6:$B$9136,$A21,DEBIT_HARIAN!$C$6:$C$9136,G$4,DEBIT_HARIAN!$E$6:$E$9136,G$5),"")</f>
        <v/>
      </c>
      <c r="H21" s="13">
        <f>IFERROR(AVERAGEIFS(DEBIT_HARIAN!$F$6:$F$9136,DEBIT_HARIAN!$B$6:$B$9136,$A21,DEBIT_HARIAN!$C$6:$C$9136,H$4,DEBIT_HARIAN!$E$6:$E$9136,H$5),"")</f>
        <v/>
      </c>
      <c r="I21" s="13">
        <f>IFERROR(AVERAGEIFS(DEBIT_HARIAN!$F$6:$F$9136,DEBIT_HARIAN!$B$6:$B$9136,$A21,DEBIT_HARIAN!$C$6:$C$9136,I$4,DEBIT_HARIAN!$E$6:$E$9136,I$5),"")</f>
        <v/>
      </c>
      <c r="J21" s="13">
        <f>IFERROR(AVERAGEIFS(DEBIT_HARIAN!$F$6:$F$9136,DEBIT_HARIAN!$B$6:$B$9136,$A21,DEBIT_HARIAN!$C$6:$C$9136,J$4,DEBIT_HARIAN!$E$6:$E$9136,J$5),"")</f>
        <v/>
      </c>
      <c r="K21" s="13">
        <f>IFERROR(AVERAGEIFS(DEBIT_HARIAN!$F$6:$F$9136,DEBIT_HARIAN!$B$6:$B$9136,$A21,DEBIT_HARIAN!$C$6:$C$9136,K$4,DEBIT_HARIAN!$E$6:$E$9136,K$5),"")</f>
        <v/>
      </c>
      <c r="L21" s="13">
        <f>IFERROR(AVERAGEIFS(DEBIT_HARIAN!$F$6:$F$9136,DEBIT_HARIAN!$B$6:$B$9136,$A21,DEBIT_HARIAN!$C$6:$C$9136,L$4,DEBIT_HARIAN!$E$6:$E$9136,L$5),"")</f>
        <v/>
      </c>
      <c r="M21" s="13">
        <f>IFERROR(AVERAGEIFS(DEBIT_HARIAN!$F$6:$F$9136,DEBIT_HARIAN!$B$6:$B$9136,$A21,DEBIT_HARIAN!$C$6:$C$9136,M$4,DEBIT_HARIAN!$E$6:$E$9136,M$5),"")</f>
        <v/>
      </c>
      <c r="N21" s="13">
        <f>IFERROR(AVERAGEIFS(DEBIT_HARIAN!$F$6:$F$9136,DEBIT_HARIAN!$B$6:$B$9136,$A21,DEBIT_HARIAN!$C$6:$C$9136,N$4,DEBIT_HARIAN!$E$6:$E$9136,N$5),"")</f>
        <v/>
      </c>
      <c r="O21" s="13">
        <f>IFERROR(AVERAGEIFS(DEBIT_HARIAN!$F$6:$F$9136,DEBIT_HARIAN!$B$6:$B$9136,$A21,DEBIT_HARIAN!$C$6:$C$9136,O$4,DEBIT_HARIAN!$E$6:$E$9136,O$5),"")</f>
        <v/>
      </c>
      <c r="P21" s="13">
        <f>IFERROR(AVERAGEIFS(DEBIT_HARIAN!$F$6:$F$9136,DEBIT_HARIAN!$B$6:$B$9136,$A21,DEBIT_HARIAN!$C$6:$C$9136,P$4,DEBIT_HARIAN!$E$6:$E$9136,P$5),"")</f>
        <v/>
      </c>
      <c r="Q21" s="13">
        <f>IFERROR(AVERAGEIFS(DEBIT_HARIAN!$F$6:$F$9136,DEBIT_HARIAN!$B$6:$B$9136,$A21,DEBIT_HARIAN!$C$6:$C$9136,Q$4,DEBIT_HARIAN!$E$6:$E$9136,Q$5),"")</f>
        <v/>
      </c>
      <c r="R21" s="13">
        <f>IFERROR(AVERAGEIFS(DEBIT_HARIAN!$F$6:$F$9136,DEBIT_HARIAN!$B$6:$B$9136,$A21,DEBIT_HARIAN!$C$6:$C$9136,R$4,DEBIT_HARIAN!$E$6:$E$9136,R$5),"")</f>
        <v/>
      </c>
      <c r="S21" s="13">
        <f>IFERROR(AVERAGEIFS(DEBIT_HARIAN!$F$6:$F$9136,DEBIT_HARIAN!$B$6:$B$9136,$A21,DEBIT_HARIAN!$C$6:$C$9136,S$4,DEBIT_HARIAN!$E$6:$E$9136,S$5),"")</f>
        <v/>
      </c>
      <c r="T21" s="13">
        <f>IFERROR(AVERAGEIFS(DEBIT_HARIAN!$F$6:$F$9136,DEBIT_HARIAN!$B$6:$B$9136,$A21,DEBIT_HARIAN!$C$6:$C$9136,T$4,DEBIT_HARIAN!$E$6:$E$9136,T$5),"")</f>
        <v/>
      </c>
      <c r="U21" s="13">
        <f>IFERROR(AVERAGEIFS(DEBIT_HARIAN!$F$6:$F$9136,DEBIT_HARIAN!$B$6:$B$9136,$A21,DEBIT_HARIAN!$C$6:$C$9136,U$4,DEBIT_HARIAN!$E$6:$E$9136,U$5),"")</f>
        <v/>
      </c>
      <c r="V21" s="13">
        <f>IFERROR(AVERAGEIFS(DEBIT_HARIAN!$F$6:$F$9136,DEBIT_HARIAN!$B$6:$B$9136,$A21,DEBIT_HARIAN!$C$6:$C$9136,V$4,DEBIT_HARIAN!$E$6:$E$9136,V$5),"")</f>
        <v/>
      </c>
      <c r="W21" s="13">
        <f>IFERROR(AVERAGEIFS(DEBIT_HARIAN!$F$6:$F$9136,DEBIT_HARIAN!$B$6:$B$9136,$A21,DEBIT_HARIAN!$C$6:$C$9136,W$4,DEBIT_HARIAN!$E$6:$E$9136,W$5),"")</f>
        <v/>
      </c>
      <c r="X21" s="13">
        <f>IFERROR(AVERAGEIFS(DEBIT_HARIAN!$F$6:$F$9136,DEBIT_HARIAN!$B$6:$B$9136,$A21,DEBIT_HARIAN!$C$6:$C$9136,X$4,DEBIT_HARIAN!$E$6:$E$9136,X$5),"")</f>
        <v/>
      </c>
      <c r="Y21" s="13">
        <f>IFERROR(AVERAGEIFS(DEBIT_HARIAN!$F$6:$F$9136,DEBIT_HARIAN!$B$6:$B$9136,$A21,DEBIT_HARIAN!$C$6:$C$9136,Y$4,DEBIT_HARIAN!$E$6:$E$9136,Y$5),"")</f>
        <v/>
      </c>
      <c r="Z21" s="10">
        <f>IFERROR(AVERAGEIFS(DEBIT_HARIAN!$F$6:$F$9136,DEBIT_HARIAN!$B$6:$B$9136,$A21),"")</f>
        <v/>
      </c>
    </row>
    <row r="22">
      <c r="A22" s="18" t="n">
        <v>2016</v>
      </c>
      <c r="B22" s="13">
        <f>IFERROR(AVERAGEIFS(DEBIT_HARIAN!$F$6:$F$9136,DEBIT_HARIAN!$B$6:$B$9136,$A22,DEBIT_HARIAN!$C$6:$C$9136,B$4,DEBIT_HARIAN!$E$6:$E$9136,B$5),"")</f>
        <v/>
      </c>
      <c r="C22" s="13">
        <f>IFERROR(AVERAGEIFS(DEBIT_HARIAN!$F$6:$F$9136,DEBIT_HARIAN!$B$6:$B$9136,$A22,DEBIT_HARIAN!$C$6:$C$9136,C$4,DEBIT_HARIAN!$E$6:$E$9136,C$5),"")</f>
        <v/>
      </c>
      <c r="D22" s="13">
        <f>IFERROR(AVERAGEIFS(DEBIT_HARIAN!$F$6:$F$9136,DEBIT_HARIAN!$B$6:$B$9136,$A22,DEBIT_HARIAN!$C$6:$C$9136,D$4,DEBIT_HARIAN!$E$6:$E$9136,D$5),"")</f>
        <v/>
      </c>
      <c r="E22" s="13">
        <f>IFERROR(AVERAGEIFS(DEBIT_HARIAN!$F$6:$F$9136,DEBIT_HARIAN!$B$6:$B$9136,$A22,DEBIT_HARIAN!$C$6:$C$9136,E$4,DEBIT_HARIAN!$E$6:$E$9136,E$5),"")</f>
        <v/>
      </c>
      <c r="F22" s="13">
        <f>IFERROR(AVERAGEIFS(DEBIT_HARIAN!$F$6:$F$9136,DEBIT_HARIAN!$B$6:$B$9136,$A22,DEBIT_HARIAN!$C$6:$C$9136,F$4,DEBIT_HARIAN!$E$6:$E$9136,F$5),"")</f>
        <v/>
      </c>
      <c r="G22" s="13">
        <f>IFERROR(AVERAGEIFS(DEBIT_HARIAN!$F$6:$F$9136,DEBIT_HARIAN!$B$6:$B$9136,$A22,DEBIT_HARIAN!$C$6:$C$9136,G$4,DEBIT_HARIAN!$E$6:$E$9136,G$5),"")</f>
        <v/>
      </c>
      <c r="H22" s="13">
        <f>IFERROR(AVERAGEIFS(DEBIT_HARIAN!$F$6:$F$9136,DEBIT_HARIAN!$B$6:$B$9136,$A22,DEBIT_HARIAN!$C$6:$C$9136,H$4,DEBIT_HARIAN!$E$6:$E$9136,H$5),"")</f>
        <v/>
      </c>
      <c r="I22" s="13">
        <f>IFERROR(AVERAGEIFS(DEBIT_HARIAN!$F$6:$F$9136,DEBIT_HARIAN!$B$6:$B$9136,$A22,DEBIT_HARIAN!$C$6:$C$9136,I$4,DEBIT_HARIAN!$E$6:$E$9136,I$5),"")</f>
        <v/>
      </c>
      <c r="J22" s="13">
        <f>IFERROR(AVERAGEIFS(DEBIT_HARIAN!$F$6:$F$9136,DEBIT_HARIAN!$B$6:$B$9136,$A22,DEBIT_HARIAN!$C$6:$C$9136,J$4,DEBIT_HARIAN!$E$6:$E$9136,J$5),"")</f>
        <v/>
      </c>
      <c r="K22" s="13">
        <f>IFERROR(AVERAGEIFS(DEBIT_HARIAN!$F$6:$F$9136,DEBIT_HARIAN!$B$6:$B$9136,$A22,DEBIT_HARIAN!$C$6:$C$9136,K$4,DEBIT_HARIAN!$E$6:$E$9136,K$5),"")</f>
        <v/>
      </c>
      <c r="L22" s="13">
        <f>IFERROR(AVERAGEIFS(DEBIT_HARIAN!$F$6:$F$9136,DEBIT_HARIAN!$B$6:$B$9136,$A22,DEBIT_HARIAN!$C$6:$C$9136,L$4,DEBIT_HARIAN!$E$6:$E$9136,L$5),"")</f>
        <v/>
      </c>
      <c r="M22" s="13">
        <f>IFERROR(AVERAGEIFS(DEBIT_HARIAN!$F$6:$F$9136,DEBIT_HARIAN!$B$6:$B$9136,$A22,DEBIT_HARIAN!$C$6:$C$9136,M$4,DEBIT_HARIAN!$E$6:$E$9136,M$5),"")</f>
        <v/>
      </c>
      <c r="N22" s="13">
        <f>IFERROR(AVERAGEIFS(DEBIT_HARIAN!$F$6:$F$9136,DEBIT_HARIAN!$B$6:$B$9136,$A22,DEBIT_HARIAN!$C$6:$C$9136,N$4,DEBIT_HARIAN!$E$6:$E$9136,N$5),"")</f>
        <v/>
      </c>
      <c r="O22" s="13">
        <f>IFERROR(AVERAGEIFS(DEBIT_HARIAN!$F$6:$F$9136,DEBIT_HARIAN!$B$6:$B$9136,$A22,DEBIT_HARIAN!$C$6:$C$9136,O$4,DEBIT_HARIAN!$E$6:$E$9136,O$5),"")</f>
        <v/>
      </c>
      <c r="P22" s="13">
        <f>IFERROR(AVERAGEIFS(DEBIT_HARIAN!$F$6:$F$9136,DEBIT_HARIAN!$B$6:$B$9136,$A22,DEBIT_HARIAN!$C$6:$C$9136,P$4,DEBIT_HARIAN!$E$6:$E$9136,P$5),"")</f>
        <v/>
      </c>
      <c r="Q22" s="13">
        <f>IFERROR(AVERAGEIFS(DEBIT_HARIAN!$F$6:$F$9136,DEBIT_HARIAN!$B$6:$B$9136,$A22,DEBIT_HARIAN!$C$6:$C$9136,Q$4,DEBIT_HARIAN!$E$6:$E$9136,Q$5),"")</f>
        <v/>
      </c>
      <c r="R22" s="13">
        <f>IFERROR(AVERAGEIFS(DEBIT_HARIAN!$F$6:$F$9136,DEBIT_HARIAN!$B$6:$B$9136,$A22,DEBIT_HARIAN!$C$6:$C$9136,R$4,DEBIT_HARIAN!$E$6:$E$9136,R$5),"")</f>
        <v/>
      </c>
      <c r="S22" s="13">
        <f>IFERROR(AVERAGEIFS(DEBIT_HARIAN!$F$6:$F$9136,DEBIT_HARIAN!$B$6:$B$9136,$A22,DEBIT_HARIAN!$C$6:$C$9136,S$4,DEBIT_HARIAN!$E$6:$E$9136,S$5),"")</f>
        <v/>
      </c>
      <c r="T22" s="13">
        <f>IFERROR(AVERAGEIFS(DEBIT_HARIAN!$F$6:$F$9136,DEBIT_HARIAN!$B$6:$B$9136,$A22,DEBIT_HARIAN!$C$6:$C$9136,T$4,DEBIT_HARIAN!$E$6:$E$9136,T$5),"")</f>
        <v/>
      </c>
      <c r="U22" s="13">
        <f>IFERROR(AVERAGEIFS(DEBIT_HARIAN!$F$6:$F$9136,DEBIT_HARIAN!$B$6:$B$9136,$A22,DEBIT_HARIAN!$C$6:$C$9136,U$4,DEBIT_HARIAN!$E$6:$E$9136,U$5),"")</f>
        <v/>
      </c>
      <c r="V22" s="13">
        <f>IFERROR(AVERAGEIFS(DEBIT_HARIAN!$F$6:$F$9136,DEBIT_HARIAN!$B$6:$B$9136,$A22,DEBIT_HARIAN!$C$6:$C$9136,V$4,DEBIT_HARIAN!$E$6:$E$9136,V$5),"")</f>
        <v/>
      </c>
      <c r="W22" s="13">
        <f>IFERROR(AVERAGEIFS(DEBIT_HARIAN!$F$6:$F$9136,DEBIT_HARIAN!$B$6:$B$9136,$A22,DEBIT_HARIAN!$C$6:$C$9136,W$4,DEBIT_HARIAN!$E$6:$E$9136,W$5),"")</f>
        <v/>
      </c>
      <c r="X22" s="13">
        <f>IFERROR(AVERAGEIFS(DEBIT_HARIAN!$F$6:$F$9136,DEBIT_HARIAN!$B$6:$B$9136,$A22,DEBIT_HARIAN!$C$6:$C$9136,X$4,DEBIT_HARIAN!$E$6:$E$9136,X$5),"")</f>
        <v/>
      </c>
      <c r="Y22" s="13">
        <f>IFERROR(AVERAGEIFS(DEBIT_HARIAN!$F$6:$F$9136,DEBIT_HARIAN!$B$6:$B$9136,$A22,DEBIT_HARIAN!$C$6:$C$9136,Y$4,DEBIT_HARIAN!$E$6:$E$9136,Y$5),"")</f>
        <v/>
      </c>
      <c r="Z22" s="10">
        <f>IFERROR(AVERAGEIFS(DEBIT_HARIAN!$F$6:$F$9136,DEBIT_HARIAN!$B$6:$B$9136,$A22),"")</f>
        <v/>
      </c>
    </row>
    <row r="23">
      <c r="A23" s="18" t="n">
        <v>2017</v>
      </c>
      <c r="B23" s="13">
        <f>IFERROR(AVERAGEIFS(DEBIT_HARIAN!$F$6:$F$9136,DEBIT_HARIAN!$B$6:$B$9136,$A23,DEBIT_HARIAN!$C$6:$C$9136,B$4,DEBIT_HARIAN!$E$6:$E$9136,B$5),"")</f>
        <v/>
      </c>
      <c r="C23" s="13">
        <f>IFERROR(AVERAGEIFS(DEBIT_HARIAN!$F$6:$F$9136,DEBIT_HARIAN!$B$6:$B$9136,$A23,DEBIT_HARIAN!$C$6:$C$9136,C$4,DEBIT_HARIAN!$E$6:$E$9136,C$5),"")</f>
        <v/>
      </c>
      <c r="D23" s="13">
        <f>IFERROR(AVERAGEIFS(DEBIT_HARIAN!$F$6:$F$9136,DEBIT_HARIAN!$B$6:$B$9136,$A23,DEBIT_HARIAN!$C$6:$C$9136,D$4,DEBIT_HARIAN!$E$6:$E$9136,D$5),"")</f>
        <v/>
      </c>
      <c r="E23" s="13">
        <f>IFERROR(AVERAGEIFS(DEBIT_HARIAN!$F$6:$F$9136,DEBIT_HARIAN!$B$6:$B$9136,$A23,DEBIT_HARIAN!$C$6:$C$9136,E$4,DEBIT_HARIAN!$E$6:$E$9136,E$5),"")</f>
        <v/>
      </c>
      <c r="F23" s="13">
        <f>IFERROR(AVERAGEIFS(DEBIT_HARIAN!$F$6:$F$9136,DEBIT_HARIAN!$B$6:$B$9136,$A23,DEBIT_HARIAN!$C$6:$C$9136,F$4,DEBIT_HARIAN!$E$6:$E$9136,F$5),"")</f>
        <v/>
      </c>
      <c r="G23" s="13">
        <f>IFERROR(AVERAGEIFS(DEBIT_HARIAN!$F$6:$F$9136,DEBIT_HARIAN!$B$6:$B$9136,$A23,DEBIT_HARIAN!$C$6:$C$9136,G$4,DEBIT_HARIAN!$E$6:$E$9136,G$5),"")</f>
        <v/>
      </c>
      <c r="H23" s="13">
        <f>IFERROR(AVERAGEIFS(DEBIT_HARIAN!$F$6:$F$9136,DEBIT_HARIAN!$B$6:$B$9136,$A23,DEBIT_HARIAN!$C$6:$C$9136,H$4,DEBIT_HARIAN!$E$6:$E$9136,H$5),"")</f>
        <v/>
      </c>
      <c r="I23" s="13">
        <f>IFERROR(AVERAGEIFS(DEBIT_HARIAN!$F$6:$F$9136,DEBIT_HARIAN!$B$6:$B$9136,$A23,DEBIT_HARIAN!$C$6:$C$9136,I$4,DEBIT_HARIAN!$E$6:$E$9136,I$5),"")</f>
        <v/>
      </c>
      <c r="J23" s="13">
        <f>IFERROR(AVERAGEIFS(DEBIT_HARIAN!$F$6:$F$9136,DEBIT_HARIAN!$B$6:$B$9136,$A23,DEBIT_HARIAN!$C$6:$C$9136,J$4,DEBIT_HARIAN!$E$6:$E$9136,J$5),"")</f>
        <v/>
      </c>
      <c r="K23" s="13">
        <f>IFERROR(AVERAGEIFS(DEBIT_HARIAN!$F$6:$F$9136,DEBIT_HARIAN!$B$6:$B$9136,$A23,DEBIT_HARIAN!$C$6:$C$9136,K$4,DEBIT_HARIAN!$E$6:$E$9136,K$5),"")</f>
        <v/>
      </c>
      <c r="L23" s="13">
        <f>IFERROR(AVERAGEIFS(DEBIT_HARIAN!$F$6:$F$9136,DEBIT_HARIAN!$B$6:$B$9136,$A23,DEBIT_HARIAN!$C$6:$C$9136,L$4,DEBIT_HARIAN!$E$6:$E$9136,L$5),"")</f>
        <v/>
      </c>
      <c r="M23" s="13">
        <f>IFERROR(AVERAGEIFS(DEBIT_HARIAN!$F$6:$F$9136,DEBIT_HARIAN!$B$6:$B$9136,$A23,DEBIT_HARIAN!$C$6:$C$9136,M$4,DEBIT_HARIAN!$E$6:$E$9136,M$5),"")</f>
        <v/>
      </c>
      <c r="N23" s="13">
        <f>IFERROR(AVERAGEIFS(DEBIT_HARIAN!$F$6:$F$9136,DEBIT_HARIAN!$B$6:$B$9136,$A23,DEBIT_HARIAN!$C$6:$C$9136,N$4,DEBIT_HARIAN!$E$6:$E$9136,N$5),"")</f>
        <v/>
      </c>
      <c r="O23" s="13">
        <f>IFERROR(AVERAGEIFS(DEBIT_HARIAN!$F$6:$F$9136,DEBIT_HARIAN!$B$6:$B$9136,$A23,DEBIT_HARIAN!$C$6:$C$9136,O$4,DEBIT_HARIAN!$E$6:$E$9136,O$5),"")</f>
        <v/>
      </c>
      <c r="P23" s="13">
        <f>IFERROR(AVERAGEIFS(DEBIT_HARIAN!$F$6:$F$9136,DEBIT_HARIAN!$B$6:$B$9136,$A23,DEBIT_HARIAN!$C$6:$C$9136,P$4,DEBIT_HARIAN!$E$6:$E$9136,P$5),"")</f>
        <v/>
      </c>
      <c r="Q23" s="13">
        <f>IFERROR(AVERAGEIFS(DEBIT_HARIAN!$F$6:$F$9136,DEBIT_HARIAN!$B$6:$B$9136,$A23,DEBIT_HARIAN!$C$6:$C$9136,Q$4,DEBIT_HARIAN!$E$6:$E$9136,Q$5),"")</f>
        <v/>
      </c>
      <c r="R23" s="13">
        <f>IFERROR(AVERAGEIFS(DEBIT_HARIAN!$F$6:$F$9136,DEBIT_HARIAN!$B$6:$B$9136,$A23,DEBIT_HARIAN!$C$6:$C$9136,R$4,DEBIT_HARIAN!$E$6:$E$9136,R$5),"")</f>
        <v/>
      </c>
      <c r="S23" s="13">
        <f>IFERROR(AVERAGEIFS(DEBIT_HARIAN!$F$6:$F$9136,DEBIT_HARIAN!$B$6:$B$9136,$A23,DEBIT_HARIAN!$C$6:$C$9136,S$4,DEBIT_HARIAN!$E$6:$E$9136,S$5),"")</f>
        <v/>
      </c>
      <c r="T23" s="13">
        <f>IFERROR(AVERAGEIFS(DEBIT_HARIAN!$F$6:$F$9136,DEBIT_HARIAN!$B$6:$B$9136,$A23,DEBIT_HARIAN!$C$6:$C$9136,T$4,DEBIT_HARIAN!$E$6:$E$9136,T$5),"")</f>
        <v/>
      </c>
      <c r="U23" s="13">
        <f>IFERROR(AVERAGEIFS(DEBIT_HARIAN!$F$6:$F$9136,DEBIT_HARIAN!$B$6:$B$9136,$A23,DEBIT_HARIAN!$C$6:$C$9136,U$4,DEBIT_HARIAN!$E$6:$E$9136,U$5),"")</f>
        <v/>
      </c>
      <c r="V23" s="13">
        <f>IFERROR(AVERAGEIFS(DEBIT_HARIAN!$F$6:$F$9136,DEBIT_HARIAN!$B$6:$B$9136,$A23,DEBIT_HARIAN!$C$6:$C$9136,V$4,DEBIT_HARIAN!$E$6:$E$9136,V$5),"")</f>
        <v/>
      </c>
      <c r="W23" s="13">
        <f>IFERROR(AVERAGEIFS(DEBIT_HARIAN!$F$6:$F$9136,DEBIT_HARIAN!$B$6:$B$9136,$A23,DEBIT_HARIAN!$C$6:$C$9136,W$4,DEBIT_HARIAN!$E$6:$E$9136,W$5),"")</f>
        <v/>
      </c>
      <c r="X23" s="13">
        <f>IFERROR(AVERAGEIFS(DEBIT_HARIAN!$F$6:$F$9136,DEBIT_HARIAN!$B$6:$B$9136,$A23,DEBIT_HARIAN!$C$6:$C$9136,X$4,DEBIT_HARIAN!$E$6:$E$9136,X$5),"")</f>
        <v/>
      </c>
      <c r="Y23" s="13">
        <f>IFERROR(AVERAGEIFS(DEBIT_HARIAN!$F$6:$F$9136,DEBIT_HARIAN!$B$6:$B$9136,$A23,DEBIT_HARIAN!$C$6:$C$9136,Y$4,DEBIT_HARIAN!$E$6:$E$9136,Y$5),"")</f>
        <v/>
      </c>
      <c r="Z23" s="10">
        <f>IFERROR(AVERAGEIFS(DEBIT_HARIAN!$F$6:$F$9136,DEBIT_HARIAN!$B$6:$B$9136,$A23),"")</f>
        <v/>
      </c>
    </row>
    <row r="24">
      <c r="A24" s="18" t="n">
        <v>2018</v>
      </c>
      <c r="B24" s="13">
        <f>IFERROR(AVERAGEIFS(DEBIT_HARIAN!$F$6:$F$9136,DEBIT_HARIAN!$B$6:$B$9136,$A24,DEBIT_HARIAN!$C$6:$C$9136,B$4,DEBIT_HARIAN!$E$6:$E$9136,B$5),"")</f>
        <v/>
      </c>
      <c r="C24" s="13">
        <f>IFERROR(AVERAGEIFS(DEBIT_HARIAN!$F$6:$F$9136,DEBIT_HARIAN!$B$6:$B$9136,$A24,DEBIT_HARIAN!$C$6:$C$9136,C$4,DEBIT_HARIAN!$E$6:$E$9136,C$5),"")</f>
        <v/>
      </c>
      <c r="D24" s="13">
        <f>IFERROR(AVERAGEIFS(DEBIT_HARIAN!$F$6:$F$9136,DEBIT_HARIAN!$B$6:$B$9136,$A24,DEBIT_HARIAN!$C$6:$C$9136,D$4,DEBIT_HARIAN!$E$6:$E$9136,D$5),"")</f>
        <v/>
      </c>
      <c r="E24" s="13">
        <f>IFERROR(AVERAGEIFS(DEBIT_HARIAN!$F$6:$F$9136,DEBIT_HARIAN!$B$6:$B$9136,$A24,DEBIT_HARIAN!$C$6:$C$9136,E$4,DEBIT_HARIAN!$E$6:$E$9136,E$5),"")</f>
        <v/>
      </c>
      <c r="F24" s="13">
        <f>IFERROR(AVERAGEIFS(DEBIT_HARIAN!$F$6:$F$9136,DEBIT_HARIAN!$B$6:$B$9136,$A24,DEBIT_HARIAN!$C$6:$C$9136,F$4,DEBIT_HARIAN!$E$6:$E$9136,F$5),"")</f>
        <v/>
      </c>
      <c r="G24" s="13">
        <f>IFERROR(AVERAGEIFS(DEBIT_HARIAN!$F$6:$F$9136,DEBIT_HARIAN!$B$6:$B$9136,$A24,DEBIT_HARIAN!$C$6:$C$9136,G$4,DEBIT_HARIAN!$E$6:$E$9136,G$5),"")</f>
        <v/>
      </c>
      <c r="H24" s="13">
        <f>IFERROR(AVERAGEIFS(DEBIT_HARIAN!$F$6:$F$9136,DEBIT_HARIAN!$B$6:$B$9136,$A24,DEBIT_HARIAN!$C$6:$C$9136,H$4,DEBIT_HARIAN!$E$6:$E$9136,H$5),"")</f>
        <v/>
      </c>
      <c r="I24" s="13">
        <f>IFERROR(AVERAGEIFS(DEBIT_HARIAN!$F$6:$F$9136,DEBIT_HARIAN!$B$6:$B$9136,$A24,DEBIT_HARIAN!$C$6:$C$9136,I$4,DEBIT_HARIAN!$E$6:$E$9136,I$5),"")</f>
        <v/>
      </c>
      <c r="J24" s="13">
        <f>IFERROR(AVERAGEIFS(DEBIT_HARIAN!$F$6:$F$9136,DEBIT_HARIAN!$B$6:$B$9136,$A24,DEBIT_HARIAN!$C$6:$C$9136,J$4,DEBIT_HARIAN!$E$6:$E$9136,J$5),"")</f>
        <v/>
      </c>
      <c r="K24" s="13">
        <f>IFERROR(AVERAGEIFS(DEBIT_HARIAN!$F$6:$F$9136,DEBIT_HARIAN!$B$6:$B$9136,$A24,DEBIT_HARIAN!$C$6:$C$9136,K$4,DEBIT_HARIAN!$E$6:$E$9136,K$5),"")</f>
        <v/>
      </c>
      <c r="L24" s="13">
        <f>IFERROR(AVERAGEIFS(DEBIT_HARIAN!$F$6:$F$9136,DEBIT_HARIAN!$B$6:$B$9136,$A24,DEBIT_HARIAN!$C$6:$C$9136,L$4,DEBIT_HARIAN!$E$6:$E$9136,L$5),"")</f>
        <v/>
      </c>
      <c r="M24" s="13">
        <f>IFERROR(AVERAGEIFS(DEBIT_HARIAN!$F$6:$F$9136,DEBIT_HARIAN!$B$6:$B$9136,$A24,DEBIT_HARIAN!$C$6:$C$9136,M$4,DEBIT_HARIAN!$E$6:$E$9136,M$5),"")</f>
        <v/>
      </c>
      <c r="N24" s="13">
        <f>IFERROR(AVERAGEIFS(DEBIT_HARIAN!$F$6:$F$9136,DEBIT_HARIAN!$B$6:$B$9136,$A24,DEBIT_HARIAN!$C$6:$C$9136,N$4,DEBIT_HARIAN!$E$6:$E$9136,N$5),"")</f>
        <v/>
      </c>
      <c r="O24" s="13">
        <f>IFERROR(AVERAGEIFS(DEBIT_HARIAN!$F$6:$F$9136,DEBIT_HARIAN!$B$6:$B$9136,$A24,DEBIT_HARIAN!$C$6:$C$9136,O$4,DEBIT_HARIAN!$E$6:$E$9136,O$5),"")</f>
        <v/>
      </c>
      <c r="P24" s="13">
        <f>IFERROR(AVERAGEIFS(DEBIT_HARIAN!$F$6:$F$9136,DEBIT_HARIAN!$B$6:$B$9136,$A24,DEBIT_HARIAN!$C$6:$C$9136,P$4,DEBIT_HARIAN!$E$6:$E$9136,P$5),"")</f>
        <v/>
      </c>
      <c r="Q24" s="13">
        <f>IFERROR(AVERAGEIFS(DEBIT_HARIAN!$F$6:$F$9136,DEBIT_HARIAN!$B$6:$B$9136,$A24,DEBIT_HARIAN!$C$6:$C$9136,Q$4,DEBIT_HARIAN!$E$6:$E$9136,Q$5),"")</f>
        <v/>
      </c>
      <c r="R24" s="13">
        <f>IFERROR(AVERAGEIFS(DEBIT_HARIAN!$F$6:$F$9136,DEBIT_HARIAN!$B$6:$B$9136,$A24,DEBIT_HARIAN!$C$6:$C$9136,R$4,DEBIT_HARIAN!$E$6:$E$9136,R$5),"")</f>
        <v/>
      </c>
      <c r="S24" s="13">
        <f>IFERROR(AVERAGEIFS(DEBIT_HARIAN!$F$6:$F$9136,DEBIT_HARIAN!$B$6:$B$9136,$A24,DEBIT_HARIAN!$C$6:$C$9136,S$4,DEBIT_HARIAN!$E$6:$E$9136,S$5),"")</f>
        <v/>
      </c>
      <c r="T24" s="13">
        <f>IFERROR(AVERAGEIFS(DEBIT_HARIAN!$F$6:$F$9136,DEBIT_HARIAN!$B$6:$B$9136,$A24,DEBIT_HARIAN!$C$6:$C$9136,T$4,DEBIT_HARIAN!$E$6:$E$9136,T$5),"")</f>
        <v/>
      </c>
      <c r="U24" s="13">
        <f>IFERROR(AVERAGEIFS(DEBIT_HARIAN!$F$6:$F$9136,DEBIT_HARIAN!$B$6:$B$9136,$A24,DEBIT_HARIAN!$C$6:$C$9136,U$4,DEBIT_HARIAN!$E$6:$E$9136,U$5),"")</f>
        <v/>
      </c>
      <c r="V24" s="13">
        <f>IFERROR(AVERAGEIFS(DEBIT_HARIAN!$F$6:$F$9136,DEBIT_HARIAN!$B$6:$B$9136,$A24,DEBIT_HARIAN!$C$6:$C$9136,V$4,DEBIT_HARIAN!$E$6:$E$9136,V$5),"")</f>
        <v/>
      </c>
      <c r="W24" s="13">
        <f>IFERROR(AVERAGEIFS(DEBIT_HARIAN!$F$6:$F$9136,DEBIT_HARIAN!$B$6:$B$9136,$A24,DEBIT_HARIAN!$C$6:$C$9136,W$4,DEBIT_HARIAN!$E$6:$E$9136,W$5),"")</f>
        <v/>
      </c>
      <c r="X24" s="13">
        <f>IFERROR(AVERAGEIFS(DEBIT_HARIAN!$F$6:$F$9136,DEBIT_HARIAN!$B$6:$B$9136,$A24,DEBIT_HARIAN!$C$6:$C$9136,X$4,DEBIT_HARIAN!$E$6:$E$9136,X$5),"")</f>
        <v/>
      </c>
      <c r="Y24" s="13">
        <f>IFERROR(AVERAGEIFS(DEBIT_HARIAN!$F$6:$F$9136,DEBIT_HARIAN!$B$6:$B$9136,$A24,DEBIT_HARIAN!$C$6:$C$9136,Y$4,DEBIT_HARIAN!$E$6:$E$9136,Y$5),"")</f>
        <v/>
      </c>
      <c r="Z24" s="10">
        <f>IFERROR(AVERAGEIFS(DEBIT_HARIAN!$F$6:$F$9136,DEBIT_HARIAN!$B$6:$B$9136,$A24),"")</f>
        <v/>
      </c>
    </row>
    <row r="25">
      <c r="A25" s="18" t="n">
        <v>2019</v>
      </c>
      <c r="B25" s="13">
        <f>IFERROR(AVERAGEIFS(DEBIT_HARIAN!$F$6:$F$9136,DEBIT_HARIAN!$B$6:$B$9136,$A25,DEBIT_HARIAN!$C$6:$C$9136,B$4,DEBIT_HARIAN!$E$6:$E$9136,B$5),"")</f>
        <v/>
      </c>
      <c r="C25" s="13">
        <f>IFERROR(AVERAGEIFS(DEBIT_HARIAN!$F$6:$F$9136,DEBIT_HARIAN!$B$6:$B$9136,$A25,DEBIT_HARIAN!$C$6:$C$9136,C$4,DEBIT_HARIAN!$E$6:$E$9136,C$5),"")</f>
        <v/>
      </c>
      <c r="D25" s="13">
        <f>IFERROR(AVERAGEIFS(DEBIT_HARIAN!$F$6:$F$9136,DEBIT_HARIAN!$B$6:$B$9136,$A25,DEBIT_HARIAN!$C$6:$C$9136,D$4,DEBIT_HARIAN!$E$6:$E$9136,D$5),"")</f>
        <v/>
      </c>
      <c r="E25" s="13">
        <f>IFERROR(AVERAGEIFS(DEBIT_HARIAN!$F$6:$F$9136,DEBIT_HARIAN!$B$6:$B$9136,$A25,DEBIT_HARIAN!$C$6:$C$9136,E$4,DEBIT_HARIAN!$E$6:$E$9136,E$5),"")</f>
        <v/>
      </c>
      <c r="F25" s="13">
        <f>IFERROR(AVERAGEIFS(DEBIT_HARIAN!$F$6:$F$9136,DEBIT_HARIAN!$B$6:$B$9136,$A25,DEBIT_HARIAN!$C$6:$C$9136,F$4,DEBIT_HARIAN!$E$6:$E$9136,F$5),"")</f>
        <v/>
      </c>
      <c r="G25" s="13">
        <f>IFERROR(AVERAGEIFS(DEBIT_HARIAN!$F$6:$F$9136,DEBIT_HARIAN!$B$6:$B$9136,$A25,DEBIT_HARIAN!$C$6:$C$9136,G$4,DEBIT_HARIAN!$E$6:$E$9136,G$5),"")</f>
        <v/>
      </c>
      <c r="H25" s="13">
        <f>IFERROR(AVERAGEIFS(DEBIT_HARIAN!$F$6:$F$9136,DEBIT_HARIAN!$B$6:$B$9136,$A25,DEBIT_HARIAN!$C$6:$C$9136,H$4,DEBIT_HARIAN!$E$6:$E$9136,H$5),"")</f>
        <v/>
      </c>
      <c r="I25" s="13">
        <f>IFERROR(AVERAGEIFS(DEBIT_HARIAN!$F$6:$F$9136,DEBIT_HARIAN!$B$6:$B$9136,$A25,DEBIT_HARIAN!$C$6:$C$9136,I$4,DEBIT_HARIAN!$E$6:$E$9136,I$5),"")</f>
        <v/>
      </c>
      <c r="J25" s="13">
        <f>IFERROR(AVERAGEIFS(DEBIT_HARIAN!$F$6:$F$9136,DEBIT_HARIAN!$B$6:$B$9136,$A25,DEBIT_HARIAN!$C$6:$C$9136,J$4,DEBIT_HARIAN!$E$6:$E$9136,J$5),"")</f>
        <v/>
      </c>
      <c r="K25" s="13">
        <f>IFERROR(AVERAGEIFS(DEBIT_HARIAN!$F$6:$F$9136,DEBIT_HARIAN!$B$6:$B$9136,$A25,DEBIT_HARIAN!$C$6:$C$9136,K$4,DEBIT_HARIAN!$E$6:$E$9136,K$5),"")</f>
        <v/>
      </c>
      <c r="L25" s="13">
        <f>IFERROR(AVERAGEIFS(DEBIT_HARIAN!$F$6:$F$9136,DEBIT_HARIAN!$B$6:$B$9136,$A25,DEBIT_HARIAN!$C$6:$C$9136,L$4,DEBIT_HARIAN!$E$6:$E$9136,L$5),"")</f>
        <v/>
      </c>
      <c r="M25" s="13">
        <f>IFERROR(AVERAGEIFS(DEBIT_HARIAN!$F$6:$F$9136,DEBIT_HARIAN!$B$6:$B$9136,$A25,DEBIT_HARIAN!$C$6:$C$9136,M$4,DEBIT_HARIAN!$E$6:$E$9136,M$5),"")</f>
        <v/>
      </c>
      <c r="N25" s="13">
        <f>IFERROR(AVERAGEIFS(DEBIT_HARIAN!$F$6:$F$9136,DEBIT_HARIAN!$B$6:$B$9136,$A25,DEBIT_HARIAN!$C$6:$C$9136,N$4,DEBIT_HARIAN!$E$6:$E$9136,N$5),"")</f>
        <v/>
      </c>
      <c r="O25" s="13">
        <f>IFERROR(AVERAGEIFS(DEBIT_HARIAN!$F$6:$F$9136,DEBIT_HARIAN!$B$6:$B$9136,$A25,DEBIT_HARIAN!$C$6:$C$9136,O$4,DEBIT_HARIAN!$E$6:$E$9136,O$5),"")</f>
        <v/>
      </c>
      <c r="P25" s="13">
        <f>IFERROR(AVERAGEIFS(DEBIT_HARIAN!$F$6:$F$9136,DEBIT_HARIAN!$B$6:$B$9136,$A25,DEBIT_HARIAN!$C$6:$C$9136,P$4,DEBIT_HARIAN!$E$6:$E$9136,P$5),"")</f>
        <v/>
      </c>
      <c r="Q25" s="13">
        <f>IFERROR(AVERAGEIFS(DEBIT_HARIAN!$F$6:$F$9136,DEBIT_HARIAN!$B$6:$B$9136,$A25,DEBIT_HARIAN!$C$6:$C$9136,Q$4,DEBIT_HARIAN!$E$6:$E$9136,Q$5),"")</f>
        <v/>
      </c>
      <c r="R25" s="13">
        <f>IFERROR(AVERAGEIFS(DEBIT_HARIAN!$F$6:$F$9136,DEBIT_HARIAN!$B$6:$B$9136,$A25,DEBIT_HARIAN!$C$6:$C$9136,R$4,DEBIT_HARIAN!$E$6:$E$9136,R$5),"")</f>
        <v/>
      </c>
      <c r="S25" s="13">
        <f>IFERROR(AVERAGEIFS(DEBIT_HARIAN!$F$6:$F$9136,DEBIT_HARIAN!$B$6:$B$9136,$A25,DEBIT_HARIAN!$C$6:$C$9136,S$4,DEBIT_HARIAN!$E$6:$E$9136,S$5),"")</f>
        <v/>
      </c>
      <c r="T25" s="13">
        <f>IFERROR(AVERAGEIFS(DEBIT_HARIAN!$F$6:$F$9136,DEBIT_HARIAN!$B$6:$B$9136,$A25,DEBIT_HARIAN!$C$6:$C$9136,T$4,DEBIT_HARIAN!$E$6:$E$9136,T$5),"")</f>
        <v/>
      </c>
      <c r="U25" s="13">
        <f>IFERROR(AVERAGEIFS(DEBIT_HARIAN!$F$6:$F$9136,DEBIT_HARIAN!$B$6:$B$9136,$A25,DEBIT_HARIAN!$C$6:$C$9136,U$4,DEBIT_HARIAN!$E$6:$E$9136,U$5),"")</f>
        <v/>
      </c>
      <c r="V25" s="13">
        <f>IFERROR(AVERAGEIFS(DEBIT_HARIAN!$F$6:$F$9136,DEBIT_HARIAN!$B$6:$B$9136,$A25,DEBIT_HARIAN!$C$6:$C$9136,V$4,DEBIT_HARIAN!$E$6:$E$9136,V$5),"")</f>
        <v/>
      </c>
      <c r="W25" s="13">
        <f>IFERROR(AVERAGEIFS(DEBIT_HARIAN!$F$6:$F$9136,DEBIT_HARIAN!$B$6:$B$9136,$A25,DEBIT_HARIAN!$C$6:$C$9136,W$4,DEBIT_HARIAN!$E$6:$E$9136,W$5),"")</f>
        <v/>
      </c>
      <c r="X25" s="13">
        <f>IFERROR(AVERAGEIFS(DEBIT_HARIAN!$F$6:$F$9136,DEBIT_HARIAN!$B$6:$B$9136,$A25,DEBIT_HARIAN!$C$6:$C$9136,X$4,DEBIT_HARIAN!$E$6:$E$9136,X$5),"")</f>
        <v/>
      </c>
      <c r="Y25" s="13">
        <f>IFERROR(AVERAGEIFS(DEBIT_HARIAN!$F$6:$F$9136,DEBIT_HARIAN!$B$6:$B$9136,$A25,DEBIT_HARIAN!$C$6:$C$9136,Y$4,DEBIT_HARIAN!$E$6:$E$9136,Y$5),"")</f>
        <v/>
      </c>
      <c r="Z25" s="10">
        <f>IFERROR(AVERAGEIFS(DEBIT_HARIAN!$F$6:$F$9136,DEBIT_HARIAN!$B$6:$B$9136,$A25),"")</f>
        <v/>
      </c>
    </row>
    <row r="26">
      <c r="A26" s="18" t="n">
        <v>2020</v>
      </c>
      <c r="B26" s="13">
        <f>IFERROR(AVERAGEIFS(DEBIT_HARIAN!$F$6:$F$9136,DEBIT_HARIAN!$B$6:$B$9136,$A26,DEBIT_HARIAN!$C$6:$C$9136,B$4,DEBIT_HARIAN!$E$6:$E$9136,B$5),"")</f>
        <v/>
      </c>
      <c r="C26" s="13">
        <f>IFERROR(AVERAGEIFS(DEBIT_HARIAN!$F$6:$F$9136,DEBIT_HARIAN!$B$6:$B$9136,$A26,DEBIT_HARIAN!$C$6:$C$9136,C$4,DEBIT_HARIAN!$E$6:$E$9136,C$5),"")</f>
        <v/>
      </c>
      <c r="D26" s="13">
        <f>IFERROR(AVERAGEIFS(DEBIT_HARIAN!$F$6:$F$9136,DEBIT_HARIAN!$B$6:$B$9136,$A26,DEBIT_HARIAN!$C$6:$C$9136,D$4,DEBIT_HARIAN!$E$6:$E$9136,D$5),"")</f>
        <v/>
      </c>
      <c r="E26" s="13">
        <f>IFERROR(AVERAGEIFS(DEBIT_HARIAN!$F$6:$F$9136,DEBIT_HARIAN!$B$6:$B$9136,$A26,DEBIT_HARIAN!$C$6:$C$9136,E$4,DEBIT_HARIAN!$E$6:$E$9136,E$5),"")</f>
        <v/>
      </c>
      <c r="F26" s="13">
        <f>IFERROR(AVERAGEIFS(DEBIT_HARIAN!$F$6:$F$9136,DEBIT_HARIAN!$B$6:$B$9136,$A26,DEBIT_HARIAN!$C$6:$C$9136,F$4,DEBIT_HARIAN!$E$6:$E$9136,F$5),"")</f>
        <v/>
      </c>
      <c r="G26" s="13">
        <f>IFERROR(AVERAGEIFS(DEBIT_HARIAN!$F$6:$F$9136,DEBIT_HARIAN!$B$6:$B$9136,$A26,DEBIT_HARIAN!$C$6:$C$9136,G$4,DEBIT_HARIAN!$E$6:$E$9136,G$5),"")</f>
        <v/>
      </c>
      <c r="H26" s="13">
        <f>IFERROR(AVERAGEIFS(DEBIT_HARIAN!$F$6:$F$9136,DEBIT_HARIAN!$B$6:$B$9136,$A26,DEBIT_HARIAN!$C$6:$C$9136,H$4,DEBIT_HARIAN!$E$6:$E$9136,H$5),"")</f>
        <v/>
      </c>
      <c r="I26" s="13">
        <f>IFERROR(AVERAGEIFS(DEBIT_HARIAN!$F$6:$F$9136,DEBIT_HARIAN!$B$6:$B$9136,$A26,DEBIT_HARIAN!$C$6:$C$9136,I$4,DEBIT_HARIAN!$E$6:$E$9136,I$5),"")</f>
        <v/>
      </c>
      <c r="J26" s="13">
        <f>IFERROR(AVERAGEIFS(DEBIT_HARIAN!$F$6:$F$9136,DEBIT_HARIAN!$B$6:$B$9136,$A26,DEBIT_HARIAN!$C$6:$C$9136,J$4,DEBIT_HARIAN!$E$6:$E$9136,J$5),"")</f>
        <v/>
      </c>
      <c r="K26" s="13">
        <f>IFERROR(AVERAGEIFS(DEBIT_HARIAN!$F$6:$F$9136,DEBIT_HARIAN!$B$6:$B$9136,$A26,DEBIT_HARIAN!$C$6:$C$9136,K$4,DEBIT_HARIAN!$E$6:$E$9136,K$5),"")</f>
        <v/>
      </c>
      <c r="L26" s="13">
        <f>IFERROR(AVERAGEIFS(DEBIT_HARIAN!$F$6:$F$9136,DEBIT_HARIAN!$B$6:$B$9136,$A26,DEBIT_HARIAN!$C$6:$C$9136,L$4,DEBIT_HARIAN!$E$6:$E$9136,L$5),"")</f>
        <v/>
      </c>
      <c r="M26" s="13">
        <f>IFERROR(AVERAGEIFS(DEBIT_HARIAN!$F$6:$F$9136,DEBIT_HARIAN!$B$6:$B$9136,$A26,DEBIT_HARIAN!$C$6:$C$9136,M$4,DEBIT_HARIAN!$E$6:$E$9136,M$5),"")</f>
        <v/>
      </c>
      <c r="N26" s="13">
        <f>IFERROR(AVERAGEIFS(DEBIT_HARIAN!$F$6:$F$9136,DEBIT_HARIAN!$B$6:$B$9136,$A26,DEBIT_HARIAN!$C$6:$C$9136,N$4,DEBIT_HARIAN!$E$6:$E$9136,N$5),"")</f>
        <v/>
      </c>
      <c r="O26" s="13">
        <f>IFERROR(AVERAGEIFS(DEBIT_HARIAN!$F$6:$F$9136,DEBIT_HARIAN!$B$6:$B$9136,$A26,DEBIT_HARIAN!$C$6:$C$9136,O$4,DEBIT_HARIAN!$E$6:$E$9136,O$5),"")</f>
        <v/>
      </c>
      <c r="P26" s="13">
        <f>IFERROR(AVERAGEIFS(DEBIT_HARIAN!$F$6:$F$9136,DEBIT_HARIAN!$B$6:$B$9136,$A26,DEBIT_HARIAN!$C$6:$C$9136,P$4,DEBIT_HARIAN!$E$6:$E$9136,P$5),"")</f>
        <v/>
      </c>
      <c r="Q26" s="13">
        <f>IFERROR(AVERAGEIFS(DEBIT_HARIAN!$F$6:$F$9136,DEBIT_HARIAN!$B$6:$B$9136,$A26,DEBIT_HARIAN!$C$6:$C$9136,Q$4,DEBIT_HARIAN!$E$6:$E$9136,Q$5),"")</f>
        <v/>
      </c>
      <c r="R26" s="13">
        <f>IFERROR(AVERAGEIFS(DEBIT_HARIAN!$F$6:$F$9136,DEBIT_HARIAN!$B$6:$B$9136,$A26,DEBIT_HARIAN!$C$6:$C$9136,R$4,DEBIT_HARIAN!$E$6:$E$9136,R$5),"")</f>
        <v/>
      </c>
      <c r="S26" s="13">
        <f>IFERROR(AVERAGEIFS(DEBIT_HARIAN!$F$6:$F$9136,DEBIT_HARIAN!$B$6:$B$9136,$A26,DEBIT_HARIAN!$C$6:$C$9136,S$4,DEBIT_HARIAN!$E$6:$E$9136,S$5),"")</f>
        <v/>
      </c>
      <c r="T26" s="13">
        <f>IFERROR(AVERAGEIFS(DEBIT_HARIAN!$F$6:$F$9136,DEBIT_HARIAN!$B$6:$B$9136,$A26,DEBIT_HARIAN!$C$6:$C$9136,T$4,DEBIT_HARIAN!$E$6:$E$9136,T$5),"")</f>
        <v/>
      </c>
      <c r="U26" s="13">
        <f>IFERROR(AVERAGEIFS(DEBIT_HARIAN!$F$6:$F$9136,DEBIT_HARIAN!$B$6:$B$9136,$A26,DEBIT_HARIAN!$C$6:$C$9136,U$4,DEBIT_HARIAN!$E$6:$E$9136,U$5),"")</f>
        <v/>
      </c>
      <c r="V26" s="13">
        <f>IFERROR(AVERAGEIFS(DEBIT_HARIAN!$F$6:$F$9136,DEBIT_HARIAN!$B$6:$B$9136,$A26,DEBIT_HARIAN!$C$6:$C$9136,V$4,DEBIT_HARIAN!$E$6:$E$9136,V$5),"")</f>
        <v/>
      </c>
      <c r="W26" s="13">
        <f>IFERROR(AVERAGEIFS(DEBIT_HARIAN!$F$6:$F$9136,DEBIT_HARIAN!$B$6:$B$9136,$A26,DEBIT_HARIAN!$C$6:$C$9136,W$4,DEBIT_HARIAN!$E$6:$E$9136,W$5),"")</f>
        <v/>
      </c>
      <c r="X26" s="13">
        <f>IFERROR(AVERAGEIFS(DEBIT_HARIAN!$F$6:$F$9136,DEBIT_HARIAN!$B$6:$B$9136,$A26,DEBIT_HARIAN!$C$6:$C$9136,X$4,DEBIT_HARIAN!$E$6:$E$9136,X$5),"")</f>
        <v/>
      </c>
      <c r="Y26" s="13">
        <f>IFERROR(AVERAGEIFS(DEBIT_HARIAN!$F$6:$F$9136,DEBIT_HARIAN!$B$6:$B$9136,$A26,DEBIT_HARIAN!$C$6:$C$9136,Y$4,DEBIT_HARIAN!$E$6:$E$9136,Y$5),"")</f>
        <v/>
      </c>
      <c r="Z26" s="10">
        <f>IFERROR(AVERAGEIFS(DEBIT_HARIAN!$F$6:$F$9136,DEBIT_HARIAN!$B$6:$B$9136,$A26),"")</f>
        <v/>
      </c>
    </row>
    <row r="27">
      <c r="A27" s="18" t="n">
        <v>2021</v>
      </c>
      <c r="B27" s="13">
        <f>IFERROR(AVERAGEIFS(DEBIT_HARIAN!$F$6:$F$9136,DEBIT_HARIAN!$B$6:$B$9136,$A27,DEBIT_HARIAN!$C$6:$C$9136,B$4,DEBIT_HARIAN!$E$6:$E$9136,B$5),"")</f>
        <v/>
      </c>
      <c r="C27" s="13">
        <f>IFERROR(AVERAGEIFS(DEBIT_HARIAN!$F$6:$F$9136,DEBIT_HARIAN!$B$6:$B$9136,$A27,DEBIT_HARIAN!$C$6:$C$9136,C$4,DEBIT_HARIAN!$E$6:$E$9136,C$5),"")</f>
        <v/>
      </c>
      <c r="D27" s="13">
        <f>IFERROR(AVERAGEIFS(DEBIT_HARIAN!$F$6:$F$9136,DEBIT_HARIAN!$B$6:$B$9136,$A27,DEBIT_HARIAN!$C$6:$C$9136,D$4,DEBIT_HARIAN!$E$6:$E$9136,D$5),"")</f>
        <v/>
      </c>
      <c r="E27" s="13">
        <f>IFERROR(AVERAGEIFS(DEBIT_HARIAN!$F$6:$F$9136,DEBIT_HARIAN!$B$6:$B$9136,$A27,DEBIT_HARIAN!$C$6:$C$9136,E$4,DEBIT_HARIAN!$E$6:$E$9136,E$5),"")</f>
        <v/>
      </c>
      <c r="F27" s="13">
        <f>IFERROR(AVERAGEIFS(DEBIT_HARIAN!$F$6:$F$9136,DEBIT_HARIAN!$B$6:$B$9136,$A27,DEBIT_HARIAN!$C$6:$C$9136,F$4,DEBIT_HARIAN!$E$6:$E$9136,F$5),"")</f>
        <v/>
      </c>
      <c r="G27" s="13">
        <f>IFERROR(AVERAGEIFS(DEBIT_HARIAN!$F$6:$F$9136,DEBIT_HARIAN!$B$6:$B$9136,$A27,DEBIT_HARIAN!$C$6:$C$9136,G$4,DEBIT_HARIAN!$E$6:$E$9136,G$5),"")</f>
        <v/>
      </c>
      <c r="H27" s="13">
        <f>IFERROR(AVERAGEIFS(DEBIT_HARIAN!$F$6:$F$9136,DEBIT_HARIAN!$B$6:$B$9136,$A27,DEBIT_HARIAN!$C$6:$C$9136,H$4,DEBIT_HARIAN!$E$6:$E$9136,H$5),"")</f>
        <v/>
      </c>
      <c r="I27" s="13">
        <f>IFERROR(AVERAGEIFS(DEBIT_HARIAN!$F$6:$F$9136,DEBIT_HARIAN!$B$6:$B$9136,$A27,DEBIT_HARIAN!$C$6:$C$9136,I$4,DEBIT_HARIAN!$E$6:$E$9136,I$5),"")</f>
        <v/>
      </c>
      <c r="J27" s="13">
        <f>IFERROR(AVERAGEIFS(DEBIT_HARIAN!$F$6:$F$9136,DEBIT_HARIAN!$B$6:$B$9136,$A27,DEBIT_HARIAN!$C$6:$C$9136,J$4,DEBIT_HARIAN!$E$6:$E$9136,J$5),"")</f>
        <v/>
      </c>
      <c r="K27" s="13">
        <f>IFERROR(AVERAGEIFS(DEBIT_HARIAN!$F$6:$F$9136,DEBIT_HARIAN!$B$6:$B$9136,$A27,DEBIT_HARIAN!$C$6:$C$9136,K$4,DEBIT_HARIAN!$E$6:$E$9136,K$5),"")</f>
        <v/>
      </c>
      <c r="L27" s="13">
        <f>IFERROR(AVERAGEIFS(DEBIT_HARIAN!$F$6:$F$9136,DEBIT_HARIAN!$B$6:$B$9136,$A27,DEBIT_HARIAN!$C$6:$C$9136,L$4,DEBIT_HARIAN!$E$6:$E$9136,L$5),"")</f>
        <v/>
      </c>
      <c r="M27" s="13">
        <f>IFERROR(AVERAGEIFS(DEBIT_HARIAN!$F$6:$F$9136,DEBIT_HARIAN!$B$6:$B$9136,$A27,DEBIT_HARIAN!$C$6:$C$9136,M$4,DEBIT_HARIAN!$E$6:$E$9136,M$5),"")</f>
        <v/>
      </c>
      <c r="N27" s="13">
        <f>IFERROR(AVERAGEIFS(DEBIT_HARIAN!$F$6:$F$9136,DEBIT_HARIAN!$B$6:$B$9136,$A27,DEBIT_HARIAN!$C$6:$C$9136,N$4,DEBIT_HARIAN!$E$6:$E$9136,N$5),"")</f>
        <v/>
      </c>
      <c r="O27" s="13">
        <f>IFERROR(AVERAGEIFS(DEBIT_HARIAN!$F$6:$F$9136,DEBIT_HARIAN!$B$6:$B$9136,$A27,DEBIT_HARIAN!$C$6:$C$9136,O$4,DEBIT_HARIAN!$E$6:$E$9136,O$5),"")</f>
        <v/>
      </c>
      <c r="P27" s="13">
        <f>IFERROR(AVERAGEIFS(DEBIT_HARIAN!$F$6:$F$9136,DEBIT_HARIAN!$B$6:$B$9136,$A27,DEBIT_HARIAN!$C$6:$C$9136,P$4,DEBIT_HARIAN!$E$6:$E$9136,P$5),"")</f>
        <v/>
      </c>
      <c r="Q27" s="13">
        <f>IFERROR(AVERAGEIFS(DEBIT_HARIAN!$F$6:$F$9136,DEBIT_HARIAN!$B$6:$B$9136,$A27,DEBIT_HARIAN!$C$6:$C$9136,Q$4,DEBIT_HARIAN!$E$6:$E$9136,Q$5),"")</f>
        <v/>
      </c>
      <c r="R27" s="13">
        <f>IFERROR(AVERAGEIFS(DEBIT_HARIAN!$F$6:$F$9136,DEBIT_HARIAN!$B$6:$B$9136,$A27,DEBIT_HARIAN!$C$6:$C$9136,R$4,DEBIT_HARIAN!$E$6:$E$9136,R$5),"")</f>
        <v/>
      </c>
      <c r="S27" s="13">
        <f>IFERROR(AVERAGEIFS(DEBIT_HARIAN!$F$6:$F$9136,DEBIT_HARIAN!$B$6:$B$9136,$A27,DEBIT_HARIAN!$C$6:$C$9136,S$4,DEBIT_HARIAN!$E$6:$E$9136,S$5),"")</f>
        <v/>
      </c>
      <c r="T27" s="13">
        <f>IFERROR(AVERAGEIFS(DEBIT_HARIAN!$F$6:$F$9136,DEBIT_HARIAN!$B$6:$B$9136,$A27,DEBIT_HARIAN!$C$6:$C$9136,T$4,DEBIT_HARIAN!$E$6:$E$9136,T$5),"")</f>
        <v/>
      </c>
      <c r="U27" s="13">
        <f>IFERROR(AVERAGEIFS(DEBIT_HARIAN!$F$6:$F$9136,DEBIT_HARIAN!$B$6:$B$9136,$A27,DEBIT_HARIAN!$C$6:$C$9136,U$4,DEBIT_HARIAN!$E$6:$E$9136,U$5),"")</f>
        <v/>
      </c>
      <c r="V27" s="13">
        <f>IFERROR(AVERAGEIFS(DEBIT_HARIAN!$F$6:$F$9136,DEBIT_HARIAN!$B$6:$B$9136,$A27,DEBIT_HARIAN!$C$6:$C$9136,V$4,DEBIT_HARIAN!$E$6:$E$9136,V$5),"")</f>
        <v/>
      </c>
      <c r="W27" s="13">
        <f>IFERROR(AVERAGEIFS(DEBIT_HARIAN!$F$6:$F$9136,DEBIT_HARIAN!$B$6:$B$9136,$A27,DEBIT_HARIAN!$C$6:$C$9136,W$4,DEBIT_HARIAN!$E$6:$E$9136,W$5),"")</f>
        <v/>
      </c>
      <c r="X27" s="13">
        <f>IFERROR(AVERAGEIFS(DEBIT_HARIAN!$F$6:$F$9136,DEBIT_HARIAN!$B$6:$B$9136,$A27,DEBIT_HARIAN!$C$6:$C$9136,X$4,DEBIT_HARIAN!$E$6:$E$9136,X$5),"")</f>
        <v/>
      </c>
      <c r="Y27" s="13">
        <f>IFERROR(AVERAGEIFS(DEBIT_HARIAN!$F$6:$F$9136,DEBIT_HARIAN!$B$6:$B$9136,$A27,DEBIT_HARIAN!$C$6:$C$9136,Y$4,DEBIT_HARIAN!$E$6:$E$9136,Y$5),"")</f>
        <v/>
      </c>
      <c r="Z27" s="10">
        <f>IFERROR(AVERAGEIFS(DEBIT_HARIAN!$F$6:$F$9136,DEBIT_HARIAN!$B$6:$B$9136,$A27),"")</f>
        <v/>
      </c>
    </row>
    <row r="28">
      <c r="A28" s="18" t="n">
        <v>2022</v>
      </c>
      <c r="B28" s="13">
        <f>IFERROR(AVERAGEIFS(DEBIT_HARIAN!$F$6:$F$9136,DEBIT_HARIAN!$B$6:$B$9136,$A28,DEBIT_HARIAN!$C$6:$C$9136,B$4,DEBIT_HARIAN!$E$6:$E$9136,B$5),"")</f>
        <v/>
      </c>
      <c r="C28" s="13">
        <f>IFERROR(AVERAGEIFS(DEBIT_HARIAN!$F$6:$F$9136,DEBIT_HARIAN!$B$6:$B$9136,$A28,DEBIT_HARIAN!$C$6:$C$9136,C$4,DEBIT_HARIAN!$E$6:$E$9136,C$5),"")</f>
        <v/>
      </c>
      <c r="D28" s="13">
        <f>IFERROR(AVERAGEIFS(DEBIT_HARIAN!$F$6:$F$9136,DEBIT_HARIAN!$B$6:$B$9136,$A28,DEBIT_HARIAN!$C$6:$C$9136,D$4,DEBIT_HARIAN!$E$6:$E$9136,D$5),"")</f>
        <v/>
      </c>
      <c r="E28" s="13">
        <f>IFERROR(AVERAGEIFS(DEBIT_HARIAN!$F$6:$F$9136,DEBIT_HARIAN!$B$6:$B$9136,$A28,DEBIT_HARIAN!$C$6:$C$9136,E$4,DEBIT_HARIAN!$E$6:$E$9136,E$5),"")</f>
        <v/>
      </c>
      <c r="F28" s="13">
        <f>IFERROR(AVERAGEIFS(DEBIT_HARIAN!$F$6:$F$9136,DEBIT_HARIAN!$B$6:$B$9136,$A28,DEBIT_HARIAN!$C$6:$C$9136,F$4,DEBIT_HARIAN!$E$6:$E$9136,F$5),"")</f>
        <v/>
      </c>
      <c r="G28" s="13">
        <f>IFERROR(AVERAGEIFS(DEBIT_HARIAN!$F$6:$F$9136,DEBIT_HARIAN!$B$6:$B$9136,$A28,DEBIT_HARIAN!$C$6:$C$9136,G$4,DEBIT_HARIAN!$E$6:$E$9136,G$5),"")</f>
        <v/>
      </c>
      <c r="H28" s="13">
        <f>IFERROR(AVERAGEIFS(DEBIT_HARIAN!$F$6:$F$9136,DEBIT_HARIAN!$B$6:$B$9136,$A28,DEBIT_HARIAN!$C$6:$C$9136,H$4,DEBIT_HARIAN!$E$6:$E$9136,H$5),"")</f>
        <v/>
      </c>
      <c r="I28" s="13">
        <f>IFERROR(AVERAGEIFS(DEBIT_HARIAN!$F$6:$F$9136,DEBIT_HARIAN!$B$6:$B$9136,$A28,DEBIT_HARIAN!$C$6:$C$9136,I$4,DEBIT_HARIAN!$E$6:$E$9136,I$5),"")</f>
        <v/>
      </c>
      <c r="J28" s="13">
        <f>IFERROR(AVERAGEIFS(DEBIT_HARIAN!$F$6:$F$9136,DEBIT_HARIAN!$B$6:$B$9136,$A28,DEBIT_HARIAN!$C$6:$C$9136,J$4,DEBIT_HARIAN!$E$6:$E$9136,J$5),"")</f>
        <v/>
      </c>
      <c r="K28" s="13">
        <f>IFERROR(AVERAGEIFS(DEBIT_HARIAN!$F$6:$F$9136,DEBIT_HARIAN!$B$6:$B$9136,$A28,DEBIT_HARIAN!$C$6:$C$9136,K$4,DEBIT_HARIAN!$E$6:$E$9136,K$5),"")</f>
        <v/>
      </c>
      <c r="L28" s="13">
        <f>IFERROR(AVERAGEIFS(DEBIT_HARIAN!$F$6:$F$9136,DEBIT_HARIAN!$B$6:$B$9136,$A28,DEBIT_HARIAN!$C$6:$C$9136,L$4,DEBIT_HARIAN!$E$6:$E$9136,L$5),"")</f>
        <v/>
      </c>
      <c r="M28" s="13">
        <f>IFERROR(AVERAGEIFS(DEBIT_HARIAN!$F$6:$F$9136,DEBIT_HARIAN!$B$6:$B$9136,$A28,DEBIT_HARIAN!$C$6:$C$9136,M$4,DEBIT_HARIAN!$E$6:$E$9136,M$5),"")</f>
        <v/>
      </c>
      <c r="N28" s="13">
        <f>IFERROR(AVERAGEIFS(DEBIT_HARIAN!$F$6:$F$9136,DEBIT_HARIAN!$B$6:$B$9136,$A28,DEBIT_HARIAN!$C$6:$C$9136,N$4,DEBIT_HARIAN!$E$6:$E$9136,N$5),"")</f>
        <v/>
      </c>
      <c r="O28" s="13">
        <f>IFERROR(AVERAGEIFS(DEBIT_HARIAN!$F$6:$F$9136,DEBIT_HARIAN!$B$6:$B$9136,$A28,DEBIT_HARIAN!$C$6:$C$9136,O$4,DEBIT_HARIAN!$E$6:$E$9136,O$5),"")</f>
        <v/>
      </c>
      <c r="P28" s="13">
        <f>IFERROR(AVERAGEIFS(DEBIT_HARIAN!$F$6:$F$9136,DEBIT_HARIAN!$B$6:$B$9136,$A28,DEBIT_HARIAN!$C$6:$C$9136,P$4,DEBIT_HARIAN!$E$6:$E$9136,P$5),"")</f>
        <v/>
      </c>
      <c r="Q28" s="13">
        <f>IFERROR(AVERAGEIFS(DEBIT_HARIAN!$F$6:$F$9136,DEBIT_HARIAN!$B$6:$B$9136,$A28,DEBIT_HARIAN!$C$6:$C$9136,Q$4,DEBIT_HARIAN!$E$6:$E$9136,Q$5),"")</f>
        <v/>
      </c>
      <c r="R28" s="13">
        <f>IFERROR(AVERAGEIFS(DEBIT_HARIAN!$F$6:$F$9136,DEBIT_HARIAN!$B$6:$B$9136,$A28,DEBIT_HARIAN!$C$6:$C$9136,R$4,DEBIT_HARIAN!$E$6:$E$9136,R$5),"")</f>
        <v/>
      </c>
      <c r="S28" s="13">
        <f>IFERROR(AVERAGEIFS(DEBIT_HARIAN!$F$6:$F$9136,DEBIT_HARIAN!$B$6:$B$9136,$A28,DEBIT_HARIAN!$C$6:$C$9136,S$4,DEBIT_HARIAN!$E$6:$E$9136,S$5),"")</f>
        <v/>
      </c>
      <c r="T28" s="13">
        <f>IFERROR(AVERAGEIFS(DEBIT_HARIAN!$F$6:$F$9136,DEBIT_HARIAN!$B$6:$B$9136,$A28,DEBIT_HARIAN!$C$6:$C$9136,T$4,DEBIT_HARIAN!$E$6:$E$9136,T$5),"")</f>
        <v/>
      </c>
      <c r="U28" s="13">
        <f>IFERROR(AVERAGEIFS(DEBIT_HARIAN!$F$6:$F$9136,DEBIT_HARIAN!$B$6:$B$9136,$A28,DEBIT_HARIAN!$C$6:$C$9136,U$4,DEBIT_HARIAN!$E$6:$E$9136,U$5),"")</f>
        <v/>
      </c>
      <c r="V28" s="13">
        <f>IFERROR(AVERAGEIFS(DEBIT_HARIAN!$F$6:$F$9136,DEBIT_HARIAN!$B$6:$B$9136,$A28,DEBIT_HARIAN!$C$6:$C$9136,V$4,DEBIT_HARIAN!$E$6:$E$9136,V$5),"")</f>
        <v/>
      </c>
      <c r="W28" s="13">
        <f>IFERROR(AVERAGEIFS(DEBIT_HARIAN!$F$6:$F$9136,DEBIT_HARIAN!$B$6:$B$9136,$A28,DEBIT_HARIAN!$C$6:$C$9136,W$4,DEBIT_HARIAN!$E$6:$E$9136,W$5),"")</f>
        <v/>
      </c>
      <c r="X28" s="13">
        <f>IFERROR(AVERAGEIFS(DEBIT_HARIAN!$F$6:$F$9136,DEBIT_HARIAN!$B$6:$B$9136,$A28,DEBIT_HARIAN!$C$6:$C$9136,X$4,DEBIT_HARIAN!$E$6:$E$9136,X$5),"")</f>
        <v/>
      </c>
      <c r="Y28" s="13">
        <f>IFERROR(AVERAGEIFS(DEBIT_HARIAN!$F$6:$F$9136,DEBIT_HARIAN!$B$6:$B$9136,$A28,DEBIT_HARIAN!$C$6:$C$9136,Y$4,DEBIT_HARIAN!$E$6:$E$9136,Y$5),"")</f>
        <v/>
      </c>
      <c r="Z28" s="10">
        <f>IFERROR(AVERAGEIFS(DEBIT_HARIAN!$F$6:$F$9136,DEBIT_HARIAN!$B$6:$B$9136,$A28),"")</f>
        <v/>
      </c>
    </row>
    <row r="29">
      <c r="A29" s="18" t="n">
        <v>2023</v>
      </c>
      <c r="B29" s="13">
        <f>IFERROR(AVERAGEIFS(DEBIT_HARIAN!$F$6:$F$9136,DEBIT_HARIAN!$B$6:$B$9136,$A29,DEBIT_HARIAN!$C$6:$C$9136,B$4,DEBIT_HARIAN!$E$6:$E$9136,B$5),"")</f>
        <v/>
      </c>
      <c r="C29" s="13">
        <f>IFERROR(AVERAGEIFS(DEBIT_HARIAN!$F$6:$F$9136,DEBIT_HARIAN!$B$6:$B$9136,$A29,DEBIT_HARIAN!$C$6:$C$9136,C$4,DEBIT_HARIAN!$E$6:$E$9136,C$5),"")</f>
        <v/>
      </c>
      <c r="D29" s="13">
        <f>IFERROR(AVERAGEIFS(DEBIT_HARIAN!$F$6:$F$9136,DEBIT_HARIAN!$B$6:$B$9136,$A29,DEBIT_HARIAN!$C$6:$C$9136,D$4,DEBIT_HARIAN!$E$6:$E$9136,D$5),"")</f>
        <v/>
      </c>
      <c r="E29" s="13">
        <f>IFERROR(AVERAGEIFS(DEBIT_HARIAN!$F$6:$F$9136,DEBIT_HARIAN!$B$6:$B$9136,$A29,DEBIT_HARIAN!$C$6:$C$9136,E$4,DEBIT_HARIAN!$E$6:$E$9136,E$5),"")</f>
        <v/>
      </c>
      <c r="F29" s="13">
        <f>IFERROR(AVERAGEIFS(DEBIT_HARIAN!$F$6:$F$9136,DEBIT_HARIAN!$B$6:$B$9136,$A29,DEBIT_HARIAN!$C$6:$C$9136,F$4,DEBIT_HARIAN!$E$6:$E$9136,F$5),"")</f>
        <v/>
      </c>
      <c r="G29" s="13">
        <f>IFERROR(AVERAGEIFS(DEBIT_HARIAN!$F$6:$F$9136,DEBIT_HARIAN!$B$6:$B$9136,$A29,DEBIT_HARIAN!$C$6:$C$9136,G$4,DEBIT_HARIAN!$E$6:$E$9136,G$5),"")</f>
        <v/>
      </c>
      <c r="H29" s="13">
        <f>IFERROR(AVERAGEIFS(DEBIT_HARIAN!$F$6:$F$9136,DEBIT_HARIAN!$B$6:$B$9136,$A29,DEBIT_HARIAN!$C$6:$C$9136,H$4,DEBIT_HARIAN!$E$6:$E$9136,H$5),"")</f>
        <v/>
      </c>
      <c r="I29" s="13">
        <f>IFERROR(AVERAGEIFS(DEBIT_HARIAN!$F$6:$F$9136,DEBIT_HARIAN!$B$6:$B$9136,$A29,DEBIT_HARIAN!$C$6:$C$9136,I$4,DEBIT_HARIAN!$E$6:$E$9136,I$5),"")</f>
        <v/>
      </c>
      <c r="J29" s="13">
        <f>IFERROR(AVERAGEIFS(DEBIT_HARIAN!$F$6:$F$9136,DEBIT_HARIAN!$B$6:$B$9136,$A29,DEBIT_HARIAN!$C$6:$C$9136,J$4,DEBIT_HARIAN!$E$6:$E$9136,J$5),"")</f>
        <v/>
      </c>
      <c r="K29" s="13">
        <f>IFERROR(AVERAGEIFS(DEBIT_HARIAN!$F$6:$F$9136,DEBIT_HARIAN!$B$6:$B$9136,$A29,DEBIT_HARIAN!$C$6:$C$9136,K$4,DEBIT_HARIAN!$E$6:$E$9136,K$5),"")</f>
        <v/>
      </c>
      <c r="L29" s="13">
        <f>IFERROR(AVERAGEIFS(DEBIT_HARIAN!$F$6:$F$9136,DEBIT_HARIAN!$B$6:$B$9136,$A29,DEBIT_HARIAN!$C$6:$C$9136,L$4,DEBIT_HARIAN!$E$6:$E$9136,L$5),"")</f>
        <v/>
      </c>
      <c r="M29" s="13">
        <f>IFERROR(AVERAGEIFS(DEBIT_HARIAN!$F$6:$F$9136,DEBIT_HARIAN!$B$6:$B$9136,$A29,DEBIT_HARIAN!$C$6:$C$9136,M$4,DEBIT_HARIAN!$E$6:$E$9136,M$5),"")</f>
        <v/>
      </c>
      <c r="N29" s="13">
        <f>IFERROR(AVERAGEIFS(DEBIT_HARIAN!$F$6:$F$9136,DEBIT_HARIAN!$B$6:$B$9136,$A29,DEBIT_HARIAN!$C$6:$C$9136,N$4,DEBIT_HARIAN!$E$6:$E$9136,N$5),"")</f>
        <v/>
      </c>
      <c r="O29" s="13">
        <f>IFERROR(AVERAGEIFS(DEBIT_HARIAN!$F$6:$F$9136,DEBIT_HARIAN!$B$6:$B$9136,$A29,DEBIT_HARIAN!$C$6:$C$9136,O$4,DEBIT_HARIAN!$E$6:$E$9136,O$5),"")</f>
        <v/>
      </c>
      <c r="P29" s="13">
        <f>IFERROR(AVERAGEIFS(DEBIT_HARIAN!$F$6:$F$9136,DEBIT_HARIAN!$B$6:$B$9136,$A29,DEBIT_HARIAN!$C$6:$C$9136,P$4,DEBIT_HARIAN!$E$6:$E$9136,P$5),"")</f>
        <v/>
      </c>
      <c r="Q29" s="13">
        <f>IFERROR(AVERAGEIFS(DEBIT_HARIAN!$F$6:$F$9136,DEBIT_HARIAN!$B$6:$B$9136,$A29,DEBIT_HARIAN!$C$6:$C$9136,Q$4,DEBIT_HARIAN!$E$6:$E$9136,Q$5),"")</f>
        <v/>
      </c>
      <c r="R29" s="13">
        <f>IFERROR(AVERAGEIFS(DEBIT_HARIAN!$F$6:$F$9136,DEBIT_HARIAN!$B$6:$B$9136,$A29,DEBIT_HARIAN!$C$6:$C$9136,R$4,DEBIT_HARIAN!$E$6:$E$9136,R$5),"")</f>
        <v/>
      </c>
      <c r="S29" s="13">
        <f>IFERROR(AVERAGEIFS(DEBIT_HARIAN!$F$6:$F$9136,DEBIT_HARIAN!$B$6:$B$9136,$A29,DEBIT_HARIAN!$C$6:$C$9136,S$4,DEBIT_HARIAN!$E$6:$E$9136,S$5),"")</f>
        <v/>
      </c>
      <c r="T29" s="13">
        <f>IFERROR(AVERAGEIFS(DEBIT_HARIAN!$F$6:$F$9136,DEBIT_HARIAN!$B$6:$B$9136,$A29,DEBIT_HARIAN!$C$6:$C$9136,T$4,DEBIT_HARIAN!$E$6:$E$9136,T$5),"")</f>
        <v/>
      </c>
      <c r="U29" s="13">
        <f>IFERROR(AVERAGEIFS(DEBIT_HARIAN!$F$6:$F$9136,DEBIT_HARIAN!$B$6:$B$9136,$A29,DEBIT_HARIAN!$C$6:$C$9136,U$4,DEBIT_HARIAN!$E$6:$E$9136,U$5),"")</f>
        <v/>
      </c>
      <c r="V29" s="13">
        <f>IFERROR(AVERAGEIFS(DEBIT_HARIAN!$F$6:$F$9136,DEBIT_HARIAN!$B$6:$B$9136,$A29,DEBIT_HARIAN!$C$6:$C$9136,V$4,DEBIT_HARIAN!$E$6:$E$9136,V$5),"")</f>
        <v/>
      </c>
      <c r="W29" s="13">
        <f>IFERROR(AVERAGEIFS(DEBIT_HARIAN!$F$6:$F$9136,DEBIT_HARIAN!$B$6:$B$9136,$A29,DEBIT_HARIAN!$C$6:$C$9136,W$4,DEBIT_HARIAN!$E$6:$E$9136,W$5),"")</f>
        <v/>
      </c>
      <c r="X29" s="13">
        <f>IFERROR(AVERAGEIFS(DEBIT_HARIAN!$F$6:$F$9136,DEBIT_HARIAN!$B$6:$B$9136,$A29,DEBIT_HARIAN!$C$6:$C$9136,X$4,DEBIT_HARIAN!$E$6:$E$9136,X$5),"")</f>
        <v/>
      </c>
      <c r="Y29" s="13">
        <f>IFERROR(AVERAGEIFS(DEBIT_HARIAN!$F$6:$F$9136,DEBIT_HARIAN!$B$6:$B$9136,$A29,DEBIT_HARIAN!$C$6:$C$9136,Y$4,DEBIT_HARIAN!$E$6:$E$9136,Y$5),"")</f>
        <v/>
      </c>
      <c r="Z29" s="10">
        <f>IFERROR(AVERAGEIFS(DEBIT_HARIAN!$F$6:$F$9136,DEBIT_HARIAN!$B$6:$B$9136,$A29),"")</f>
        <v/>
      </c>
    </row>
    <row r="30">
      <c r="A30" s="18" t="n">
        <v>2024</v>
      </c>
      <c r="B30" s="13">
        <f>IFERROR(AVERAGEIFS(DEBIT_HARIAN!$F$6:$F$9136,DEBIT_HARIAN!$B$6:$B$9136,$A30,DEBIT_HARIAN!$C$6:$C$9136,B$4,DEBIT_HARIAN!$E$6:$E$9136,B$5),"")</f>
        <v/>
      </c>
      <c r="C30" s="13">
        <f>IFERROR(AVERAGEIFS(DEBIT_HARIAN!$F$6:$F$9136,DEBIT_HARIAN!$B$6:$B$9136,$A30,DEBIT_HARIAN!$C$6:$C$9136,C$4,DEBIT_HARIAN!$E$6:$E$9136,C$5),"")</f>
        <v/>
      </c>
      <c r="D30" s="13">
        <f>IFERROR(AVERAGEIFS(DEBIT_HARIAN!$F$6:$F$9136,DEBIT_HARIAN!$B$6:$B$9136,$A30,DEBIT_HARIAN!$C$6:$C$9136,D$4,DEBIT_HARIAN!$E$6:$E$9136,D$5),"")</f>
        <v/>
      </c>
      <c r="E30" s="13">
        <f>IFERROR(AVERAGEIFS(DEBIT_HARIAN!$F$6:$F$9136,DEBIT_HARIAN!$B$6:$B$9136,$A30,DEBIT_HARIAN!$C$6:$C$9136,E$4,DEBIT_HARIAN!$E$6:$E$9136,E$5),"")</f>
        <v/>
      </c>
      <c r="F30" s="13">
        <f>IFERROR(AVERAGEIFS(DEBIT_HARIAN!$F$6:$F$9136,DEBIT_HARIAN!$B$6:$B$9136,$A30,DEBIT_HARIAN!$C$6:$C$9136,F$4,DEBIT_HARIAN!$E$6:$E$9136,F$5),"")</f>
        <v/>
      </c>
      <c r="G30" s="13">
        <f>IFERROR(AVERAGEIFS(DEBIT_HARIAN!$F$6:$F$9136,DEBIT_HARIAN!$B$6:$B$9136,$A30,DEBIT_HARIAN!$C$6:$C$9136,G$4,DEBIT_HARIAN!$E$6:$E$9136,G$5),"")</f>
        <v/>
      </c>
      <c r="H30" s="13">
        <f>IFERROR(AVERAGEIFS(DEBIT_HARIAN!$F$6:$F$9136,DEBIT_HARIAN!$B$6:$B$9136,$A30,DEBIT_HARIAN!$C$6:$C$9136,H$4,DEBIT_HARIAN!$E$6:$E$9136,H$5),"")</f>
        <v/>
      </c>
      <c r="I30" s="13">
        <f>IFERROR(AVERAGEIFS(DEBIT_HARIAN!$F$6:$F$9136,DEBIT_HARIAN!$B$6:$B$9136,$A30,DEBIT_HARIAN!$C$6:$C$9136,I$4,DEBIT_HARIAN!$E$6:$E$9136,I$5),"")</f>
        <v/>
      </c>
      <c r="J30" s="13">
        <f>IFERROR(AVERAGEIFS(DEBIT_HARIAN!$F$6:$F$9136,DEBIT_HARIAN!$B$6:$B$9136,$A30,DEBIT_HARIAN!$C$6:$C$9136,J$4,DEBIT_HARIAN!$E$6:$E$9136,J$5),"")</f>
        <v/>
      </c>
      <c r="K30" s="13">
        <f>IFERROR(AVERAGEIFS(DEBIT_HARIAN!$F$6:$F$9136,DEBIT_HARIAN!$B$6:$B$9136,$A30,DEBIT_HARIAN!$C$6:$C$9136,K$4,DEBIT_HARIAN!$E$6:$E$9136,K$5),"")</f>
        <v/>
      </c>
      <c r="L30" s="13">
        <f>IFERROR(AVERAGEIFS(DEBIT_HARIAN!$F$6:$F$9136,DEBIT_HARIAN!$B$6:$B$9136,$A30,DEBIT_HARIAN!$C$6:$C$9136,L$4,DEBIT_HARIAN!$E$6:$E$9136,L$5),"")</f>
        <v/>
      </c>
      <c r="M30" s="13">
        <f>IFERROR(AVERAGEIFS(DEBIT_HARIAN!$F$6:$F$9136,DEBIT_HARIAN!$B$6:$B$9136,$A30,DEBIT_HARIAN!$C$6:$C$9136,M$4,DEBIT_HARIAN!$E$6:$E$9136,M$5),"")</f>
        <v/>
      </c>
      <c r="N30" s="13">
        <f>IFERROR(AVERAGEIFS(DEBIT_HARIAN!$F$6:$F$9136,DEBIT_HARIAN!$B$6:$B$9136,$A30,DEBIT_HARIAN!$C$6:$C$9136,N$4,DEBIT_HARIAN!$E$6:$E$9136,N$5),"")</f>
        <v/>
      </c>
      <c r="O30" s="13">
        <f>IFERROR(AVERAGEIFS(DEBIT_HARIAN!$F$6:$F$9136,DEBIT_HARIAN!$B$6:$B$9136,$A30,DEBIT_HARIAN!$C$6:$C$9136,O$4,DEBIT_HARIAN!$E$6:$E$9136,O$5),"")</f>
        <v/>
      </c>
      <c r="P30" s="13">
        <f>IFERROR(AVERAGEIFS(DEBIT_HARIAN!$F$6:$F$9136,DEBIT_HARIAN!$B$6:$B$9136,$A30,DEBIT_HARIAN!$C$6:$C$9136,P$4,DEBIT_HARIAN!$E$6:$E$9136,P$5),"")</f>
        <v/>
      </c>
      <c r="Q30" s="13">
        <f>IFERROR(AVERAGEIFS(DEBIT_HARIAN!$F$6:$F$9136,DEBIT_HARIAN!$B$6:$B$9136,$A30,DEBIT_HARIAN!$C$6:$C$9136,Q$4,DEBIT_HARIAN!$E$6:$E$9136,Q$5),"")</f>
        <v/>
      </c>
      <c r="R30" s="13">
        <f>IFERROR(AVERAGEIFS(DEBIT_HARIAN!$F$6:$F$9136,DEBIT_HARIAN!$B$6:$B$9136,$A30,DEBIT_HARIAN!$C$6:$C$9136,R$4,DEBIT_HARIAN!$E$6:$E$9136,R$5),"")</f>
        <v/>
      </c>
      <c r="S30" s="13">
        <f>IFERROR(AVERAGEIFS(DEBIT_HARIAN!$F$6:$F$9136,DEBIT_HARIAN!$B$6:$B$9136,$A30,DEBIT_HARIAN!$C$6:$C$9136,S$4,DEBIT_HARIAN!$E$6:$E$9136,S$5),"")</f>
        <v/>
      </c>
      <c r="T30" s="13">
        <f>IFERROR(AVERAGEIFS(DEBIT_HARIAN!$F$6:$F$9136,DEBIT_HARIAN!$B$6:$B$9136,$A30,DEBIT_HARIAN!$C$6:$C$9136,T$4,DEBIT_HARIAN!$E$6:$E$9136,T$5),"")</f>
        <v/>
      </c>
      <c r="U30" s="13">
        <f>IFERROR(AVERAGEIFS(DEBIT_HARIAN!$F$6:$F$9136,DEBIT_HARIAN!$B$6:$B$9136,$A30,DEBIT_HARIAN!$C$6:$C$9136,U$4,DEBIT_HARIAN!$E$6:$E$9136,U$5),"")</f>
        <v/>
      </c>
      <c r="V30" s="13">
        <f>IFERROR(AVERAGEIFS(DEBIT_HARIAN!$F$6:$F$9136,DEBIT_HARIAN!$B$6:$B$9136,$A30,DEBIT_HARIAN!$C$6:$C$9136,V$4,DEBIT_HARIAN!$E$6:$E$9136,V$5),"")</f>
        <v/>
      </c>
      <c r="W30" s="13">
        <f>IFERROR(AVERAGEIFS(DEBIT_HARIAN!$F$6:$F$9136,DEBIT_HARIAN!$B$6:$B$9136,$A30,DEBIT_HARIAN!$C$6:$C$9136,W$4,DEBIT_HARIAN!$E$6:$E$9136,W$5),"")</f>
        <v/>
      </c>
      <c r="X30" s="13">
        <f>IFERROR(AVERAGEIFS(DEBIT_HARIAN!$F$6:$F$9136,DEBIT_HARIAN!$B$6:$B$9136,$A30,DEBIT_HARIAN!$C$6:$C$9136,X$4,DEBIT_HARIAN!$E$6:$E$9136,X$5),"")</f>
        <v/>
      </c>
      <c r="Y30" s="13">
        <f>IFERROR(AVERAGEIFS(DEBIT_HARIAN!$F$6:$F$9136,DEBIT_HARIAN!$B$6:$B$9136,$A30,DEBIT_HARIAN!$C$6:$C$9136,Y$4,DEBIT_HARIAN!$E$6:$E$9136,Y$5),"")</f>
        <v/>
      </c>
      <c r="Z30" s="10">
        <f>IFERROR(AVERAGEIFS(DEBIT_HARIAN!$F$6:$F$9136,DEBIT_HARIAN!$B$6:$B$9136,$A30),"")</f>
        <v/>
      </c>
    </row>
    <row r="31">
      <c r="A31" s="18" t="n">
        <v>2025</v>
      </c>
      <c r="B31" s="13">
        <f>IFERROR(AVERAGEIFS(DEBIT_HARIAN!$F$6:$F$9136,DEBIT_HARIAN!$B$6:$B$9136,$A31,DEBIT_HARIAN!$C$6:$C$9136,B$4,DEBIT_HARIAN!$E$6:$E$9136,B$5),"")</f>
        <v/>
      </c>
      <c r="C31" s="13">
        <f>IFERROR(AVERAGEIFS(DEBIT_HARIAN!$F$6:$F$9136,DEBIT_HARIAN!$B$6:$B$9136,$A31,DEBIT_HARIAN!$C$6:$C$9136,C$4,DEBIT_HARIAN!$E$6:$E$9136,C$5),"")</f>
        <v/>
      </c>
      <c r="D31" s="13">
        <f>IFERROR(AVERAGEIFS(DEBIT_HARIAN!$F$6:$F$9136,DEBIT_HARIAN!$B$6:$B$9136,$A31,DEBIT_HARIAN!$C$6:$C$9136,D$4,DEBIT_HARIAN!$E$6:$E$9136,D$5),"")</f>
        <v/>
      </c>
      <c r="E31" s="13">
        <f>IFERROR(AVERAGEIFS(DEBIT_HARIAN!$F$6:$F$9136,DEBIT_HARIAN!$B$6:$B$9136,$A31,DEBIT_HARIAN!$C$6:$C$9136,E$4,DEBIT_HARIAN!$E$6:$E$9136,E$5),"")</f>
        <v/>
      </c>
      <c r="F31" s="13">
        <f>IFERROR(AVERAGEIFS(DEBIT_HARIAN!$F$6:$F$9136,DEBIT_HARIAN!$B$6:$B$9136,$A31,DEBIT_HARIAN!$C$6:$C$9136,F$4,DEBIT_HARIAN!$E$6:$E$9136,F$5),"")</f>
        <v/>
      </c>
      <c r="G31" s="13">
        <f>IFERROR(AVERAGEIFS(DEBIT_HARIAN!$F$6:$F$9136,DEBIT_HARIAN!$B$6:$B$9136,$A31,DEBIT_HARIAN!$C$6:$C$9136,G$4,DEBIT_HARIAN!$E$6:$E$9136,G$5),"")</f>
        <v/>
      </c>
      <c r="H31" s="13">
        <f>IFERROR(AVERAGEIFS(DEBIT_HARIAN!$F$6:$F$9136,DEBIT_HARIAN!$B$6:$B$9136,$A31,DEBIT_HARIAN!$C$6:$C$9136,H$4,DEBIT_HARIAN!$E$6:$E$9136,H$5),"")</f>
        <v/>
      </c>
      <c r="I31" s="13">
        <f>IFERROR(AVERAGEIFS(DEBIT_HARIAN!$F$6:$F$9136,DEBIT_HARIAN!$B$6:$B$9136,$A31,DEBIT_HARIAN!$C$6:$C$9136,I$4,DEBIT_HARIAN!$E$6:$E$9136,I$5),"")</f>
        <v/>
      </c>
      <c r="J31" s="13">
        <f>IFERROR(AVERAGEIFS(DEBIT_HARIAN!$F$6:$F$9136,DEBIT_HARIAN!$B$6:$B$9136,$A31,DEBIT_HARIAN!$C$6:$C$9136,J$4,DEBIT_HARIAN!$E$6:$E$9136,J$5),"")</f>
        <v/>
      </c>
      <c r="K31" s="13">
        <f>IFERROR(AVERAGEIFS(DEBIT_HARIAN!$F$6:$F$9136,DEBIT_HARIAN!$B$6:$B$9136,$A31,DEBIT_HARIAN!$C$6:$C$9136,K$4,DEBIT_HARIAN!$E$6:$E$9136,K$5),"")</f>
        <v/>
      </c>
      <c r="L31" s="13">
        <f>IFERROR(AVERAGEIFS(DEBIT_HARIAN!$F$6:$F$9136,DEBIT_HARIAN!$B$6:$B$9136,$A31,DEBIT_HARIAN!$C$6:$C$9136,L$4,DEBIT_HARIAN!$E$6:$E$9136,L$5),"")</f>
        <v/>
      </c>
      <c r="M31" s="13">
        <f>IFERROR(AVERAGEIFS(DEBIT_HARIAN!$F$6:$F$9136,DEBIT_HARIAN!$B$6:$B$9136,$A31,DEBIT_HARIAN!$C$6:$C$9136,M$4,DEBIT_HARIAN!$E$6:$E$9136,M$5),"")</f>
        <v/>
      </c>
      <c r="N31" s="13">
        <f>IFERROR(AVERAGEIFS(DEBIT_HARIAN!$F$6:$F$9136,DEBIT_HARIAN!$B$6:$B$9136,$A31,DEBIT_HARIAN!$C$6:$C$9136,N$4,DEBIT_HARIAN!$E$6:$E$9136,N$5),"")</f>
        <v/>
      </c>
      <c r="O31" s="13">
        <f>IFERROR(AVERAGEIFS(DEBIT_HARIAN!$F$6:$F$9136,DEBIT_HARIAN!$B$6:$B$9136,$A31,DEBIT_HARIAN!$C$6:$C$9136,O$4,DEBIT_HARIAN!$E$6:$E$9136,O$5),"")</f>
        <v/>
      </c>
      <c r="P31" s="13">
        <f>IFERROR(AVERAGEIFS(DEBIT_HARIAN!$F$6:$F$9136,DEBIT_HARIAN!$B$6:$B$9136,$A31,DEBIT_HARIAN!$C$6:$C$9136,P$4,DEBIT_HARIAN!$E$6:$E$9136,P$5),"")</f>
        <v/>
      </c>
      <c r="Q31" s="13">
        <f>IFERROR(AVERAGEIFS(DEBIT_HARIAN!$F$6:$F$9136,DEBIT_HARIAN!$B$6:$B$9136,$A31,DEBIT_HARIAN!$C$6:$C$9136,Q$4,DEBIT_HARIAN!$E$6:$E$9136,Q$5),"")</f>
        <v/>
      </c>
      <c r="R31" s="13">
        <f>IFERROR(AVERAGEIFS(DEBIT_HARIAN!$F$6:$F$9136,DEBIT_HARIAN!$B$6:$B$9136,$A31,DEBIT_HARIAN!$C$6:$C$9136,R$4,DEBIT_HARIAN!$E$6:$E$9136,R$5),"")</f>
        <v/>
      </c>
      <c r="S31" s="13">
        <f>IFERROR(AVERAGEIFS(DEBIT_HARIAN!$F$6:$F$9136,DEBIT_HARIAN!$B$6:$B$9136,$A31,DEBIT_HARIAN!$C$6:$C$9136,S$4,DEBIT_HARIAN!$E$6:$E$9136,S$5),"")</f>
        <v/>
      </c>
      <c r="T31" s="13">
        <f>IFERROR(AVERAGEIFS(DEBIT_HARIAN!$F$6:$F$9136,DEBIT_HARIAN!$B$6:$B$9136,$A31,DEBIT_HARIAN!$C$6:$C$9136,T$4,DEBIT_HARIAN!$E$6:$E$9136,T$5),"")</f>
        <v/>
      </c>
      <c r="U31" s="13">
        <f>IFERROR(AVERAGEIFS(DEBIT_HARIAN!$F$6:$F$9136,DEBIT_HARIAN!$B$6:$B$9136,$A31,DEBIT_HARIAN!$C$6:$C$9136,U$4,DEBIT_HARIAN!$E$6:$E$9136,U$5),"")</f>
        <v/>
      </c>
      <c r="V31" s="13">
        <f>IFERROR(AVERAGEIFS(DEBIT_HARIAN!$F$6:$F$9136,DEBIT_HARIAN!$B$6:$B$9136,$A31,DEBIT_HARIAN!$C$6:$C$9136,V$4,DEBIT_HARIAN!$E$6:$E$9136,V$5),"")</f>
        <v/>
      </c>
      <c r="W31" s="13">
        <f>IFERROR(AVERAGEIFS(DEBIT_HARIAN!$F$6:$F$9136,DEBIT_HARIAN!$B$6:$B$9136,$A31,DEBIT_HARIAN!$C$6:$C$9136,W$4,DEBIT_HARIAN!$E$6:$E$9136,W$5),"")</f>
        <v/>
      </c>
      <c r="X31" s="13">
        <f>IFERROR(AVERAGEIFS(DEBIT_HARIAN!$F$6:$F$9136,DEBIT_HARIAN!$B$6:$B$9136,$A31,DEBIT_HARIAN!$C$6:$C$9136,X$4,DEBIT_HARIAN!$E$6:$E$9136,X$5),"")</f>
        <v/>
      </c>
      <c r="Y31" s="13">
        <f>IFERROR(AVERAGEIFS(DEBIT_HARIAN!$F$6:$F$9136,DEBIT_HARIAN!$B$6:$B$9136,$A31,DEBIT_HARIAN!$C$6:$C$9136,Y$4,DEBIT_HARIAN!$E$6:$E$9136,Y$5),"")</f>
        <v/>
      </c>
      <c r="Z31" s="10">
        <f>IFERROR(AVERAGEIFS(DEBIT_HARIAN!$F$6:$F$9136,DEBIT_HARIAN!$B$6:$B$9136,$A31),"")</f>
        <v/>
      </c>
    </row>
    <row r="32">
      <c r="A32" s="2" t="inlineStr">
        <is>
          <t>Rata-rata</t>
        </is>
      </c>
      <c r="B32" s="16">
        <f>IFERROR(AVERAGE(B7:B31),"")</f>
        <v/>
      </c>
      <c r="C32" s="16">
        <f>IFERROR(AVERAGE(C7:C31),"")</f>
        <v/>
      </c>
      <c r="D32" s="16">
        <f>IFERROR(AVERAGE(D7:D31),"")</f>
        <v/>
      </c>
      <c r="E32" s="16">
        <f>IFERROR(AVERAGE(E7:E31),"")</f>
        <v/>
      </c>
      <c r="F32" s="16">
        <f>IFERROR(AVERAGE(F7:F31),"")</f>
        <v/>
      </c>
      <c r="G32" s="16">
        <f>IFERROR(AVERAGE(G7:G31),"")</f>
        <v/>
      </c>
      <c r="H32" s="16">
        <f>IFERROR(AVERAGE(H7:H31),"")</f>
        <v/>
      </c>
      <c r="I32" s="16">
        <f>IFERROR(AVERAGE(I7:I31),"")</f>
        <v/>
      </c>
      <c r="J32" s="16">
        <f>IFERROR(AVERAGE(J7:J31),"")</f>
        <v/>
      </c>
      <c r="K32" s="16">
        <f>IFERROR(AVERAGE(K7:K31),"")</f>
        <v/>
      </c>
      <c r="L32" s="16">
        <f>IFERROR(AVERAGE(L7:L31),"")</f>
        <v/>
      </c>
      <c r="M32" s="16">
        <f>IFERROR(AVERAGE(M7:M31),"")</f>
        <v/>
      </c>
      <c r="N32" s="16">
        <f>IFERROR(AVERAGE(N7:N31),"")</f>
        <v/>
      </c>
      <c r="O32" s="16">
        <f>IFERROR(AVERAGE(O7:O31),"")</f>
        <v/>
      </c>
      <c r="P32" s="16">
        <f>IFERROR(AVERAGE(P7:P31),"")</f>
        <v/>
      </c>
      <c r="Q32" s="16">
        <f>IFERROR(AVERAGE(Q7:Q31),"")</f>
        <v/>
      </c>
      <c r="R32" s="16">
        <f>IFERROR(AVERAGE(R7:R31),"")</f>
        <v/>
      </c>
      <c r="S32" s="16">
        <f>IFERROR(AVERAGE(S7:S31),"")</f>
        <v/>
      </c>
      <c r="T32" s="16">
        <f>IFERROR(AVERAGE(T7:T31),"")</f>
        <v/>
      </c>
      <c r="U32" s="16">
        <f>IFERROR(AVERAGE(U7:U31),"")</f>
        <v/>
      </c>
      <c r="V32" s="16">
        <f>IFERROR(AVERAGE(V7:V31),"")</f>
        <v/>
      </c>
      <c r="W32" s="16">
        <f>IFERROR(AVERAGE(W7:W31),"")</f>
        <v/>
      </c>
      <c r="X32" s="16">
        <f>IFERROR(AVERAGE(X7:X31),"")</f>
        <v/>
      </c>
      <c r="Y32" s="16">
        <f>IFERROR(AVERAGE(Y7:Y31),"")</f>
        <v/>
      </c>
      <c r="Z32" s="16">
        <f>IFERROR(AVERAGE(Z7:Z31),"")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S1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S1 (m³/s)</t>
        </is>
      </c>
    </row>
    <row r="6">
      <c r="A6" s="24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5" t="n">
        <v>0.125213</v>
      </c>
    </row>
    <row r="7">
      <c r="A7" s="24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5" t="n">
        <v>0.347758</v>
      </c>
    </row>
    <row r="8">
      <c r="A8" s="24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5" t="n">
        <v>0.303705</v>
      </c>
    </row>
    <row r="9">
      <c r="A9" s="24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5" t="n">
        <v>0.246371</v>
      </c>
    </row>
    <row r="10">
      <c r="A10" s="24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5" t="n">
        <v>0.09239600000000001</v>
      </c>
    </row>
    <row r="11">
      <c r="A11" s="24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5" t="n">
        <v>0.126568</v>
      </c>
    </row>
    <row r="12">
      <c r="A12" s="24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5" t="n">
        <v>0.072881</v>
      </c>
    </row>
    <row r="13">
      <c r="A13" s="24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5" t="n">
        <v>0.059347</v>
      </c>
    </row>
    <row r="14">
      <c r="A14" s="24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5" t="n">
        <v>0.143506</v>
      </c>
    </row>
    <row r="15">
      <c r="A15" s="24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5" t="n">
        <v>0.108935</v>
      </c>
    </row>
    <row r="16">
      <c r="A16" s="24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5" t="n">
        <v>0.083495</v>
      </c>
    </row>
    <row r="17">
      <c r="A17" s="24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5" t="n">
        <v>0.28041</v>
      </c>
    </row>
    <row r="18">
      <c r="A18" s="24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5" t="n">
        <v>0.120439</v>
      </c>
    </row>
    <row r="19">
      <c r="A19" s="24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5" t="n">
        <v>0.07188</v>
      </c>
    </row>
    <row r="20">
      <c r="A20" s="24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5" t="n">
        <v>0.091363</v>
      </c>
    </row>
    <row r="21">
      <c r="A21" s="24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5" t="n">
        <v>0.192593</v>
      </c>
    </row>
    <row r="22">
      <c r="A22" s="24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5" t="n">
        <v>0.072967</v>
      </c>
    </row>
    <row r="23">
      <c r="A23" s="24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5" t="n">
        <v>0.09297</v>
      </c>
    </row>
    <row r="24">
      <c r="A24" s="24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5" t="n">
        <v>0.03703</v>
      </c>
    </row>
    <row r="25">
      <c r="A25" s="24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5" t="n">
        <v>0.175577</v>
      </c>
    </row>
    <row r="26">
      <c r="A26" s="24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5" t="n">
        <v>0.052681</v>
      </c>
    </row>
    <row r="27">
      <c r="A27" s="24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5" t="n">
        <v>0.032801</v>
      </c>
    </row>
    <row r="28">
      <c r="A28" s="24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5" t="n">
        <v>0.050275</v>
      </c>
    </row>
    <row r="29">
      <c r="A29" s="24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5" t="n">
        <v>0.166535</v>
      </c>
    </row>
    <row r="30">
      <c r="A30" s="24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5" t="n">
        <v>0.132379</v>
      </c>
    </row>
    <row r="31">
      <c r="A31" s="24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5" t="n">
        <v>0.043156</v>
      </c>
    </row>
    <row r="32">
      <c r="A32" s="24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5" t="n">
        <v>0.07328</v>
      </c>
    </row>
    <row r="33">
      <c r="A33" s="24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5" t="n">
        <v>0.038502</v>
      </c>
    </row>
    <row r="34">
      <c r="A34" s="24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5" t="n">
        <v>0.107283</v>
      </c>
    </row>
    <row r="35">
      <c r="A35" s="24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5" t="n">
        <v>0.038534</v>
      </c>
    </row>
    <row r="36">
      <c r="A36" s="24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5" t="n">
        <v>0.048751</v>
      </c>
    </row>
    <row r="37">
      <c r="A37" s="24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5" t="n">
        <v>0.039639</v>
      </c>
    </row>
    <row r="38">
      <c r="A38" s="24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5" t="n">
        <v>0.134127</v>
      </c>
    </row>
    <row r="39">
      <c r="A39" s="24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5" t="n">
        <v>0.202191</v>
      </c>
    </row>
    <row r="40">
      <c r="A40" s="24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5" t="n">
        <v>0.084062</v>
      </c>
    </row>
    <row r="41">
      <c r="A41" s="24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5" t="n">
        <v>0.043578</v>
      </c>
    </row>
    <row r="42">
      <c r="A42" s="24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5" t="n">
        <v>0.043329</v>
      </c>
    </row>
    <row r="43">
      <c r="A43" s="24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5" t="n">
        <v>0.041325</v>
      </c>
    </row>
    <row r="44">
      <c r="A44" s="24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5" t="n">
        <v>0.062357</v>
      </c>
    </row>
    <row r="45">
      <c r="A45" s="24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5" t="n">
        <v>0.131041</v>
      </c>
    </row>
    <row r="46">
      <c r="A46" s="24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5" t="n">
        <v>0.058675</v>
      </c>
    </row>
    <row r="47">
      <c r="A47" s="24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5" t="n">
        <v>0.030592</v>
      </c>
    </row>
    <row r="48">
      <c r="A48" s="24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5" t="n">
        <v>0.018</v>
      </c>
    </row>
    <row r="49">
      <c r="A49" s="24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5" t="n">
        <v>0.019552</v>
      </c>
    </row>
    <row r="50">
      <c r="A50" s="24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5" t="n">
        <v>0.031309</v>
      </c>
    </row>
    <row r="51">
      <c r="A51" s="24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5" t="n">
        <v>0.030959</v>
      </c>
    </row>
    <row r="52">
      <c r="A52" s="24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5" t="n">
        <v>0.029753</v>
      </c>
    </row>
    <row r="53">
      <c r="A53" s="24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5" t="n">
        <v>0.120712</v>
      </c>
    </row>
    <row r="54">
      <c r="A54" s="24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5" t="n">
        <v>0.042053</v>
      </c>
    </row>
    <row r="55">
      <c r="A55" s="24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5" t="n">
        <v>0.123184</v>
      </c>
    </row>
    <row r="56">
      <c r="A56" s="24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5" t="n">
        <v>0.151662</v>
      </c>
    </row>
    <row r="57">
      <c r="A57" s="24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5" t="n">
        <v>0.050783</v>
      </c>
    </row>
    <row r="58">
      <c r="A58" s="24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5" t="n">
        <v>0.035509</v>
      </c>
    </row>
    <row r="59">
      <c r="A59" s="24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5" t="n">
        <v>0.023584</v>
      </c>
    </row>
    <row r="60">
      <c r="A60" s="24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5" t="n">
        <v>0.020867</v>
      </c>
    </row>
    <row r="61">
      <c r="A61" s="24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5" t="n">
        <v>0.008508999999999999</v>
      </c>
    </row>
    <row r="62">
      <c r="A62" s="24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5" t="n">
        <v>0.024481</v>
      </c>
    </row>
    <row r="63">
      <c r="A63" s="24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5" t="n">
        <v>0.014405</v>
      </c>
    </row>
    <row r="64">
      <c r="A64" s="24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5" t="n">
        <v>0.017377</v>
      </c>
    </row>
    <row r="65">
      <c r="A65" s="24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5" t="n">
        <v>0.047837</v>
      </c>
    </row>
    <row r="66">
      <c r="A66" s="24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5" t="n">
        <v>0.012296</v>
      </c>
    </row>
    <row r="67">
      <c r="A67" s="24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5" t="n">
        <v>0.03091</v>
      </c>
    </row>
    <row r="68">
      <c r="A68" s="24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5" t="n">
        <v>0.013852</v>
      </c>
    </row>
    <row r="69">
      <c r="A69" s="24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5" t="n">
        <v>0.059857</v>
      </c>
    </row>
    <row r="70">
      <c r="A70" s="24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5" t="n">
        <v>0.024435</v>
      </c>
    </row>
    <row r="71">
      <c r="A71" s="24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5" t="n">
        <v>0.067367</v>
      </c>
    </row>
    <row r="72">
      <c r="A72" s="24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5" t="n">
        <v>0.063564</v>
      </c>
    </row>
    <row r="73">
      <c r="A73" s="24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5" t="n">
        <v>0.051335</v>
      </c>
    </row>
    <row r="74">
      <c r="A74" s="24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5" t="n">
        <v>0.156933</v>
      </c>
    </row>
    <row r="75">
      <c r="A75" s="24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5" t="n">
        <v>0.135505</v>
      </c>
    </row>
    <row r="76">
      <c r="A76" s="24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5" t="n">
        <v>0.298353</v>
      </c>
    </row>
    <row r="77">
      <c r="A77" s="24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5" t="n">
        <v>0.280705</v>
      </c>
    </row>
    <row r="78">
      <c r="A78" s="24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5" t="n">
        <v>0.25194</v>
      </c>
    </row>
    <row r="79">
      <c r="A79" s="24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5" t="n">
        <v>0.239429</v>
      </c>
    </row>
    <row r="80">
      <c r="A80" s="24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5" t="n">
        <v>0.18247</v>
      </c>
    </row>
    <row r="81">
      <c r="A81" s="24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5" t="n">
        <v>0.094428</v>
      </c>
    </row>
    <row r="82">
      <c r="A82" s="24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5" t="n">
        <v>0.112287</v>
      </c>
    </row>
    <row r="83">
      <c r="A83" s="24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5" t="n">
        <v>0.057014</v>
      </c>
    </row>
    <row r="84">
      <c r="A84" s="24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5" t="n">
        <v>0.259312</v>
      </c>
    </row>
    <row r="85">
      <c r="A85" s="24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5" t="n">
        <v>0.056588</v>
      </c>
    </row>
    <row r="86">
      <c r="A86" s="24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5" t="n">
        <v>0.057828</v>
      </c>
    </row>
    <row r="87">
      <c r="A87" s="24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5" t="n">
        <v>0.031976</v>
      </c>
    </row>
    <row r="88">
      <c r="A88" s="24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5" t="n">
        <v>0.066674</v>
      </c>
    </row>
    <row r="89">
      <c r="A89" s="24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5" t="n">
        <v>0.101523</v>
      </c>
    </row>
    <row r="90">
      <c r="A90" s="24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5" t="n">
        <v>0.052015</v>
      </c>
    </row>
    <row r="91">
      <c r="A91" s="24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5" t="n">
        <v>0.052045</v>
      </c>
    </row>
    <row r="92">
      <c r="A92" s="24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5" t="n">
        <v>0.040384</v>
      </c>
    </row>
    <row r="93">
      <c r="A93" s="24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5" t="n">
        <v>0.257855</v>
      </c>
    </row>
    <row r="94">
      <c r="A94" s="24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5" t="n">
        <v>0.331077</v>
      </c>
    </row>
    <row r="95">
      <c r="A95" s="24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5" t="n">
        <v>0.177373</v>
      </c>
    </row>
    <row r="96">
      <c r="A96" s="24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5" t="n">
        <v>0.098066</v>
      </c>
    </row>
    <row r="97">
      <c r="A97" s="24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5" t="n">
        <v>0.15744</v>
      </c>
    </row>
    <row r="98">
      <c r="A98" s="24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5" t="n">
        <v>0.039844</v>
      </c>
    </row>
    <row r="99">
      <c r="A99" s="24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5" t="n">
        <v>0.09146</v>
      </c>
    </row>
    <row r="100">
      <c r="A100" s="24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5" t="n">
        <v>0.069658</v>
      </c>
    </row>
    <row r="101">
      <c r="A101" s="24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5" t="n">
        <v>0.196763</v>
      </c>
    </row>
    <row r="102">
      <c r="A102" s="24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5" t="n">
        <v>0.10088</v>
      </c>
    </row>
    <row r="103">
      <c r="A103" s="24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5" t="n">
        <v>0.124001</v>
      </c>
    </row>
    <row r="104">
      <c r="A104" s="24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5" t="n">
        <v>0.054467</v>
      </c>
    </row>
    <row r="105">
      <c r="A105" s="24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5" t="n">
        <v>0.054199</v>
      </c>
    </row>
    <row r="106">
      <c r="A106" s="24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5" t="n">
        <v>0.112734</v>
      </c>
    </row>
    <row r="107">
      <c r="A107" s="24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5" t="n">
        <v>0.202396</v>
      </c>
    </row>
    <row r="108">
      <c r="A108" s="24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5" t="n">
        <v>0.044272</v>
      </c>
    </row>
    <row r="109">
      <c r="A109" s="24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5" t="n">
        <v>0.139023</v>
      </c>
    </row>
    <row r="110">
      <c r="A110" s="24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5" t="n">
        <v>0.060679</v>
      </c>
    </row>
    <row r="111">
      <c r="A111" s="24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5" t="n">
        <v>0.175882</v>
      </c>
    </row>
    <row r="112">
      <c r="A112" s="24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5" t="n">
        <v>0.0314</v>
      </c>
    </row>
    <row r="113">
      <c r="A113" s="24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5" t="n">
        <v>0.016398</v>
      </c>
    </row>
    <row r="114">
      <c r="A114" s="24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5" t="n">
        <v>0.032829</v>
      </c>
    </row>
    <row r="115">
      <c r="A115" s="24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5" t="n">
        <v>0.017315</v>
      </c>
    </row>
    <row r="116">
      <c r="A116" s="24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5" t="n">
        <v>0.227576</v>
      </c>
    </row>
    <row r="117">
      <c r="A117" s="24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5" t="n">
        <v>0.23646</v>
      </c>
    </row>
    <row r="118">
      <c r="A118" s="24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5" t="n">
        <v>0.284375</v>
      </c>
    </row>
    <row r="119">
      <c r="A119" s="24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5" t="n">
        <v>0.082425</v>
      </c>
    </row>
    <row r="120">
      <c r="A120" s="24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5" t="n">
        <v>0.251085</v>
      </c>
    </row>
    <row r="121">
      <c r="A121" s="24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5" t="n">
        <v>0.264428</v>
      </c>
    </row>
    <row r="122">
      <c r="A122" s="24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5" t="n">
        <v>0.14349</v>
      </c>
    </row>
    <row r="123">
      <c r="A123" s="24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5" t="n">
        <v>0.222937</v>
      </c>
    </row>
    <row r="124">
      <c r="A124" s="24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5" t="n">
        <v>0.138125</v>
      </c>
    </row>
    <row r="125">
      <c r="A125" s="24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5" t="n">
        <v>0.230255</v>
      </c>
    </row>
    <row r="126">
      <c r="A126" s="24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5" t="n">
        <v>0.287376</v>
      </c>
    </row>
    <row r="127">
      <c r="A127" s="24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5" t="n">
        <v>0.26592</v>
      </c>
    </row>
    <row r="128">
      <c r="A128" s="24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5" t="n">
        <v>0.115188</v>
      </c>
    </row>
    <row r="129">
      <c r="A129" s="24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5" t="n">
        <v>0.05678</v>
      </c>
    </row>
    <row r="130">
      <c r="A130" s="24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5" t="n">
        <v>0.357537</v>
      </c>
    </row>
    <row r="131">
      <c r="A131" s="24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5" t="n">
        <v>1.016737</v>
      </c>
    </row>
    <row r="132">
      <c r="A132" s="24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5" t="n">
        <v>1.302651</v>
      </c>
    </row>
    <row r="133">
      <c r="A133" s="24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5" t="n">
        <v>1.872122</v>
      </c>
    </row>
    <row r="134">
      <c r="A134" s="24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5" t="n">
        <v>2.221263</v>
      </c>
    </row>
    <row r="135">
      <c r="A135" s="24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5" t="n">
        <v>1.439568</v>
      </c>
    </row>
    <row r="136">
      <c r="A136" s="24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5" t="n">
        <v>0.811735</v>
      </c>
    </row>
    <row r="137">
      <c r="A137" s="24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5" t="n">
        <v>0.406075</v>
      </c>
    </row>
    <row r="138">
      <c r="A138" s="24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5" t="n">
        <v>0.30693</v>
      </c>
    </row>
    <row r="139">
      <c r="A139" s="24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5" t="n">
        <v>0.077695</v>
      </c>
    </row>
    <row r="140">
      <c r="A140" s="24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5" t="n">
        <v>0.045168</v>
      </c>
    </row>
    <row r="141">
      <c r="A141" s="24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5" t="n">
        <v>0.026869</v>
      </c>
    </row>
    <row r="142">
      <c r="A142" s="24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5" t="n">
        <v>0.012395</v>
      </c>
    </row>
    <row r="143">
      <c r="A143" s="24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5" t="n">
        <v>0.048356</v>
      </c>
    </row>
    <row r="144">
      <c r="A144" s="24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5" t="n">
        <v>0.047727</v>
      </c>
    </row>
    <row r="145">
      <c r="A145" s="24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5" t="n">
        <v>0.085052</v>
      </c>
    </row>
    <row r="146">
      <c r="A146" s="24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5" t="n">
        <v>0.241675</v>
      </c>
    </row>
    <row r="147">
      <c r="A147" s="24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5" t="n">
        <v>0.375917</v>
      </c>
    </row>
    <row r="148">
      <c r="A148" s="24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5" t="n">
        <v>0.662767</v>
      </c>
    </row>
    <row r="149">
      <c r="A149" s="24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5" t="n">
        <v>0.661618</v>
      </c>
    </row>
    <row r="150">
      <c r="A150" s="24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5" t="n">
        <v>0.401468</v>
      </c>
    </row>
    <row r="151">
      <c r="A151" s="24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5" t="n">
        <v>0.402998</v>
      </c>
    </row>
    <row r="152">
      <c r="A152" s="24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5" t="n">
        <v>0.373014</v>
      </c>
    </row>
    <row r="153">
      <c r="A153" s="24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5" t="n">
        <v>0.418127</v>
      </c>
    </row>
    <row r="154">
      <c r="A154" s="24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5" t="n">
        <v>0.862717</v>
      </c>
    </row>
    <row r="155">
      <c r="A155" s="24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5" t="n">
        <v>0.904008</v>
      </c>
    </row>
    <row r="156">
      <c r="A156" s="24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5" t="n">
        <v>1.372636</v>
      </c>
    </row>
    <row r="157">
      <c r="A157" s="24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5" t="n">
        <v>1.323482</v>
      </c>
    </row>
    <row r="158">
      <c r="A158" s="24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5" t="n">
        <v>0.410739</v>
      </c>
    </row>
    <row r="159">
      <c r="A159" s="24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5" t="n">
        <v>0.411311</v>
      </c>
    </row>
    <row r="160">
      <c r="A160" s="24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5" t="n">
        <v>0.413173</v>
      </c>
    </row>
    <row r="161">
      <c r="A161" s="24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5" t="n">
        <v>0.409364</v>
      </c>
    </row>
    <row r="162">
      <c r="A162" s="24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5" t="n">
        <v>0.234937</v>
      </c>
    </row>
    <row r="163">
      <c r="A163" s="24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5" t="n">
        <v>0.161422</v>
      </c>
    </row>
    <row r="164">
      <c r="A164" s="24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5" t="n">
        <v>0.204432</v>
      </c>
    </row>
    <row r="165">
      <c r="A165" s="24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5" t="n">
        <v>0.119406</v>
      </c>
    </row>
    <row r="166">
      <c r="A166" s="24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5" t="n">
        <v>0.160749</v>
      </c>
    </row>
    <row r="167">
      <c r="A167" s="24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5" t="n">
        <v>0.361556</v>
      </c>
    </row>
    <row r="168">
      <c r="A168" s="24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5" t="n">
        <v>0.388558</v>
      </c>
    </row>
    <row r="169">
      <c r="A169" s="24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5" t="n">
        <v>0.311191</v>
      </c>
    </row>
    <row r="170">
      <c r="A170" s="24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5" t="n">
        <v>0.396073</v>
      </c>
    </row>
    <row r="171">
      <c r="A171" s="24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5" t="n">
        <v>0.412906</v>
      </c>
    </row>
    <row r="172">
      <c r="A172" s="24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5" t="n">
        <v>1.320468</v>
      </c>
    </row>
    <row r="173">
      <c r="A173" s="24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5" t="n">
        <v>1.919388</v>
      </c>
    </row>
    <row r="174">
      <c r="A174" s="24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5" t="n">
        <v>1.491162</v>
      </c>
    </row>
    <row r="175">
      <c r="A175" s="24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5" t="n">
        <v>0.8853220000000001</v>
      </c>
    </row>
    <row r="176">
      <c r="A176" s="24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5" t="n">
        <v>0.412207</v>
      </c>
    </row>
    <row r="177">
      <c r="A177" s="24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5" t="n">
        <v>0.635778</v>
      </c>
    </row>
    <row r="178">
      <c r="A178" s="24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5" t="n">
        <v>1.314474</v>
      </c>
    </row>
    <row r="179">
      <c r="A179" s="24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5" t="n">
        <v>1.614226</v>
      </c>
    </row>
    <row r="180">
      <c r="A180" s="24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5" t="n">
        <v>1.051864</v>
      </c>
    </row>
    <row r="181">
      <c r="A181" s="24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5" t="n">
        <v>1.036266</v>
      </c>
    </row>
    <row r="182">
      <c r="A182" s="24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5" t="n">
        <v>1.005147</v>
      </c>
    </row>
    <row r="183">
      <c r="A183" s="24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5" t="n">
        <v>0.496609</v>
      </c>
    </row>
    <row r="184">
      <c r="A184" s="24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5" t="n">
        <v>0.40663</v>
      </c>
    </row>
    <row r="185">
      <c r="A185" s="24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5" t="n">
        <v>0.310742</v>
      </c>
    </row>
    <row r="186">
      <c r="A186" s="24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5" t="n">
        <v>0.216457</v>
      </c>
    </row>
    <row r="187">
      <c r="A187" s="24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5" t="n">
        <v>0.235601</v>
      </c>
    </row>
    <row r="188">
      <c r="A188" s="24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5" t="n">
        <v>0.09687</v>
      </c>
    </row>
    <row r="189">
      <c r="A189" s="24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5" t="n">
        <v>0.032737</v>
      </c>
    </row>
    <row r="190">
      <c r="A190" s="24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5" t="n">
        <v>0.017482</v>
      </c>
    </row>
    <row r="191">
      <c r="A191" s="24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5" t="n">
        <v>0.010497</v>
      </c>
    </row>
    <row r="192">
      <c r="A192" s="24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5" t="n">
        <v>0.015185</v>
      </c>
    </row>
    <row r="193">
      <c r="A193" s="24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5" t="n">
        <v>0.010936</v>
      </c>
    </row>
    <row r="194">
      <c r="A194" s="24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5" t="n">
        <v>0.006378</v>
      </c>
    </row>
    <row r="195">
      <c r="A195" s="24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5" t="n">
        <v>0.00564</v>
      </c>
    </row>
    <row r="196">
      <c r="A196" s="24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5" t="n">
        <v>0.002679</v>
      </c>
    </row>
    <row r="197">
      <c r="A197" s="24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5" t="n">
        <v>0.002455</v>
      </c>
    </row>
    <row r="198">
      <c r="A198" s="24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5" t="n">
        <v>0.00413</v>
      </c>
    </row>
    <row r="199">
      <c r="A199" s="24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5" t="n">
        <v>0.027359</v>
      </c>
    </row>
    <row r="200">
      <c r="A200" s="24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5" t="n">
        <v>0.018575</v>
      </c>
    </row>
    <row r="201">
      <c r="A201" s="24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5" t="n">
        <v>0.041223</v>
      </c>
    </row>
    <row r="202">
      <c r="A202" s="24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5" t="n">
        <v>0.018422</v>
      </c>
    </row>
    <row r="203">
      <c r="A203" s="24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5" t="n">
        <v>0.023569</v>
      </c>
    </row>
    <row r="204">
      <c r="A204" s="24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5" t="n">
        <v>0.210795</v>
      </c>
    </row>
    <row r="205">
      <c r="A205" s="24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5" t="n">
        <v>0.128167</v>
      </c>
    </row>
    <row r="206">
      <c r="A206" s="24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5" t="n">
        <v>0.073282</v>
      </c>
    </row>
    <row r="207">
      <c r="A207" s="24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5" t="n">
        <v>0.280956</v>
      </c>
    </row>
    <row r="208">
      <c r="A208" s="24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5" t="n">
        <v>0.810877</v>
      </c>
    </row>
    <row r="209">
      <c r="A209" s="24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5" t="n">
        <v>0.8313</v>
      </c>
    </row>
    <row r="210">
      <c r="A210" s="24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5" t="n">
        <v>0.399716</v>
      </c>
    </row>
    <row r="211">
      <c r="A211" s="24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5" t="n">
        <v>0.402277</v>
      </c>
    </row>
    <row r="212">
      <c r="A212" s="24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5" t="n">
        <v>0.402136</v>
      </c>
    </row>
    <row r="213">
      <c r="A213" s="24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5" t="n">
        <v>0.191494</v>
      </c>
    </row>
    <row r="214">
      <c r="A214" s="24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5" t="n">
        <v>0.13124</v>
      </c>
    </row>
    <row r="215">
      <c r="A215" s="24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5" t="n">
        <v>0.1488</v>
      </c>
    </row>
    <row r="216">
      <c r="A216" s="24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5" t="n">
        <v>0.156199</v>
      </c>
    </row>
    <row r="217">
      <c r="A217" s="24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5" t="n">
        <v>0.064612</v>
      </c>
    </row>
    <row r="218">
      <c r="A218" s="24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5" t="n">
        <v>0.038485</v>
      </c>
    </row>
    <row r="219">
      <c r="A219" s="24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5" t="n">
        <v>0.077959</v>
      </c>
    </row>
    <row r="220">
      <c r="A220" s="24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5" t="n">
        <v>0.023284</v>
      </c>
    </row>
    <row r="221">
      <c r="A221" s="24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5" t="n">
        <v>0.042779</v>
      </c>
    </row>
    <row r="222">
      <c r="A222" s="24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5" t="n">
        <v>0.07101399999999999</v>
      </c>
    </row>
    <row r="223">
      <c r="A223" s="24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5" t="n">
        <v>0.042101</v>
      </c>
    </row>
    <row r="224">
      <c r="A224" s="24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5" t="n">
        <v>0.050853</v>
      </c>
    </row>
    <row r="225">
      <c r="A225" s="24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5" t="n">
        <v>0.035901</v>
      </c>
    </row>
    <row r="226">
      <c r="A226" s="24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5" t="n">
        <v>0.010209</v>
      </c>
    </row>
    <row r="227">
      <c r="A227" s="24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5" t="n">
        <v>0.008399999999999999</v>
      </c>
    </row>
    <row r="228">
      <c r="A228" s="24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5" t="n">
        <v>0.003879</v>
      </c>
    </row>
    <row r="229">
      <c r="A229" s="24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5" t="n">
        <v>0.114565</v>
      </c>
    </row>
    <row r="230">
      <c r="A230" s="24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5" t="n">
        <v>0.049028</v>
      </c>
    </row>
    <row r="231">
      <c r="A231" s="24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5" t="n">
        <v>0.019418</v>
      </c>
    </row>
    <row r="232">
      <c r="A232" s="24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5" t="n">
        <v>0.009044</v>
      </c>
    </row>
    <row r="233">
      <c r="A233" s="24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5" t="n">
        <v>0.00665</v>
      </c>
    </row>
    <row r="234">
      <c r="A234" s="24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5" t="n">
        <v>0.016235</v>
      </c>
    </row>
    <row r="235">
      <c r="A235" s="24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5" t="n">
        <v>0.012863</v>
      </c>
    </row>
    <row r="236">
      <c r="A236" s="24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5" t="n">
        <v>0.011703</v>
      </c>
    </row>
    <row r="237">
      <c r="A237" s="24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5" t="n">
        <v>0.006791</v>
      </c>
    </row>
    <row r="238">
      <c r="A238" s="24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5" t="n">
        <v>0.006263</v>
      </c>
    </row>
    <row r="239">
      <c r="A239" s="24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5" t="n">
        <v>0.012595</v>
      </c>
    </row>
    <row r="240">
      <c r="A240" s="24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5" t="n">
        <v>0.006524</v>
      </c>
    </row>
    <row r="241">
      <c r="A241" s="24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5" t="n">
        <v>0.008630000000000001</v>
      </c>
    </row>
    <row r="242">
      <c r="A242" s="24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5" t="n">
        <v>0.003937</v>
      </c>
    </row>
    <row r="243">
      <c r="A243" s="24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5" t="n">
        <v>0.007477</v>
      </c>
    </row>
    <row r="244">
      <c r="A244" s="24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5" t="n">
        <v>0.012856</v>
      </c>
    </row>
    <row r="245">
      <c r="A245" s="24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5" t="n">
        <v>0.037977</v>
      </c>
    </row>
    <row r="246">
      <c r="A246" s="24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5" t="n">
        <v>0.016851</v>
      </c>
    </row>
    <row r="247">
      <c r="A247" s="24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5" t="n">
        <v>0.032731</v>
      </c>
    </row>
    <row r="248">
      <c r="A248" s="24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5" t="n">
        <v>0.011506</v>
      </c>
    </row>
    <row r="249">
      <c r="A249" s="24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5" t="n">
        <v>0.015174</v>
      </c>
    </row>
    <row r="250">
      <c r="A250" s="24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5" t="n">
        <v>0.020834</v>
      </c>
    </row>
    <row r="251">
      <c r="A251" s="24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5" t="n">
        <v>0.012975</v>
      </c>
    </row>
    <row r="252">
      <c r="A252" s="24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5" t="n">
        <v>0.172905</v>
      </c>
    </row>
    <row r="253">
      <c r="A253" s="24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5" t="n">
        <v>0.058206</v>
      </c>
    </row>
    <row r="254">
      <c r="A254" s="24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5" t="n">
        <v>0.05374</v>
      </c>
    </row>
    <row r="255">
      <c r="A255" s="24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5" t="n">
        <v>0.344069</v>
      </c>
    </row>
    <row r="256">
      <c r="A256" s="24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5" t="n">
        <v>0.380414</v>
      </c>
    </row>
    <row r="257">
      <c r="A257" s="24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5" t="n">
        <v>0.392679</v>
      </c>
    </row>
    <row r="258">
      <c r="A258" s="24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5" t="n">
        <v>0.296505</v>
      </c>
    </row>
    <row r="259">
      <c r="A259" s="24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5" t="n">
        <v>0.092199</v>
      </c>
    </row>
    <row r="260">
      <c r="A260" s="24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5" t="n">
        <v>0.070337</v>
      </c>
    </row>
    <row r="261">
      <c r="A261" s="24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5" t="n">
        <v>0.355102</v>
      </c>
    </row>
    <row r="262">
      <c r="A262" s="24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5" t="n">
        <v>0.384717</v>
      </c>
    </row>
    <row r="263">
      <c r="A263" s="24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5" t="n">
        <v>0.153125</v>
      </c>
    </row>
    <row r="264">
      <c r="A264" s="24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5" t="n">
        <v>0.074118</v>
      </c>
    </row>
    <row r="265">
      <c r="A265" s="24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5" t="n">
        <v>0.039437</v>
      </c>
    </row>
    <row r="266">
      <c r="A266" s="24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5" t="n">
        <v>0.09107800000000001</v>
      </c>
    </row>
    <row r="267">
      <c r="A267" s="24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5" t="n">
        <v>0.226475</v>
      </c>
    </row>
    <row r="268">
      <c r="A268" s="24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5" t="n">
        <v>0.217287</v>
      </c>
    </row>
    <row r="269">
      <c r="A269" s="24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5" t="n">
        <v>0.194742</v>
      </c>
    </row>
    <row r="270">
      <c r="A270" s="24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5" t="n">
        <v>0.099012</v>
      </c>
    </row>
    <row r="271">
      <c r="A271" s="24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5" t="n">
        <v>0.357905</v>
      </c>
    </row>
    <row r="272">
      <c r="A272" s="24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5" t="n">
        <v>0.386453</v>
      </c>
    </row>
    <row r="273">
      <c r="A273" s="24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5" t="n">
        <v>0.400605</v>
      </c>
    </row>
    <row r="274">
      <c r="A274" s="24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5" t="n">
        <v>0.424592</v>
      </c>
    </row>
    <row r="275">
      <c r="A275" s="24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5" t="n">
        <v>0.49826</v>
      </c>
    </row>
    <row r="276">
      <c r="A276" s="24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5" t="n">
        <v>0.483718</v>
      </c>
    </row>
    <row r="277">
      <c r="A277" s="24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5" t="n">
        <v>0.751351</v>
      </c>
    </row>
    <row r="278">
      <c r="A278" s="24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5" t="n">
        <v>0.779556</v>
      </c>
    </row>
    <row r="279">
      <c r="A279" s="24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5" t="n">
        <v>0.436175</v>
      </c>
    </row>
    <row r="280">
      <c r="A280" s="24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5" t="n">
        <v>0.407186</v>
      </c>
    </row>
    <row r="281">
      <c r="A281" s="24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5" t="n">
        <v>0.407925</v>
      </c>
    </row>
    <row r="282">
      <c r="A282" s="24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5" t="n">
        <v>0.125999</v>
      </c>
    </row>
    <row r="283">
      <c r="A283" s="24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5" t="n">
        <v>0.052335</v>
      </c>
    </row>
    <row r="284">
      <c r="A284" s="24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5" t="n">
        <v>0.026427</v>
      </c>
    </row>
    <row r="285">
      <c r="A285" s="24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5" t="n">
        <v>0.031136</v>
      </c>
    </row>
    <row r="286">
      <c r="A286" s="24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5" t="n">
        <v>0.041171</v>
      </c>
    </row>
    <row r="287">
      <c r="A287" s="24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5" t="n">
        <v>0.021777</v>
      </c>
    </row>
    <row r="288">
      <c r="A288" s="24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5" t="n">
        <v>0.183357</v>
      </c>
    </row>
    <row r="289">
      <c r="A289" s="24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5" t="n">
        <v>0.082957</v>
      </c>
    </row>
    <row r="290">
      <c r="A290" s="24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5" t="n">
        <v>0.07821599999999999</v>
      </c>
    </row>
    <row r="291">
      <c r="A291" s="24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5" t="n">
        <v>0.071326</v>
      </c>
    </row>
    <row r="292">
      <c r="A292" s="24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5" t="n">
        <v>0.064968</v>
      </c>
    </row>
    <row r="293">
      <c r="A293" s="24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5" t="n">
        <v>0.031638</v>
      </c>
    </row>
    <row r="294">
      <c r="A294" s="24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5" t="n">
        <v>0.083217</v>
      </c>
    </row>
    <row r="295">
      <c r="A295" s="24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5" t="n">
        <v>0.044858</v>
      </c>
    </row>
    <row r="296">
      <c r="A296" s="24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5" t="n">
        <v>0.052201</v>
      </c>
    </row>
    <row r="297">
      <c r="A297" s="24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5" t="n">
        <v>0.025016</v>
      </c>
    </row>
    <row r="298">
      <c r="A298" s="24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5" t="n">
        <v>0.021173</v>
      </c>
    </row>
    <row r="299">
      <c r="A299" s="24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5" t="n">
        <v>0.023424</v>
      </c>
    </row>
    <row r="300">
      <c r="A300" s="24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5" t="n">
        <v>0.019573</v>
      </c>
    </row>
    <row r="301">
      <c r="A301" s="24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5" t="n">
        <v>0.026115</v>
      </c>
    </row>
    <row r="302">
      <c r="A302" s="24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5" t="n">
        <v>0.005993</v>
      </c>
    </row>
    <row r="303">
      <c r="A303" s="24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5" t="n">
        <v>0.088398</v>
      </c>
    </row>
    <row r="304">
      <c r="A304" s="24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5" t="n">
        <v>0.0328</v>
      </c>
    </row>
    <row r="305">
      <c r="A305" s="24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5" t="n">
        <v>0.039383</v>
      </c>
    </row>
    <row r="306">
      <c r="A306" s="24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5" t="n">
        <v>0.108681</v>
      </c>
    </row>
    <row r="307">
      <c r="A307" s="24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5" t="n">
        <v>0.350635</v>
      </c>
    </row>
    <row r="308">
      <c r="A308" s="24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5" t="n">
        <v>0.382646</v>
      </c>
    </row>
    <row r="309">
      <c r="A309" s="24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5" t="n">
        <v>0.311779</v>
      </c>
    </row>
    <row r="310">
      <c r="A310" s="24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5" t="n">
        <v>0.185924</v>
      </c>
    </row>
    <row r="311">
      <c r="A311" s="24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5" t="n">
        <v>0.128525</v>
      </c>
    </row>
    <row r="312">
      <c r="A312" s="24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5" t="n">
        <v>0.155514</v>
      </c>
    </row>
    <row r="313">
      <c r="A313" s="24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5" t="n">
        <v>0.219321</v>
      </c>
    </row>
    <row r="314">
      <c r="A314" s="24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5" t="n">
        <v>0.06998</v>
      </c>
    </row>
    <row r="315">
      <c r="A315" s="24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5" t="n">
        <v>0.097244</v>
      </c>
    </row>
    <row r="316">
      <c r="A316" s="24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5" t="n">
        <v>0.113263</v>
      </c>
    </row>
    <row r="317">
      <c r="A317" s="24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5" t="n">
        <v>0.053624</v>
      </c>
    </row>
    <row r="318">
      <c r="A318" s="24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5" t="n">
        <v>0.065456</v>
      </c>
    </row>
    <row r="319">
      <c r="A319" s="24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5" t="n">
        <v>0.056271</v>
      </c>
    </row>
    <row r="320">
      <c r="A320" s="24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5" t="n">
        <v>0.084118</v>
      </c>
    </row>
    <row r="321">
      <c r="A321" s="24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5" t="n">
        <v>0.041253</v>
      </c>
    </row>
    <row r="322">
      <c r="A322" s="24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5" t="n">
        <v>0.062382</v>
      </c>
    </row>
    <row r="323">
      <c r="A323" s="24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5" t="n">
        <v>0.04193</v>
      </c>
    </row>
    <row r="324">
      <c r="A324" s="24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5" t="n">
        <v>0.02873</v>
      </c>
    </row>
    <row r="325">
      <c r="A325" s="24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5" t="n">
        <v>0.0327</v>
      </c>
    </row>
    <row r="326">
      <c r="A326" s="24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5" t="n">
        <v>0.036235</v>
      </c>
    </row>
    <row r="327">
      <c r="A327" s="24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5" t="n">
        <v>0.056906</v>
      </c>
    </row>
    <row r="328">
      <c r="A328" s="24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5" t="n">
        <v>0.041076</v>
      </c>
    </row>
    <row r="329">
      <c r="A329" s="24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5" t="n">
        <v>0.03449</v>
      </c>
    </row>
    <row r="330">
      <c r="A330" s="24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5" t="n">
        <v>0.153064</v>
      </c>
    </row>
    <row r="331">
      <c r="A331" s="24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5" t="n">
        <v>0.04378</v>
      </c>
    </row>
    <row r="332">
      <c r="A332" s="24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5" t="n">
        <v>0.06404600000000001</v>
      </c>
    </row>
    <row r="333">
      <c r="A333" s="24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5" t="n">
        <v>0.07446800000000001</v>
      </c>
    </row>
    <row r="334">
      <c r="A334" s="24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5" t="n">
        <v>0.035049</v>
      </c>
    </row>
    <row r="335">
      <c r="A335" s="24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5" t="n">
        <v>0.08444699999999999</v>
      </c>
    </row>
    <row r="336">
      <c r="A336" s="24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5" t="n">
        <v>0.055184</v>
      </c>
    </row>
    <row r="337">
      <c r="A337" s="24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5" t="n">
        <v>0.171161</v>
      </c>
    </row>
    <row r="338">
      <c r="A338" s="24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5" t="n">
        <v>0.099325</v>
      </c>
    </row>
    <row r="339">
      <c r="A339" s="24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5" t="n">
        <v>0.063597</v>
      </c>
    </row>
    <row r="340">
      <c r="A340" s="24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5" t="n">
        <v>0.053133</v>
      </c>
    </row>
    <row r="341">
      <c r="A341" s="24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5" t="n">
        <v>0.113377</v>
      </c>
    </row>
    <row r="342">
      <c r="A342" s="24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5" t="n">
        <v>0.048032</v>
      </c>
    </row>
    <row r="343">
      <c r="A343" s="24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5" t="n">
        <v>0.049533</v>
      </c>
    </row>
    <row r="344">
      <c r="A344" s="24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5" t="n">
        <v>0.149969</v>
      </c>
    </row>
    <row r="345">
      <c r="A345" s="24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5" t="n">
        <v>0.076534</v>
      </c>
    </row>
    <row r="346">
      <c r="A346" s="24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5" t="n">
        <v>0.070642</v>
      </c>
    </row>
    <row r="347">
      <c r="A347" s="24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5" t="n">
        <v>0.045929</v>
      </c>
    </row>
    <row r="348">
      <c r="A348" s="24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5" t="n">
        <v>0.020468</v>
      </c>
    </row>
    <row r="349">
      <c r="A349" s="24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5" t="n">
        <v>0.041108</v>
      </c>
    </row>
    <row r="350">
      <c r="A350" s="24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5" t="n">
        <v>0.084019</v>
      </c>
    </row>
    <row r="351">
      <c r="A351" s="24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5" t="n">
        <v>0.144434</v>
      </c>
    </row>
    <row r="352">
      <c r="A352" s="24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5" t="n">
        <v>0.045495</v>
      </c>
    </row>
    <row r="353">
      <c r="A353" s="24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5" t="n">
        <v>0.028911</v>
      </c>
    </row>
    <row r="354">
      <c r="A354" s="24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5" t="n">
        <v>0.028888</v>
      </c>
    </row>
    <row r="355">
      <c r="A355" s="24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5" t="n">
        <v>0.022574</v>
      </c>
    </row>
    <row r="356">
      <c r="A356" s="24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5" t="n">
        <v>0.024811</v>
      </c>
    </row>
    <row r="357">
      <c r="A357" s="24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5" t="n">
        <v>0.018359</v>
      </c>
    </row>
    <row r="358">
      <c r="A358" s="24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5" t="n">
        <v>0.014432</v>
      </c>
    </row>
    <row r="359">
      <c r="A359" s="24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5" t="n">
        <v>0.034483</v>
      </c>
    </row>
    <row r="360">
      <c r="A360" s="24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5" t="n">
        <v>0.025246</v>
      </c>
    </row>
    <row r="361">
      <c r="A361" s="24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5" t="n">
        <v>0.019219</v>
      </c>
    </row>
    <row r="362">
      <c r="A362" s="24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5" t="n">
        <v>0.01899</v>
      </c>
    </row>
    <row r="363">
      <c r="A363" s="24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5" t="n">
        <v>0.025002</v>
      </c>
    </row>
    <row r="364">
      <c r="A364" s="24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5" t="n">
        <v>0.101496</v>
      </c>
    </row>
    <row r="365">
      <c r="A365" s="24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5" t="n">
        <v>0.07145600000000001</v>
      </c>
    </row>
    <row r="366">
      <c r="A366" s="24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5" t="n">
        <v>0.10093</v>
      </c>
    </row>
    <row r="367">
      <c r="A367" s="24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5" t="n">
        <v>0.050148</v>
      </c>
    </row>
    <row r="368">
      <c r="A368" s="24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5" t="n">
        <v>0.063846</v>
      </c>
    </row>
    <row r="369">
      <c r="A369" s="24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5" t="n">
        <v>0.09902</v>
      </c>
    </row>
    <row r="370">
      <c r="A370" s="24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5" t="n">
        <v>0.030366</v>
      </c>
    </row>
    <row r="371">
      <c r="A371" s="24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5" t="n">
        <v>0.099344</v>
      </c>
    </row>
    <row r="372">
      <c r="A372" s="24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5" t="n">
        <v>0.232291</v>
      </c>
    </row>
    <row r="373">
      <c r="A373" s="24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5" t="n">
        <v>0.173478</v>
      </c>
    </row>
    <row r="374">
      <c r="A374" s="24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5" t="n">
        <v>0.097931</v>
      </c>
    </row>
    <row r="375">
      <c r="A375" s="24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5" t="n">
        <v>0.060376</v>
      </c>
    </row>
    <row r="376">
      <c r="A376" s="24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5" t="n">
        <v>0.034701</v>
      </c>
    </row>
    <row r="377">
      <c r="A377" s="24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5" t="n">
        <v>0.018053</v>
      </c>
    </row>
    <row r="378">
      <c r="A378" s="24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5" t="n">
        <v>0.140957</v>
      </c>
    </row>
    <row r="379">
      <c r="A379" s="24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5" t="n">
        <v>0.057323</v>
      </c>
    </row>
    <row r="380">
      <c r="A380" s="24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5" t="n">
        <v>0.032119</v>
      </c>
    </row>
    <row r="381">
      <c r="A381" s="24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5" t="n">
        <v>0.027883</v>
      </c>
    </row>
    <row r="382">
      <c r="A382" s="24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5" t="n">
        <v>0.019494</v>
      </c>
    </row>
    <row r="383">
      <c r="A383" s="24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5" t="n">
        <v>0.034567</v>
      </c>
    </row>
    <row r="384">
      <c r="A384" s="24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5" t="n">
        <v>0.04754</v>
      </c>
    </row>
    <row r="385">
      <c r="A385" s="24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5" t="n">
        <v>0.023616</v>
      </c>
    </row>
    <row r="386">
      <c r="A386" s="24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5" t="n">
        <v>0.047511</v>
      </c>
    </row>
    <row r="387">
      <c r="A387" s="24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5" t="n">
        <v>0.084786</v>
      </c>
    </row>
    <row r="388">
      <c r="A388" s="24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5" t="n">
        <v>0.0649</v>
      </c>
    </row>
    <row r="389">
      <c r="A389" s="24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5" t="n">
        <v>0.051746</v>
      </c>
    </row>
    <row r="390">
      <c r="A390" s="24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5" t="n">
        <v>0.052889</v>
      </c>
    </row>
    <row r="391">
      <c r="A391" s="24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5" t="n">
        <v>0.209862</v>
      </c>
    </row>
    <row r="392">
      <c r="A392" s="24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5" t="n">
        <v>0.05201</v>
      </c>
    </row>
    <row r="393">
      <c r="A393" s="24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5" t="n">
        <v>0.158047</v>
      </c>
    </row>
    <row r="394">
      <c r="A394" s="24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5" t="n">
        <v>0.273612</v>
      </c>
    </row>
    <row r="395">
      <c r="A395" s="24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5" t="n">
        <v>0.09378</v>
      </c>
    </row>
    <row r="396">
      <c r="A396" s="24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5" t="n">
        <v>0.050489</v>
      </c>
    </row>
    <row r="397">
      <c r="A397" s="24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5" t="n">
        <v>0.028503</v>
      </c>
    </row>
    <row r="398">
      <c r="A398" s="24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5" t="n">
        <v>0.028771</v>
      </c>
    </row>
    <row r="399">
      <c r="A399" s="24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5" t="n">
        <v>0.010423</v>
      </c>
    </row>
    <row r="400">
      <c r="A400" s="24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5" t="n">
        <v>0.008181000000000001</v>
      </c>
    </row>
    <row r="401">
      <c r="A401" s="24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5" t="n">
        <v>0.033629</v>
      </c>
    </row>
    <row r="402">
      <c r="A402" s="24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5" t="n">
        <v>0.031038</v>
      </c>
    </row>
    <row r="403">
      <c r="A403" s="24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5" t="n">
        <v>0.020235</v>
      </c>
    </row>
    <row r="404">
      <c r="A404" s="24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5" t="n">
        <v>0.070489</v>
      </c>
    </row>
    <row r="405">
      <c r="A405" s="24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5" t="n">
        <v>0.046375</v>
      </c>
    </row>
    <row r="406">
      <c r="A406" s="24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5" t="n">
        <v>0.103085</v>
      </c>
    </row>
    <row r="407">
      <c r="A407" s="24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5" t="n">
        <v>0.05673</v>
      </c>
    </row>
    <row r="408">
      <c r="A408" s="24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5" t="n">
        <v>0.033498</v>
      </c>
    </row>
    <row r="409">
      <c r="A409" s="24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5" t="n">
        <v>0.038768</v>
      </c>
    </row>
    <row r="410">
      <c r="A410" s="24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5" t="n">
        <v>0.023113</v>
      </c>
    </row>
    <row r="411">
      <c r="A411" s="24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5" t="n">
        <v>0.021491</v>
      </c>
    </row>
    <row r="412">
      <c r="A412" s="24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5" t="n">
        <v>0.014419</v>
      </c>
    </row>
    <row r="413">
      <c r="A413" s="24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5" t="n">
        <v>0.00975</v>
      </c>
    </row>
    <row r="414">
      <c r="A414" s="24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5" t="n">
        <v>0.035919</v>
      </c>
    </row>
    <row r="415">
      <c r="A415" s="24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5" t="n">
        <v>0.013295</v>
      </c>
    </row>
    <row r="416">
      <c r="A416" s="24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5" t="n">
        <v>0.067925</v>
      </c>
    </row>
    <row r="417">
      <c r="A417" s="24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5" t="n">
        <v>0.020453</v>
      </c>
    </row>
    <row r="418">
      <c r="A418" s="24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5" t="n">
        <v>0.015858</v>
      </c>
    </row>
    <row r="419">
      <c r="A419" s="24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5" t="n">
        <v>0.031958</v>
      </c>
    </row>
    <row r="420">
      <c r="A420" s="24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5" t="n">
        <v>0.025005</v>
      </c>
    </row>
    <row r="421">
      <c r="A421" s="24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5" t="n">
        <v>0.020389</v>
      </c>
    </row>
    <row r="422">
      <c r="A422" s="24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5" t="n">
        <v>0.009542</v>
      </c>
    </row>
    <row r="423">
      <c r="A423" s="24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5" t="n">
        <v>0.026036</v>
      </c>
    </row>
    <row r="424">
      <c r="A424" s="24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5" t="n">
        <v>0.017023</v>
      </c>
    </row>
    <row r="425">
      <c r="A425" s="24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5" t="n">
        <v>0.035736</v>
      </c>
    </row>
    <row r="426">
      <c r="A426" s="24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5" t="n">
        <v>0.060296</v>
      </c>
    </row>
    <row r="427">
      <c r="A427" s="24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5" t="n">
        <v>0.022058</v>
      </c>
    </row>
    <row r="428">
      <c r="A428" s="24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5" t="n">
        <v>0.020074</v>
      </c>
    </row>
    <row r="429">
      <c r="A429" s="24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5" t="n">
        <v>0.034435</v>
      </c>
    </row>
    <row r="430">
      <c r="A430" s="24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5" t="n">
        <v>0.050663</v>
      </c>
    </row>
    <row r="431">
      <c r="A431" s="24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5" t="n">
        <v>0.091707</v>
      </c>
    </row>
    <row r="432">
      <c r="A432" s="24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5" t="n">
        <v>0.041866</v>
      </c>
    </row>
    <row r="433">
      <c r="A433" s="24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5" t="n">
        <v>0.042153</v>
      </c>
    </row>
    <row r="434">
      <c r="A434" s="24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5" t="n">
        <v>0.078378</v>
      </c>
    </row>
    <row r="435">
      <c r="A435" s="24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5" t="n">
        <v>0.111219</v>
      </c>
    </row>
    <row r="436">
      <c r="A436" s="24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5" t="n">
        <v>0.222064</v>
      </c>
    </row>
    <row r="437">
      <c r="A437" s="24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5" t="n">
        <v>0.25971</v>
      </c>
    </row>
    <row r="438">
      <c r="A438" s="24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5" t="n">
        <v>0.137493</v>
      </c>
    </row>
    <row r="439">
      <c r="A439" s="24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5" t="n">
        <v>0.282964</v>
      </c>
    </row>
    <row r="440">
      <c r="A440" s="24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5" t="n">
        <v>0.378915</v>
      </c>
    </row>
    <row r="441">
      <c r="A441" s="24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5" t="n">
        <v>0.153167</v>
      </c>
    </row>
    <row r="442">
      <c r="A442" s="24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5" t="n">
        <v>0.148967</v>
      </c>
    </row>
    <row r="443">
      <c r="A443" s="24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5" t="n">
        <v>0.134815</v>
      </c>
    </row>
    <row r="444">
      <c r="A444" s="24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5" t="n">
        <v>0.043184</v>
      </c>
    </row>
    <row r="445">
      <c r="A445" s="24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5" t="n">
        <v>0.03733</v>
      </c>
    </row>
    <row r="446">
      <c r="A446" s="24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5" t="n">
        <v>0.016523</v>
      </c>
    </row>
    <row r="447">
      <c r="A447" s="24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5" t="n">
        <v>0.016019</v>
      </c>
    </row>
    <row r="448">
      <c r="A448" s="24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5" t="n">
        <v>0.012841</v>
      </c>
    </row>
    <row r="449">
      <c r="A449" s="24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5" t="n">
        <v>0.035562</v>
      </c>
    </row>
    <row r="450">
      <c r="A450" s="24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5" t="n">
        <v>0.032736</v>
      </c>
    </row>
    <row r="451">
      <c r="A451" s="24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5" t="n">
        <v>0.064612</v>
      </c>
    </row>
    <row r="452">
      <c r="A452" s="24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5" t="n">
        <v>0.296558</v>
      </c>
    </row>
    <row r="453">
      <c r="A453" s="24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5" t="n">
        <v>0.120224</v>
      </c>
    </row>
    <row r="454">
      <c r="A454" s="24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5" t="n">
        <v>0.058157</v>
      </c>
    </row>
    <row r="455">
      <c r="A455" s="24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5" t="n">
        <v>0.062566</v>
      </c>
    </row>
    <row r="456">
      <c r="A456" s="24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5" t="n">
        <v>0.09587900000000001</v>
      </c>
    </row>
    <row r="457">
      <c r="A457" s="24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5" t="n">
        <v>0.130922</v>
      </c>
    </row>
    <row r="458">
      <c r="A458" s="24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5" t="n">
        <v>0.215633</v>
      </c>
    </row>
    <row r="459">
      <c r="A459" s="24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5" t="n">
        <v>0.133199</v>
      </c>
    </row>
    <row r="460">
      <c r="A460" s="24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5" t="n">
        <v>0.09059</v>
      </c>
    </row>
    <row r="461">
      <c r="A461" s="24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5" t="n">
        <v>0.086843</v>
      </c>
    </row>
    <row r="462">
      <c r="A462" s="24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5" t="n">
        <v>0.041954</v>
      </c>
    </row>
    <row r="463">
      <c r="A463" s="24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5" t="n">
        <v>0.022427</v>
      </c>
    </row>
    <row r="464">
      <c r="A464" s="24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5" t="n">
        <v>0.009665</v>
      </c>
    </row>
    <row r="465">
      <c r="A465" s="24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5" t="n">
        <v>0.007002</v>
      </c>
    </row>
    <row r="466">
      <c r="A466" s="24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5" t="n">
        <v>0.014814</v>
      </c>
    </row>
    <row r="467">
      <c r="A467" s="24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5" t="n">
        <v>0.008795000000000001</v>
      </c>
    </row>
    <row r="468">
      <c r="A468" s="24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5" t="n">
        <v>0.162623</v>
      </c>
    </row>
    <row r="469">
      <c r="A469" s="24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5" t="n">
        <v>0.076811</v>
      </c>
    </row>
    <row r="470">
      <c r="A470" s="24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5" t="n">
        <v>0.072212</v>
      </c>
    </row>
    <row r="471">
      <c r="A471" s="24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5" t="n">
        <v>0.251343</v>
      </c>
    </row>
    <row r="472">
      <c r="A472" s="24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5" t="n">
        <v>0.052007</v>
      </c>
    </row>
    <row r="473">
      <c r="A473" s="24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5" t="n">
        <v>0.031052</v>
      </c>
    </row>
    <row r="474">
      <c r="A474" s="24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5" t="n">
        <v>0.032753</v>
      </c>
    </row>
    <row r="475">
      <c r="A475" s="24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5" t="n">
        <v>0.07595200000000001</v>
      </c>
    </row>
    <row r="476">
      <c r="A476" s="24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5" t="n">
        <v>0.051257</v>
      </c>
    </row>
    <row r="477">
      <c r="A477" s="24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5" t="n">
        <v>0.044956</v>
      </c>
    </row>
    <row r="478">
      <c r="A478" s="24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5" t="n">
        <v>0.020335</v>
      </c>
    </row>
    <row r="479">
      <c r="A479" s="24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5" t="n">
        <v>0.009207999999999999</v>
      </c>
    </row>
    <row r="480">
      <c r="A480" s="24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5" t="n">
        <v>0.005835</v>
      </c>
    </row>
    <row r="481">
      <c r="A481" s="24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5" t="n">
        <v>0.003203</v>
      </c>
    </row>
    <row r="482">
      <c r="A482" s="24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5" t="n">
        <v>0.002662</v>
      </c>
    </row>
    <row r="483">
      <c r="A483" s="24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5" t="n">
        <v>0.06171</v>
      </c>
    </row>
    <row r="484">
      <c r="A484" s="24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5" t="n">
        <v>0.335659</v>
      </c>
    </row>
    <row r="485">
      <c r="A485" s="24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5" t="n">
        <v>0.145047</v>
      </c>
    </row>
    <row r="486">
      <c r="A486" s="24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5" t="n">
        <v>0.086618</v>
      </c>
    </row>
    <row r="487">
      <c r="A487" s="24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5" t="n">
        <v>0.07617599999999999</v>
      </c>
    </row>
    <row r="488">
      <c r="A488" s="24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5" t="n">
        <v>0.121968</v>
      </c>
    </row>
    <row r="489">
      <c r="A489" s="24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5" t="n">
        <v>0.106854</v>
      </c>
    </row>
    <row r="490">
      <c r="A490" s="24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5" t="n">
        <v>0.188876</v>
      </c>
    </row>
    <row r="491">
      <c r="A491" s="24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5" t="n">
        <v>0.367611</v>
      </c>
    </row>
    <row r="492">
      <c r="A492" s="24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5" t="n">
        <v>0.392427</v>
      </c>
    </row>
    <row r="493">
      <c r="A493" s="24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5" t="n">
        <v>0.398946</v>
      </c>
    </row>
    <row r="494">
      <c r="A494" s="24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5" t="n">
        <v>0.404531</v>
      </c>
    </row>
    <row r="495">
      <c r="A495" s="24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5" t="n">
        <v>0.407461</v>
      </c>
    </row>
    <row r="496">
      <c r="A496" s="24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5" t="n">
        <v>0.221729</v>
      </c>
    </row>
    <row r="497">
      <c r="A497" s="24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5" t="n">
        <v>0.190839</v>
      </c>
    </row>
    <row r="498">
      <c r="A498" s="24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5" t="n">
        <v>0.210942</v>
      </c>
    </row>
    <row r="499">
      <c r="A499" s="24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5" t="n">
        <v>0.19823</v>
      </c>
    </row>
    <row r="500">
      <c r="A500" s="24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5" t="n">
        <v>0.353707</v>
      </c>
    </row>
    <row r="501">
      <c r="A501" s="24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5" t="n">
        <v>0.087378</v>
      </c>
    </row>
    <row r="502">
      <c r="A502" s="24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5" t="n">
        <v>0.035226</v>
      </c>
    </row>
    <row r="503">
      <c r="A503" s="24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5" t="n">
        <v>0.026736</v>
      </c>
    </row>
    <row r="504">
      <c r="A504" s="24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5" t="n">
        <v>0.010816</v>
      </c>
    </row>
    <row r="505">
      <c r="A505" s="24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5" t="n">
        <v>0.005717</v>
      </c>
    </row>
    <row r="506">
      <c r="A506" s="24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5" t="n">
        <v>0.007976</v>
      </c>
    </row>
    <row r="507">
      <c r="A507" s="24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5" t="n">
        <v>0.002622</v>
      </c>
    </row>
    <row r="508">
      <c r="A508" s="24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5" t="n">
        <v>0.022432</v>
      </c>
    </row>
    <row r="509">
      <c r="A509" s="24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5" t="n">
        <v>0.013288</v>
      </c>
    </row>
    <row r="510">
      <c r="A510" s="24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5" t="n">
        <v>0.006282</v>
      </c>
    </row>
    <row r="511">
      <c r="A511" s="24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5" t="n">
        <v>0.002222</v>
      </c>
    </row>
    <row r="512">
      <c r="A512" s="24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5" t="n">
        <v>0.016153</v>
      </c>
    </row>
    <row r="513">
      <c r="A513" s="24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5" t="n">
        <v>0.005445</v>
      </c>
    </row>
    <row r="514">
      <c r="A514" s="24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5" t="n">
        <v>0.004176</v>
      </c>
    </row>
    <row r="515">
      <c r="A515" s="24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5" t="n">
        <v>0.003963</v>
      </c>
    </row>
    <row r="516">
      <c r="A516" s="24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5" t="n">
        <v>0.020889</v>
      </c>
    </row>
    <row r="517">
      <c r="A517" s="24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5" t="n">
        <v>0.049356</v>
      </c>
    </row>
    <row r="518">
      <c r="A518" s="24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5" t="n">
        <v>0.336732</v>
      </c>
    </row>
    <row r="519">
      <c r="A519" s="24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5" t="n">
        <v>0.37578</v>
      </c>
    </row>
    <row r="520">
      <c r="A520" s="24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5" t="n">
        <v>0.08359</v>
      </c>
    </row>
    <row r="521">
      <c r="A521" s="24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5" t="n">
        <v>0.052889</v>
      </c>
    </row>
    <row r="522">
      <c r="A522" s="24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5" t="n">
        <v>0.349733</v>
      </c>
    </row>
    <row r="523">
      <c r="A523" s="24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5" t="n">
        <v>0.386639</v>
      </c>
    </row>
    <row r="524">
      <c r="A524" s="24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5" t="n">
        <v>0.40335</v>
      </c>
    </row>
    <row r="525">
      <c r="A525" s="24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5" t="n">
        <v>0.407083</v>
      </c>
    </row>
    <row r="526">
      <c r="A526" s="24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5" t="n">
        <v>0.408755</v>
      </c>
    </row>
    <row r="527">
      <c r="A527" s="24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5" t="n">
        <v>0.40998</v>
      </c>
    </row>
    <row r="528">
      <c r="A528" s="24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5" t="n">
        <v>0.321843</v>
      </c>
    </row>
    <row r="529">
      <c r="A529" s="24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5" t="n">
        <v>0.160136</v>
      </c>
    </row>
    <row r="530">
      <c r="A530" s="24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5" t="n">
        <v>0.129555</v>
      </c>
    </row>
    <row r="531">
      <c r="A531" s="24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5" t="n">
        <v>0.143828</v>
      </c>
    </row>
    <row r="532">
      <c r="A532" s="24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5" t="n">
        <v>0.151457</v>
      </c>
    </row>
    <row r="533">
      <c r="A533" s="24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5" t="n">
        <v>0.094129</v>
      </c>
    </row>
    <row r="534">
      <c r="A534" s="24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5" t="n">
        <v>0.173017</v>
      </c>
    </row>
    <row r="535">
      <c r="A535" s="24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5" t="n">
        <v>0.247127</v>
      </c>
    </row>
    <row r="536">
      <c r="A536" s="24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5" t="n">
        <v>0.14572</v>
      </c>
    </row>
    <row r="537">
      <c r="A537" s="24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5" t="n">
        <v>0.157466</v>
      </c>
    </row>
    <row r="538">
      <c r="A538" s="24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5" t="n">
        <v>0.175807</v>
      </c>
    </row>
    <row r="539">
      <c r="A539" s="24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5" t="n">
        <v>0.156738</v>
      </c>
    </row>
    <row r="540">
      <c r="A540" s="24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5" t="n">
        <v>0.343722</v>
      </c>
    </row>
    <row r="541">
      <c r="A541" s="24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5" t="n">
        <v>0.122021</v>
      </c>
    </row>
    <row r="542">
      <c r="A542" s="24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5" t="n">
        <v>0.373813</v>
      </c>
    </row>
    <row r="543">
      <c r="A543" s="24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5" t="n">
        <v>0.399843</v>
      </c>
    </row>
    <row r="544">
      <c r="A544" s="24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5" t="n">
        <v>0.39772</v>
      </c>
    </row>
    <row r="545">
      <c r="A545" s="24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5" t="n">
        <v>0.400411</v>
      </c>
    </row>
    <row r="546">
      <c r="A546" s="24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5" t="n">
        <v>0.207083</v>
      </c>
    </row>
    <row r="547">
      <c r="A547" s="24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5" t="n">
        <v>0.089015</v>
      </c>
    </row>
    <row r="548">
      <c r="A548" s="24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5" t="n">
        <v>0.03412</v>
      </c>
    </row>
    <row r="549">
      <c r="A549" s="24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5" t="n">
        <v>0.028967</v>
      </c>
    </row>
    <row r="550">
      <c r="A550" s="24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5" t="n">
        <v>0.06123</v>
      </c>
    </row>
    <row r="551">
      <c r="A551" s="24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5" t="n">
        <v>0.018321</v>
      </c>
    </row>
    <row r="552">
      <c r="A552" s="24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5" t="n">
        <v>0.020706</v>
      </c>
    </row>
    <row r="553">
      <c r="A553" s="24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5" t="n">
        <v>0.034356</v>
      </c>
    </row>
    <row r="554">
      <c r="A554" s="24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5" t="n">
        <v>0.02817</v>
      </c>
    </row>
    <row r="555">
      <c r="A555" s="24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5" t="n">
        <v>0.078143</v>
      </c>
    </row>
    <row r="556">
      <c r="A556" s="24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5" t="n">
        <v>0.07768</v>
      </c>
    </row>
    <row r="557">
      <c r="A557" s="24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5" t="n">
        <v>0.033867</v>
      </c>
    </row>
    <row r="558">
      <c r="A558" s="24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5" t="n">
        <v>0.036974</v>
      </c>
    </row>
    <row r="559">
      <c r="A559" s="24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5" t="n">
        <v>0.031227</v>
      </c>
    </row>
    <row r="560">
      <c r="A560" s="24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5" t="n">
        <v>0.046813</v>
      </c>
    </row>
    <row r="561">
      <c r="A561" s="24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5" t="n">
        <v>0.055176</v>
      </c>
    </row>
    <row r="562">
      <c r="A562" s="24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5" t="n">
        <v>0.021671</v>
      </c>
    </row>
    <row r="563">
      <c r="A563" s="24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5" t="n">
        <v>0.0245</v>
      </c>
    </row>
    <row r="564">
      <c r="A564" s="24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5" t="n">
        <v>0.035529</v>
      </c>
    </row>
    <row r="565">
      <c r="A565" s="24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5" t="n">
        <v>0.052692</v>
      </c>
    </row>
    <row r="566">
      <c r="A566" s="24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5" t="n">
        <v>0.022028</v>
      </c>
    </row>
    <row r="567">
      <c r="A567" s="24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5" t="n">
        <v>0.047384</v>
      </c>
    </row>
    <row r="568">
      <c r="A568" s="24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5" t="n">
        <v>0.030052</v>
      </c>
    </row>
    <row r="569">
      <c r="A569" s="24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5" t="n">
        <v>0.016424</v>
      </c>
    </row>
    <row r="570">
      <c r="A570" s="24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5" t="n">
        <v>0.015485</v>
      </c>
    </row>
    <row r="571">
      <c r="A571" s="24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5" t="n">
        <v>0.009946</v>
      </c>
    </row>
    <row r="572">
      <c r="A572" s="24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5" t="n">
        <v>0.029209</v>
      </c>
    </row>
    <row r="573">
      <c r="A573" s="24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5" t="n">
        <v>0.023037</v>
      </c>
    </row>
    <row r="574">
      <c r="A574" s="24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5" t="n">
        <v>0.033048</v>
      </c>
    </row>
    <row r="575">
      <c r="A575" s="24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5" t="n">
        <v>0.016605</v>
      </c>
    </row>
    <row r="576">
      <c r="A576" s="24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5" t="n">
        <v>0.006413</v>
      </c>
    </row>
    <row r="577">
      <c r="A577" s="24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5" t="n">
        <v>0.0071</v>
      </c>
    </row>
    <row r="578">
      <c r="A578" s="24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5" t="n">
        <v>0.016206</v>
      </c>
    </row>
    <row r="579">
      <c r="A579" s="24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5" t="n">
        <v>0.036226</v>
      </c>
    </row>
    <row r="580">
      <c r="A580" s="24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5" t="n">
        <v>0.019241</v>
      </c>
    </row>
    <row r="581">
      <c r="A581" s="24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5" t="n">
        <v>0.009507</v>
      </c>
    </row>
    <row r="582">
      <c r="A582" s="24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5" t="n">
        <v>0.01825</v>
      </c>
    </row>
    <row r="583">
      <c r="A583" s="24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5" t="n">
        <v>0.042346</v>
      </c>
    </row>
    <row r="584">
      <c r="A584" s="24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5" t="n">
        <v>0.038064</v>
      </c>
    </row>
    <row r="585">
      <c r="A585" s="24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5" t="n">
        <v>0.039248</v>
      </c>
    </row>
    <row r="586">
      <c r="A586" s="24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5" t="n">
        <v>0.030993</v>
      </c>
    </row>
    <row r="587">
      <c r="A587" s="24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5" t="n">
        <v>0.022414</v>
      </c>
    </row>
    <row r="588">
      <c r="A588" s="24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5" t="n">
        <v>0.027741</v>
      </c>
    </row>
    <row r="589">
      <c r="A589" s="24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5" t="n">
        <v>0.018302</v>
      </c>
    </row>
    <row r="590">
      <c r="A590" s="24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5" t="n">
        <v>0.04</v>
      </c>
    </row>
    <row r="591">
      <c r="A591" s="24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5" t="n">
        <v>0.029901</v>
      </c>
    </row>
    <row r="592">
      <c r="A592" s="24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5" t="n">
        <v>0.014071</v>
      </c>
    </row>
    <row r="593">
      <c r="A593" s="24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5" t="n">
        <v>0.102637</v>
      </c>
    </row>
    <row r="594">
      <c r="A594" s="24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5" t="n">
        <v>0.046358</v>
      </c>
    </row>
    <row r="595">
      <c r="A595" s="24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5" t="n">
        <v>0.036226</v>
      </c>
    </row>
    <row r="596">
      <c r="A596" s="24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5" t="n">
        <v>0.014465</v>
      </c>
    </row>
    <row r="597">
      <c r="A597" s="24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5" t="n">
        <v>0.013758</v>
      </c>
    </row>
    <row r="598">
      <c r="A598" s="24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5" t="n">
        <v>0.038045</v>
      </c>
    </row>
    <row r="599">
      <c r="A599" s="24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5" t="n">
        <v>0.020296</v>
      </c>
    </row>
    <row r="600">
      <c r="A600" s="24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5" t="n">
        <v>0.03513</v>
      </c>
    </row>
    <row r="601">
      <c r="A601" s="24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5" t="n">
        <v>0.013384</v>
      </c>
    </row>
    <row r="602">
      <c r="A602" s="24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5" t="n">
        <v>0.008087</v>
      </c>
    </row>
    <row r="603">
      <c r="A603" s="24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5" t="n">
        <v>0.006573</v>
      </c>
    </row>
    <row r="604">
      <c r="A604" s="24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5" t="n">
        <v>0.005906</v>
      </c>
    </row>
    <row r="605">
      <c r="A605" s="24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5" t="n">
        <v>0.005349</v>
      </c>
    </row>
    <row r="606">
      <c r="A606" s="24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5" t="n">
        <v>0.00133</v>
      </c>
    </row>
    <row r="607">
      <c r="A607" s="24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5" t="n">
        <v>0.002408</v>
      </c>
    </row>
    <row r="608">
      <c r="A608" s="24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5" t="n">
        <v>0.00851</v>
      </c>
    </row>
    <row r="609">
      <c r="A609" s="24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5" t="n">
        <v>0.006743</v>
      </c>
    </row>
    <row r="610">
      <c r="A610" s="24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5" t="n">
        <v>0.001682</v>
      </c>
    </row>
    <row r="611">
      <c r="A611" s="24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5" t="n">
        <v>0.017765</v>
      </c>
    </row>
    <row r="612">
      <c r="A612" s="24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5" t="n">
        <v>0.027774</v>
      </c>
    </row>
    <row r="613">
      <c r="A613" s="24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5" t="n">
        <v>0.028105</v>
      </c>
    </row>
    <row r="614">
      <c r="A614" s="24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5" t="n">
        <v>0.050977</v>
      </c>
    </row>
    <row r="615">
      <c r="A615" s="24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5" t="n">
        <v>0.043148</v>
      </c>
    </row>
    <row r="616">
      <c r="A616" s="24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5" t="n">
        <v>0.037698</v>
      </c>
    </row>
    <row r="617">
      <c r="A617" s="24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5" t="n">
        <v>0.0109</v>
      </c>
    </row>
    <row r="618">
      <c r="A618" s="24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5" t="n">
        <v>0.004951</v>
      </c>
    </row>
    <row r="619">
      <c r="A619" s="24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5" t="n">
        <v>0.003305</v>
      </c>
    </row>
    <row r="620">
      <c r="A620" s="24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5" t="n">
        <v>0.011143</v>
      </c>
    </row>
    <row r="621">
      <c r="A621" s="24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5" t="n">
        <v>0.006519</v>
      </c>
    </row>
    <row r="622">
      <c r="A622" s="24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5" t="n">
        <v>0.016902</v>
      </c>
    </row>
    <row r="623">
      <c r="A623" s="24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5" t="n">
        <v>0.057538</v>
      </c>
    </row>
    <row r="624">
      <c r="A624" s="24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5" t="n">
        <v>0.01595</v>
      </c>
    </row>
    <row r="625">
      <c r="A625" s="24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5" t="n">
        <v>0.014429</v>
      </c>
    </row>
    <row r="626">
      <c r="A626" s="24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5" t="n">
        <v>0.008259000000000001</v>
      </c>
    </row>
    <row r="627">
      <c r="A627" s="24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5" t="n">
        <v>0.010064</v>
      </c>
    </row>
    <row r="628">
      <c r="A628" s="24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5" t="n">
        <v>0.0048</v>
      </c>
    </row>
    <row r="629">
      <c r="A629" s="24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5" t="n">
        <v>0.021335</v>
      </c>
    </row>
    <row r="630">
      <c r="A630" s="24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5" t="n">
        <v>0.04941</v>
      </c>
    </row>
    <row r="631">
      <c r="A631" s="24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5" t="n">
        <v>0.047741</v>
      </c>
    </row>
    <row r="632">
      <c r="A632" s="24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5" t="n">
        <v>0.037522</v>
      </c>
    </row>
    <row r="633">
      <c r="A633" s="24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5" t="n">
        <v>0.030624</v>
      </c>
    </row>
    <row r="634">
      <c r="A634" s="24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5" t="n">
        <v>0.022315</v>
      </c>
    </row>
    <row r="635">
      <c r="A635" s="24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5" t="n">
        <v>0.012642</v>
      </c>
    </row>
    <row r="636">
      <c r="A636" s="24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5" t="n">
        <v>0.145948</v>
      </c>
    </row>
    <row r="637">
      <c r="A637" s="24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5" t="n">
        <v>0.113772</v>
      </c>
    </row>
    <row r="638">
      <c r="A638" s="24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5" t="n">
        <v>0.042693</v>
      </c>
    </row>
    <row r="639">
      <c r="A639" s="24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5" t="n">
        <v>0.017806</v>
      </c>
    </row>
    <row r="640">
      <c r="A640" s="24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5" t="n">
        <v>0.007554</v>
      </c>
    </row>
    <row r="641">
      <c r="A641" s="24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5" t="n">
        <v>0.00387</v>
      </c>
    </row>
    <row r="642">
      <c r="A642" s="24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5" t="n">
        <v>0.28385</v>
      </c>
    </row>
    <row r="643">
      <c r="A643" s="24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5" t="n">
        <v>0.262456</v>
      </c>
    </row>
    <row r="644">
      <c r="A644" s="24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5" t="n">
        <v>0.08472399999999999</v>
      </c>
    </row>
    <row r="645">
      <c r="A645" s="24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5" t="n">
        <v>0.100276</v>
      </c>
    </row>
    <row r="646">
      <c r="A646" s="24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5" t="n">
        <v>0.175177</v>
      </c>
    </row>
    <row r="647">
      <c r="A647" s="24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5" t="n">
        <v>0.048526</v>
      </c>
    </row>
    <row r="648">
      <c r="A648" s="24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5" t="n">
        <v>0.02243</v>
      </c>
    </row>
    <row r="649">
      <c r="A649" s="24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5" t="n">
        <v>0.010833</v>
      </c>
    </row>
    <row r="650">
      <c r="A650" s="24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5" t="n">
        <v>0.005718</v>
      </c>
    </row>
    <row r="651">
      <c r="A651" s="24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5" t="n">
        <v>0.002738</v>
      </c>
    </row>
    <row r="652">
      <c r="A652" s="24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5" t="n">
        <v>0.001409</v>
      </c>
    </row>
    <row r="653">
      <c r="A653" s="24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5" t="n">
        <v>0.000727</v>
      </c>
    </row>
    <row r="654">
      <c r="A654" s="24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5" t="n">
        <v>0.000375</v>
      </c>
    </row>
    <row r="655">
      <c r="A655" s="24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5" t="n">
        <v>0.000194</v>
      </c>
    </row>
    <row r="656">
      <c r="A656" s="24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5" t="n">
        <v>0.031051</v>
      </c>
    </row>
    <row r="657">
      <c r="A657" s="24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5" t="n">
        <v>0.057747</v>
      </c>
    </row>
    <row r="658">
      <c r="A658" s="24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5" t="n">
        <v>0.025223</v>
      </c>
    </row>
    <row r="659">
      <c r="A659" s="24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5" t="n">
        <v>0.007722</v>
      </c>
    </row>
    <row r="660">
      <c r="A660" s="24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5" t="n">
        <v>0.012</v>
      </c>
    </row>
    <row r="661">
      <c r="A661" s="24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5" t="n">
        <v>0.011754</v>
      </c>
    </row>
    <row r="662">
      <c r="A662" s="24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5" t="n">
        <v>0.002681</v>
      </c>
    </row>
    <row r="663">
      <c r="A663" s="24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5" t="n">
        <v>0.00132</v>
      </c>
    </row>
    <row r="664">
      <c r="A664" s="24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5" t="n">
        <v>0.000681</v>
      </c>
    </row>
    <row r="665">
      <c r="A665" s="24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5" t="n">
        <v>0.000352</v>
      </c>
    </row>
    <row r="666">
      <c r="A666" s="24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5" t="n">
        <v>0.000181</v>
      </c>
    </row>
    <row r="667">
      <c r="A667" s="24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5" t="n">
        <v>9.399999999999999e-05</v>
      </c>
    </row>
    <row r="668">
      <c r="A668" s="24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5" t="n">
        <v>4.8e-05</v>
      </c>
    </row>
    <row r="669">
      <c r="A669" s="24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5" t="n">
        <v>2.5e-05</v>
      </c>
    </row>
    <row r="670">
      <c r="A670" s="24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5" t="n">
        <v>1.3e-05</v>
      </c>
    </row>
    <row r="671">
      <c r="A671" s="24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5" t="n">
        <v>7e-06</v>
      </c>
    </row>
    <row r="672">
      <c r="A672" s="24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5" t="n">
        <v>0.058922</v>
      </c>
    </row>
    <row r="673">
      <c r="A673" s="24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5" t="n">
        <v>0.100047</v>
      </c>
    </row>
    <row r="674">
      <c r="A674" s="24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5" t="n">
        <v>0.040149</v>
      </c>
    </row>
    <row r="675">
      <c r="A675" s="24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5" t="n">
        <v>0.022706</v>
      </c>
    </row>
    <row r="676">
      <c r="A676" s="24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5" t="n">
        <v>0.134856</v>
      </c>
    </row>
    <row r="677">
      <c r="A677" s="24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5" t="n">
        <v>0.09986200000000001</v>
      </c>
    </row>
    <row r="678">
      <c r="A678" s="24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5" t="n">
        <v>0.058574</v>
      </c>
    </row>
    <row r="679">
      <c r="A679" s="24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5" t="n">
        <v>0.032822</v>
      </c>
    </row>
    <row r="680">
      <c r="A680" s="24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5" t="n">
        <v>0.024821</v>
      </c>
    </row>
    <row r="681">
      <c r="A681" s="24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5" t="n">
        <v>0.019601</v>
      </c>
    </row>
    <row r="682">
      <c r="A682" s="24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5" t="n">
        <v>0.013677</v>
      </c>
    </row>
    <row r="683">
      <c r="A683" s="24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5" t="n">
        <v>0.022245</v>
      </c>
    </row>
    <row r="684">
      <c r="A684" s="24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5" t="n">
        <v>0.04209</v>
      </c>
    </row>
    <row r="685">
      <c r="A685" s="24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5" t="n">
        <v>0.043875</v>
      </c>
    </row>
    <row r="686">
      <c r="A686" s="24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5" t="n">
        <v>0.043491</v>
      </c>
    </row>
    <row r="687">
      <c r="A687" s="24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5" t="n">
        <v>0.039655</v>
      </c>
    </row>
    <row r="688">
      <c r="A688" s="24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5" t="n">
        <v>0.05409</v>
      </c>
    </row>
    <row r="689">
      <c r="A689" s="24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5" t="n">
        <v>0.09088300000000001</v>
      </c>
    </row>
    <row r="690">
      <c r="A690" s="24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5" t="n">
        <v>0.039983</v>
      </c>
    </row>
    <row r="691">
      <c r="A691" s="24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5" t="n">
        <v>0.053293</v>
      </c>
    </row>
    <row r="692">
      <c r="A692" s="24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5" t="n">
        <v>0.048919</v>
      </c>
    </row>
    <row r="693">
      <c r="A693" s="24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5" t="n">
        <v>0.06447</v>
      </c>
    </row>
    <row r="694">
      <c r="A694" s="24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5" t="n">
        <v>0.029771</v>
      </c>
    </row>
    <row r="695">
      <c r="A695" s="24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5" t="n">
        <v>0.015371</v>
      </c>
    </row>
    <row r="696">
      <c r="A696" s="24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5" t="n">
        <v>0.013498</v>
      </c>
    </row>
    <row r="697">
      <c r="A697" s="24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5" t="n">
        <v>0.021813</v>
      </c>
    </row>
    <row r="698">
      <c r="A698" s="24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5" t="n">
        <v>0.07896</v>
      </c>
    </row>
    <row r="699">
      <c r="A699" s="24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5" t="n">
        <v>0.020824</v>
      </c>
    </row>
    <row r="700">
      <c r="A700" s="24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5" t="n">
        <v>0.07238</v>
      </c>
    </row>
    <row r="701">
      <c r="A701" s="24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5" t="n">
        <v>0.12035</v>
      </c>
    </row>
    <row r="702">
      <c r="A702" s="24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5" t="n">
        <v>0.041298</v>
      </c>
    </row>
    <row r="703">
      <c r="A703" s="24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5" t="n">
        <v>0.021529</v>
      </c>
    </row>
    <row r="704">
      <c r="A704" s="24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5" t="n">
        <v>0.020581</v>
      </c>
    </row>
    <row r="705">
      <c r="A705" s="24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5" t="n">
        <v>0.026606</v>
      </c>
    </row>
    <row r="706">
      <c r="A706" s="24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5" t="n">
        <v>0.011761</v>
      </c>
    </row>
    <row r="707">
      <c r="A707" s="24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5" t="n">
        <v>0.020288</v>
      </c>
    </row>
    <row r="708">
      <c r="A708" s="24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5" t="n">
        <v>0.018756</v>
      </c>
    </row>
    <row r="709">
      <c r="A709" s="24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5" t="n">
        <v>0.00873</v>
      </c>
    </row>
    <row r="710">
      <c r="A710" s="24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5" t="n">
        <v>0.010085</v>
      </c>
    </row>
    <row r="711">
      <c r="A711" s="24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5" t="n">
        <v>0.024133</v>
      </c>
    </row>
    <row r="712">
      <c r="A712" s="24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5" t="n">
        <v>0.010445</v>
      </c>
    </row>
    <row r="713">
      <c r="A713" s="24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5" t="n">
        <v>0.017223</v>
      </c>
    </row>
    <row r="714">
      <c r="A714" s="24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5" t="n">
        <v>0.020351</v>
      </c>
    </row>
    <row r="715">
      <c r="A715" s="24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5" t="n">
        <v>0.034152</v>
      </c>
    </row>
    <row r="716">
      <c r="A716" s="24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5" t="n">
        <v>0.015324</v>
      </c>
    </row>
    <row r="717">
      <c r="A717" s="24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5" t="n">
        <v>0.016323</v>
      </c>
    </row>
    <row r="718">
      <c r="A718" s="24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5" t="n">
        <v>0.02752</v>
      </c>
    </row>
    <row r="719">
      <c r="A719" s="24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5" t="n">
        <v>0.021983</v>
      </c>
    </row>
    <row r="720">
      <c r="A720" s="24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5" t="n">
        <v>0.030429</v>
      </c>
    </row>
    <row r="721">
      <c r="A721" s="24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5" t="n">
        <v>0.027695</v>
      </c>
    </row>
    <row r="722">
      <c r="A722" s="24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5" t="n">
        <v>0.016448</v>
      </c>
    </row>
    <row r="723">
      <c r="A723" s="24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5" t="n">
        <v>0.021568</v>
      </c>
    </row>
    <row r="724">
      <c r="A724" s="24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5" t="n">
        <v>0.021395</v>
      </c>
    </row>
    <row r="725">
      <c r="A725" s="24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5" t="n">
        <v>0.023865</v>
      </c>
    </row>
    <row r="726">
      <c r="A726" s="24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5" t="n">
        <v>0.018439</v>
      </c>
    </row>
    <row r="727">
      <c r="A727" s="24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5" t="n">
        <v>0.017598</v>
      </c>
    </row>
    <row r="728">
      <c r="A728" s="24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5" t="n">
        <v>0.045654</v>
      </c>
    </row>
    <row r="729">
      <c r="A729" s="24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5" t="n">
        <v>0.08906799999999999</v>
      </c>
    </row>
    <row r="730">
      <c r="A730" s="24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5" t="n">
        <v>0.057675</v>
      </c>
    </row>
    <row r="731">
      <c r="A731" s="24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5" t="n">
        <v>0.050698</v>
      </c>
    </row>
    <row r="732">
      <c r="A732" s="24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5" t="n">
        <v>0.058512</v>
      </c>
    </row>
    <row r="733">
      <c r="A733" s="24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5" t="n">
        <v>0.092833</v>
      </c>
    </row>
    <row r="734">
      <c r="A734" s="24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5" t="n">
        <v>0.060839</v>
      </c>
    </row>
    <row r="735">
      <c r="A735" s="24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5" t="n">
        <v>0.241966</v>
      </c>
    </row>
    <row r="736">
      <c r="A736" s="24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5" t="n">
        <v>0.090806</v>
      </c>
    </row>
    <row r="737">
      <c r="A737" s="24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5" t="n">
        <v>0.249948</v>
      </c>
    </row>
    <row r="738">
      <c r="A738" s="24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5" t="n">
        <v>0.232486</v>
      </c>
    </row>
    <row r="739">
      <c r="A739" s="24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5" t="n">
        <v>0.090346</v>
      </c>
    </row>
    <row r="740">
      <c r="A740" s="24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5" t="n">
        <v>0.06673800000000001</v>
      </c>
    </row>
    <row r="741">
      <c r="A741" s="24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5" t="n">
        <v>0.035837</v>
      </c>
    </row>
    <row r="742">
      <c r="A742" s="24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5" t="n">
        <v>0.027568</v>
      </c>
    </row>
    <row r="743">
      <c r="A743" s="24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5" t="n">
        <v>0.014188</v>
      </c>
    </row>
    <row r="744">
      <c r="A744" s="24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5" t="n">
        <v>0.022054</v>
      </c>
    </row>
    <row r="745">
      <c r="A745" s="24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5" t="n">
        <v>0.05655</v>
      </c>
    </row>
    <row r="746">
      <c r="A746" s="24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5" t="n">
        <v>0.03234</v>
      </c>
    </row>
    <row r="747">
      <c r="A747" s="24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5" t="n">
        <v>0.06938</v>
      </c>
    </row>
    <row r="748">
      <c r="A748" s="24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5" t="n">
        <v>0.047535</v>
      </c>
    </row>
    <row r="749">
      <c r="A749" s="24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5" t="n">
        <v>0.018745</v>
      </c>
    </row>
    <row r="750">
      <c r="A750" s="24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5" t="n">
        <v>0.011977</v>
      </c>
    </row>
    <row r="751">
      <c r="A751" s="24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5" t="n">
        <v>0.018259</v>
      </c>
    </row>
    <row r="752">
      <c r="A752" s="24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5" t="n">
        <v>0.010318</v>
      </c>
    </row>
    <row r="753">
      <c r="A753" s="24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5" t="n">
        <v>0.039427</v>
      </c>
    </row>
    <row r="754">
      <c r="A754" s="24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5" t="n">
        <v>0.022442</v>
      </c>
    </row>
    <row r="755">
      <c r="A755" s="24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5" t="n">
        <v>0.011885</v>
      </c>
    </row>
    <row r="756">
      <c r="A756" s="24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5" t="n">
        <v>0.010071</v>
      </c>
    </row>
    <row r="757">
      <c r="A757" s="24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5" t="n">
        <v>0.018276</v>
      </c>
    </row>
    <row r="758">
      <c r="A758" s="24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5" t="n">
        <v>0.054729</v>
      </c>
    </row>
    <row r="759">
      <c r="A759" s="24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5" t="n">
        <v>0.01695</v>
      </c>
    </row>
    <row r="760">
      <c r="A760" s="24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5" t="n">
        <v>0.015943</v>
      </c>
    </row>
    <row r="761">
      <c r="A761" s="24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5" t="n">
        <v>0.00591</v>
      </c>
    </row>
    <row r="762">
      <c r="A762" s="24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5" t="n">
        <v>0.015359</v>
      </c>
    </row>
    <row r="763">
      <c r="A763" s="24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5" t="n">
        <v>0.047346</v>
      </c>
    </row>
    <row r="764">
      <c r="A764" s="24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5" t="n">
        <v>0.023869</v>
      </c>
    </row>
    <row r="765">
      <c r="A765" s="24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5" t="n">
        <v>0.010658</v>
      </c>
    </row>
    <row r="766">
      <c r="A766" s="24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5" t="n">
        <v>0.028351</v>
      </c>
    </row>
    <row r="767">
      <c r="A767" s="24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5" t="n">
        <v>0.069007</v>
      </c>
    </row>
    <row r="768">
      <c r="A768" s="24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5" t="n">
        <v>0.037946</v>
      </c>
    </row>
    <row r="769">
      <c r="A769" s="24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5" t="n">
        <v>0.177173</v>
      </c>
    </row>
    <row r="770">
      <c r="A770" s="24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5" t="n">
        <v>0.06479799999999999</v>
      </c>
    </row>
    <row r="771">
      <c r="A771" s="24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5" t="n">
        <v>0.084218</v>
      </c>
    </row>
    <row r="772">
      <c r="A772" s="24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5" t="n">
        <v>0.082205</v>
      </c>
    </row>
    <row r="773">
      <c r="A773" s="24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5" t="n">
        <v>0.06772499999999999</v>
      </c>
    </row>
    <row r="774">
      <c r="A774" s="24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5" t="n">
        <v>0.053104</v>
      </c>
    </row>
    <row r="775">
      <c r="A775" s="24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5" t="n">
        <v>0.024842</v>
      </c>
    </row>
    <row r="776">
      <c r="A776" s="24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5" t="n">
        <v>0.042128</v>
      </c>
    </row>
    <row r="777">
      <c r="A777" s="24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5" t="n">
        <v>0.031298</v>
      </c>
    </row>
    <row r="778">
      <c r="A778" s="24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5" t="n">
        <v>0.01963</v>
      </c>
    </row>
    <row r="779">
      <c r="A779" s="24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5" t="n">
        <v>0.013497</v>
      </c>
    </row>
    <row r="780">
      <c r="A780" s="24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5" t="n">
        <v>0.03079</v>
      </c>
    </row>
    <row r="781">
      <c r="A781" s="24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5" t="n">
        <v>0.016289</v>
      </c>
    </row>
    <row r="782">
      <c r="A782" s="24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5" t="n">
        <v>0.017374</v>
      </c>
    </row>
    <row r="783">
      <c r="A783" s="24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5" t="n">
        <v>0.02314</v>
      </c>
    </row>
    <row r="784">
      <c r="A784" s="24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5" t="n">
        <v>0.035629</v>
      </c>
    </row>
    <row r="785">
      <c r="A785" s="24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5" t="n">
        <v>0.079467</v>
      </c>
    </row>
    <row r="786">
      <c r="A786" s="24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5" t="n">
        <v>0.137384</v>
      </c>
    </row>
    <row r="787">
      <c r="A787" s="24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5" t="n">
        <v>0.038806</v>
      </c>
    </row>
    <row r="788">
      <c r="A788" s="24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5" t="n">
        <v>0.026038</v>
      </c>
    </row>
    <row r="789">
      <c r="A789" s="24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5" t="n">
        <v>0.047837</v>
      </c>
    </row>
    <row r="790">
      <c r="A790" s="24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5" t="n">
        <v>0.01773</v>
      </c>
    </row>
    <row r="791">
      <c r="A791" s="24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5" t="n">
        <v>0.01306</v>
      </c>
    </row>
    <row r="792">
      <c r="A792" s="24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5" t="n">
        <v>0.028596</v>
      </c>
    </row>
    <row r="793">
      <c r="A793" s="24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5" t="n">
        <v>0.012718</v>
      </c>
    </row>
    <row r="794">
      <c r="A794" s="24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5" t="n">
        <v>0.013677</v>
      </c>
    </row>
    <row r="795">
      <c r="A795" s="24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5" t="n">
        <v>0.020493</v>
      </c>
    </row>
    <row r="796">
      <c r="A796" s="24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5" t="n">
        <v>0.022239</v>
      </c>
    </row>
    <row r="797">
      <c r="A797" s="24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5" t="n">
        <v>0.079498</v>
      </c>
    </row>
    <row r="798">
      <c r="A798" s="24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5" t="n">
        <v>0.125919</v>
      </c>
    </row>
    <row r="799">
      <c r="A799" s="24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5" t="n">
        <v>0.109629</v>
      </c>
    </row>
    <row r="800">
      <c r="A800" s="24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5" t="n">
        <v>0.05863</v>
      </c>
    </row>
    <row r="801">
      <c r="A801" s="24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5" t="n">
        <v>0.060463</v>
      </c>
    </row>
    <row r="802">
      <c r="A802" s="24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5" t="n">
        <v>0.048172</v>
      </c>
    </row>
    <row r="803">
      <c r="A803" s="24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5" t="n">
        <v>0.024863</v>
      </c>
    </row>
    <row r="804">
      <c r="A804" s="24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5" t="n">
        <v>0.031954</v>
      </c>
    </row>
    <row r="805">
      <c r="A805" s="24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5" t="n">
        <v>0.192891</v>
      </c>
    </row>
    <row r="806">
      <c r="A806" s="24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5" t="n">
        <v>0.22859</v>
      </c>
    </row>
    <row r="807">
      <c r="A807" s="24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5" t="n">
        <v>0.100927</v>
      </c>
    </row>
    <row r="808">
      <c r="A808" s="24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5" t="n">
        <v>0.209957</v>
      </c>
    </row>
    <row r="809">
      <c r="A809" s="24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5" t="n">
        <v>0.05333</v>
      </c>
    </row>
    <row r="810">
      <c r="A810" s="24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5" t="n">
        <v>0.031686</v>
      </c>
    </row>
    <row r="811">
      <c r="A811" s="24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5" t="n">
        <v>0.059876</v>
      </c>
    </row>
    <row r="812">
      <c r="A812" s="24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5" t="n">
        <v>0.022307</v>
      </c>
    </row>
    <row r="813">
      <c r="A813" s="24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5" t="n">
        <v>0.013669</v>
      </c>
    </row>
    <row r="814">
      <c r="A814" s="24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5" t="n">
        <v>0.006954</v>
      </c>
    </row>
    <row r="815">
      <c r="A815" s="24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5" t="n">
        <v>0.023841</v>
      </c>
    </row>
    <row r="816">
      <c r="A816" s="24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5" t="n">
        <v>0.055533</v>
      </c>
    </row>
    <row r="817">
      <c r="A817" s="24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5" t="n">
        <v>0.148039</v>
      </c>
    </row>
    <row r="818">
      <c r="A818" s="24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5" t="n">
        <v>0.046751</v>
      </c>
    </row>
    <row r="819">
      <c r="A819" s="24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5" t="n">
        <v>0.020883</v>
      </c>
    </row>
    <row r="820">
      <c r="A820" s="24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5" t="n">
        <v>0.025048</v>
      </c>
    </row>
    <row r="821">
      <c r="A821" s="24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5" t="n">
        <v>0.04733</v>
      </c>
    </row>
    <row r="822">
      <c r="A822" s="24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5" t="n">
        <v>0.329463</v>
      </c>
    </row>
    <row r="823">
      <c r="A823" s="24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5" t="n">
        <v>0.281153</v>
      </c>
    </row>
    <row r="824">
      <c r="A824" s="24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5" t="n">
        <v>0.383546</v>
      </c>
    </row>
    <row r="825">
      <c r="A825" s="24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5" t="n">
        <v>0.400035</v>
      </c>
    </row>
    <row r="826">
      <c r="A826" s="24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5" t="n">
        <v>0.199681</v>
      </c>
    </row>
    <row r="827">
      <c r="A827" s="24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5" t="n">
        <v>0.076386</v>
      </c>
    </row>
    <row r="828">
      <c r="A828" s="24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5" t="n">
        <v>0.087399</v>
      </c>
    </row>
    <row r="829">
      <c r="A829" s="24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5" t="n">
        <v>0.030585</v>
      </c>
    </row>
    <row r="830">
      <c r="A830" s="24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5" t="n">
        <v>0.019366</v>
      </c>
    </row>
    <row r="831">
      <c r="A831" s="24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5" t="n">
        <v>0.025735</v>
      </c>
    </row>
    <row r="832">
      <c r="A832" s="24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5" t="n">
        <v>0.091348</v>
      </c>
    </row>
    <row r="833">
      <c r="A833" s="24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5" t="n">
        <v>0.242179</v>
      </c>
    </row>
    <row r="834">
      <c r="A834" s="24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5" t="n">
        <v>0.0648</v>
      </c>
    </row>
    <row r="835">
      <c r="A835" s="24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5" t="n">
        <v>0.08191900000000001</v>
      </c>
    </row>
    <row r="836">
      <c r="A836" s="24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5" t="n">
        <v>0.036537</v>
      </c>
    </row>
    <row r="837">
      <c r="A837" s="24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5" t="n">
        <v>0.03617</v>
      </c>
    </row>
    <row r="838">
      <c r="A838" s="24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5" t="n">
        <v>0.014654</v>
      </c>
    </row>
    <row r="839">
      <c r="A839" s="24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5" t="n">
        <v>0.008390999999999999</v>
      </c>
    </row>
    <row r="840">
      <c r="A840" s="24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5" t="n">
        <v>0.013766</v>
      </c>
    </row>
    <row r="841">
      <c r="A841" s="24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5" t="n">
        <v>0.041655</v>
      </c>
    </row>
    <row r="842">
      <c r="A842" s="24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5" t="n">
        <v>0.08119700000000001</v>
      </c>
    </row>
    <row r="843">
      <c r="A843" s="24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5" t="n">
        <v>0.090754</v>
      </c>
    </row>
    <row r="844">
      <c r="A844" s="24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5" t="n">
        <v>0.177981</v>
      </c>
    </row>
    <row r="845">
      <c r="A845" s="24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5" t="n">
        <v>0.321607</v>
      </c>
    </row>
    <row r="846">
      <c r="A846" s="24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5" t="n">
        <v>0.077114</v>
      </c>
    </row>
    <row r="847">
      <c r="A847" s="24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5" t="n">
        <v>0.03557</v>
      </c>
    </row>
    <row r="848">
      <c r="A848" s="24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5" t="n">
        <v>0.024603</v>
      </c>
    </row>
    <row r="849">
      <c r="A849" s="24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5" t="n">
        <v>0.104486</v>
      </c>
    </row>
    <row r="850">
      <c r="A850" s="24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5" t="n">
        <v>0.217648</v>
      </c>
    </row>
    <row r="851">
      <c r="A851" s="24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5" t="n">
        <v>0.282796</v>
      </c>
    </row>
    <row r="852">
      <c r="A852" s="24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5" t="n">
        <v>0.10185</v>
      </c>
    </row>
    <row r="853">
      <c r="A853" s="24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5" t="n">
        <v>0.359874</v>
      </c>
    </row>
    <row r="854">
      <c r="A854" s="24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5" t="n">
        <v>0.306287</v>
      </c>
    </row>
    <row r="855">
      <c r="A855" s="24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5" t="n">
        <v>0.154612</v>
      </c>
    </row>
    <row r="856">
      <c r="A856" s="24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5" t="n">
        <v>0.165977</v>
      </c>
    </row>
    <row r="857">
      <c r="A857" s="24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5" t="n">
        <v>0.234818</v>
      </c>
    </row>
    <row r="858">
      <c r="A858" s="24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5" t="n">
        <v>0.128714</v>
      </c>
    </row>
    <row r="859">
      <c r="A859" s="24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5" t="n">
        <v>0.08914900000000001</v>
      </c>
    </row>
    <row r="860">
      <c r="A860" s="24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5" t="n">
        <v>0.355744</v>
      </c>
    </row>
    <row r="861">
      <c r="A861" s="24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5" t="n">
        <v>0.389272</v>
      </c>
    </row>
    <row r="862">
      <c r="A862" s="24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5" t="n">
        <v>0.397344</v>
      </c>
    </row>
    <row r="863">
      <c r="A863" s="24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5" t="n">
        <v>0.405544</v>
      </c>
    </row>
    <row r="864">
      <c r="A864" s="24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5" t="n">
        <v>0.411172</v>
      </c>
    </row>
    <row r="865">
      <c r="A865" s="24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5" t="n">
        <v>0.410694</v>
      </c>
    </row>
    <row r="866">
      <c r="A866" s="24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5" t="n">
        <v>0.251345</v>
      </c>
    </row>
    <row r="867">
      <c r="A867" s="24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5" t="n">
        <v>0.09643699999999999</v>
      </c>
    </row>
    <row r="868">
      <c r="A868" s="24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5" t="n">
        <v>0.066745</v>
      </c>
    </row>
    <row r="869">
      <c r="A869" s="24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5" t="n">
        <v>0.035746</v>
      </c>
    </row>
    <row r="870">
      <c r="A870" s="24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5" t="n">
        <v>0.013816</v>
      </c>
    </row>
    <row r="871">
      <c r="A871" s="24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5" t="n">
        <v>0.06392</v>
      </c>
    </row>
    <row r="872">
      <c r="A872" s="24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5" t="n">
        <v>0.012375</v>
      </c>
    </row>
    <row r="873">
      <c r="A873" s="24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5" t="n">
        <v>0.014684</v>
      </c>
    </row>
    <row r="874">
      <c r="A874" s="24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5" t="n">
        <v>0.007671</v>
      </c>
    </row>
    <row r="875">
      <c r="A875" s="24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5" t="n">
        <v>0.01043</v>
      </c>
    </row>
    <row r="876">
      <c r="A876" s="24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5" t="n">
        <v>0.002969</v>
      </c>
    </row>
    <row r="877">
      <c r="A877" s="24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5" t="n">
        <v>0.001894</v>
      </c>
    </row>
    <row r="878">
      <c r="A878" s="24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5" t="n">
        <v>0.002052</v>
      </c>
    </row>
    <row r="879">
      <c r="A879" s="24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5" t="n">
        <v>0.001304</v>
      </c>
    </row>
    <row r="880">
      <c r="A880" s="24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5" t="n">
        <v>0.063587</v>
      </c>
    </row>
    <row r="881">
      <c r="A881" s="24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5" t="n">
        <v>0.021204</v>
      </c>
    </row>
    <row r="882">
      <c r="A882" s="24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5" t="n">
        <v>0.01325</v>
      </c>
    </row>
    <row r="883">
      <c r="A883" s="24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5" t="n">
        <v>0.016992</v>
      </c>
    </row>
    <row r="884">
      <c r="A884" s="24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5" t="n">
        <v>0.016829</v>
      </c>
    </row>
    <row r="885">
      <c r="A885" s="24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5" t="n">
        <v>0.012865</v>
      </c>
    </row>
    <row r="886">
      <c r="A886" s="24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5" t="n">
        <v>0.008186000000000001</v>
      </c>
    </row>
    <row r="887">
      <c r="A887" s="24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5" t="n">
        <v>0.015864</v>
      </c>
    </row>
    <row r="888">
      <c r="A888" s="24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5" t="n">
        <v>0.010687</v>
      </c>
    </row>
    <row r="889">
      <c r="A889" s="24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5" t="n">
        <v>0.032813</v>
      </c>
    </row>
    <row r="890">
      <c r="A890" s="24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5" t="n">
        <v>0.014153</v>
      </c>
    </row>
    <row r="891">
      <c r="A891" s="24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5" t="n">
        <v>0.0041</v>
      </c>
    </row>
    <row r="892">
      <c r="A892" s="24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5" t="n">
        <v>0.003268</v>
      </c>
    </row>
    <row r="893">
      <c r="A893" s="24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5" t="n">
        <v>0.004829</v>
      </c>
    </row>
    <row r="894">
      <c r="A894" s="24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5" t="n">
        <v>0.001117</v>
      </c>
    </row>
    <row r="895">
      <c r="A895" s="24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5" t="n">
        <v>0.011218</v>
      </c>
    </row>
    <row r="896">
      <c r="A896" s="24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5" t="n">
        <v>0.008917</v>
      </c>
    </row>
    <row r="897">
      <c r="A897" s="24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5" t="n">
        <v>0.013036</v>
      </c>
    </row>
    <row r="898">
      <c r="A898" s="24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5" t="n">
        <v>0.022121</v>
      </c>
    </row>
    <row r="899">
      <c r="A899" s="24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5" t="n">
        <v>0.011411</v>
      </c>
    </row>
    <row r="900">
      <c r="A900" s="24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5" t="n">
        <v>0.062356</v>
      </c>
    </row>
    <row r="901">
      <c r="A901" s="24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5" t="n">
        <v>0.025561</v>
      </c>
    </row>
    <row r="902">
      <c r="A902" s="24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5" t="n">
        <v>0.05241</v>
      </c>
    </row>
    <row r="903">
      <c r="A903" s="24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5" t="n">
        <v>0.06918199999999999</v>
      </c>
    </row>
    <row r="904">
      <c r="A904" s="24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5" t="n">
        <v>0.102434</v>
      </c>
    </row>
    <row r="905">
      <c r="A905" s="24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5" t="n">
        <v>0.243321</v>
      </c>
    </row>
    <row r="906">
      <c r="A906" s="24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5" t="n">
        <v>0.08096299999999999</v>
      </c>
    </row>
    <row r="907">
      <c r="A907" s="24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5" t="n">
        <v>0.11301</v>
      </c>
    </row>
    <row r="908">
      <c r="A908" s="24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5" t="n">
        <v>0.30795</v>
      </c>
    </row>
    <row r="909">
      <c r="A909" s="24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5" t="n">
        <v>0.113821</v>
      </c>
    </row>
    <row r="910">
      <c r="A910" s="24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5" t="n">
        <v>0.086926</v>
      </c>
    </row>
    <row r="911">
      <c r="A911" s="24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5" t="n">
        <v>0.346308</v>
      </c>
    </row>
    <row r="912">
      <c r="A912" s="24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5" t="n">
        <v>0.206664</v>
      </c>
    </row>
    <row r="913">
      <c r="A913" s="24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5" t="n">
        <v>0.128303</v>
      </c>
    </row>
    <row r="914">
      <c r="A914" s="24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5" t="n">
        <v>0.36725</v>
      </c>
    </row>
    <row r="915">
      <c r="A915" s="24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5" t="n">
        <v>0.392409</v>
      </c>
    </row>
    <row r="916">
      <c r="A916" s="24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5" t="n">
        <v>0.364964</v>
      </c>
    </row>
    <row r="917">
      <c r="A917" s="24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5" t="n">
        <v>0.133073</v>
      </c>
    </row>
    <row r="918">
      <c r="A918" s="24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5" t="n">
        <v>0.052369</v>
      </c>
    </row>
    <row r="919">
      <c r="A919" s="24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5" t="n">
        <v>0.037323</v>
      </c>
    </row>
    <row r="920">
      <c r="A920" s="24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5" t="n">
        <v>0.131433</v>
      </c>
    </row>
    <row r="921">
      <c r="A921" s="24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5" t="n">
        <v>0.355876</v>
      </c>
    </row>
    <row r="922">
      <c r="A922" s="24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5" t="n">
        <v>0.39069</v>
      </c>
    </row>
    <row r="923">
      <c r="A923" s="24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5" t="n">
        <v>0.614395</v>
      </c>
    </row>
    <row r="924">
      <c r="A924" s="24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5" t="n">
        <v>1.575779</v>
      </c>
    </row>
    <row r="925">
      <c r="A925" s="24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5" t="n">
        <v>1.36444</v>
      </c>
    </row>
    <row r="926">
      <c r="A926" s="24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5" t="n">
        <v>0.411722</v>
      </c>
    </row>
    <row r="927">
      <c r="A927" s="24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5" t="n">
        <v>0.410808</v>
      </c>
    </row>
    <row r="928">
      <c r="A928" s="24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5" t="n">
        <v>0.406578</v>
      </c>
    </row>
    <row r="929">
      <c r="A929" s="24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5" t="n">
        <v>0.321187</v>
      </c>
    </row>
    <row r="930">
      <c r="A930" s="24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5" t="n">
        <v>0.378697</v>
      </c>
    </row>
    <row r="931">
      <c r="A931" s="24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5" t="n">
        <v>0.128</v>
      </c>
    </row>
    <row r="932">
      <c r="A932" s="24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5" t="n">
        <v>0.139188</v>
      </c>
    </row>
    <row r="933">
      <c r="A933" s="24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5" t="n">
        <v>0.148036</v>
      </c>
    </row>
    <row r="934">
      <c r="A934" s="24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5" t="n">
        <v>0.045749</v>
      </c>
    </row>
    <row r="935">
      <c r="A935" s="24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5" t="n">
        <v>0.032396</v>
      </c>
    </row>
    <row r="936">
      <c r="A936" s="24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5" t="n">
        <v>0.012442</v>
      </c>
    </row>
    <row r="937">
      <c r="A937" s="24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5" t="n">
        <v>0.09209199999999999</v>
      </c>
    </row>
    <row r="938">
      <c r="A938" s="24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5" t="n">
        <v>0.097131</v>
      </c>
    </row>
    <row r="939">
      <c r="A939" s="24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5" t="n">
        <v>0.102107</v>
      </c>
    </row>
    <row r="940">
      <c r="A940" s="24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5" t="n">
        <v>0.105946</v>
      </c>
    </row>
    <row r="941">
      <c r="A941" s="24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5" t="n">
        <v>0.349052</v>
      </c>
    </row>
    <row r="942">
      <c r="A942" s="24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5" t="n">
        <v>0.169559</v>
      </c>
    </row>
    <row r="943">
      <c r="A943" s="24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5" t="n">
        <v>0.171622</v>
      </c>
    </row>
    <row r="944">
      <c r="A944" s="24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5" t="n">
        <v>0.235085</v>
      </c>
    </row>
    <row r="945">
      <c r="A945" s="24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5" t="n">
        <v>0.17204</v>
      </c>
    </row>
    <row r="946">
      <c r="A946" s="24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5" t="n">
        <v>0.048346</v>
      </c>
    </row>
    <row r="947">
      <c r="A947" s="24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5" t="n">
        <v>0.027598</v>
      </c>
    </row>
    <row r="948">
      <c r="A948" s="24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5" t="n">
        <v>0.018018</v>
      </c>
    </row>
    <row r="949">
      <c r="A949" s="24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5" t="n">
        <v>0.028613</v>
      </c>
    </row>
    <row r="950">
      <c r="A950" s="24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5" t="n">
        <v>0.056505</v>
      </c>
    </row>
    <row r="951">
      <c r="A951" s="24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5" t="n">
        <v>0.143281</v>
      </c>
    </row>
    <row r="952">
      <c r="A952" s="24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5" t="n">
        <v>0.060827</v>
      </c>
    </row>
    <row r="953">
      <c r="A953" s="24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5" t="n">
        <v>0.033598</v>
      </c>
    </row>
    <row r="954">
      <c r="A954" s="24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5" t="n">
        <v>0.022401</v>
      </c>
    </row>
    <row r="955">
      <c r="A955" s="24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5" t="n">
        <v>0.015951</v>
      </c>
    </row>
    <row r="956">
      <c r="A956" s="24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5" t="n">
        <v>0.014501</v>
      </c>
    </row>
    <row r="957">
      <c r="A957" s="24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5" t="n">
        <v>0.010822</v>
      </c>
    </row>
    <row r="958">
      <c r="A958" s="24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5" t="n">
        <v>0.024888</v>
      </c>
    </row>
    <row r="959">
      <c r="A959" s="24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5" t="n">
        <v>0.09753299999999999</v>
      </c>
    </row>
    <row r="960">
      <c r="A960" s="24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5" t="n">
        <v>0.087793</v>
      </c>
    </row>
    <row r="961">
      <c r="A961" s="24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5" t="n">
        <v>0.053977</v>
      </c>
    </row>
    <row r="962">
      <c r="A962" s="24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5" t="n">
        <v>0.085989</v>
      </c>
    </row>
    <row r="963">
      <c r="A963" s="24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5" t="n">
        <v>0.08105800000000001</v>
      </c>
    </row>
    <row r="964">
      <c r="A964" s="24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5" t="n">
        <v>0.048738</v>
      </c>
    </row>
    <row r="965">
      <c r="A965" s="24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5" t="n">
        <v>0.141112</v>
      </c>
    </row>
    <row r="966">
      <c r="A966" s="24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5" t="n">
        <v>0.043938</v>
      </c>
    </row>
    <row r="967">
      <c r="A967" s="24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5" t="n">
        <v>0.048144</v>
      </c>
    </row>
    <row r="968">
      <c r="A968" s="24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5" t="n">
        <v>0.049093</v>
      </c>
    </row>
    <row r="969">
      <c r="A969" s="24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5" t="n">
        <v>0.02154</v>
      </c>
    </row>
    <row r="970">
      <c r="A970" s="24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5" t="n">
        <v>0.01552</v>
      </c>
    </row>
    <row r="971">
      <c r="A971" s="24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5" t="n">
        <v>0.009377</v>
      </c>
    </row>
    <row r="972">
      <c r="A972" s="24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5" t="n">
        <v>0.015671</v>
      </c>
    </row>
    <row r="973">
      <c r="A973" s="24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5" t="n">
        <v>0.027754</v>
      </c>
    </row>
    <row r="974">
      <c r="A974" s="24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5" t="n">
        <v>0.030828</v>
      </c>
    </row>
    <row r="975">
      <c r="A975" s="24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5" t="n">
        <v>0.015982</v>
      </c>
    </row>
    <row r="976">
      <c r="A976" s="24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5" t="n">
        <v>0.021441</v>
      </c>
    </row>
    <row r="977">
      <c r="A977" s="24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5" t="n">
        <v>0.044678</v>
      </c>
    </row>
    <row r="978">
      <c r="A978" s="24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5" t="n">
        <v>0.030337</v>
      </c>
    </row>
    <row r="979">
      <c r="A979" s="24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5" t="n">
        <v>0.02156</v>
      </c>
    </row>
    <row r="980">
      <c r="A980" s="24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5" t="n">
        <v>0.034869</v>
      </c>
    </row>
    <row r="981">
      <c r="A981" s="24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5" t="n">
        <v>0.03116</v>
      </c>
    </row>
    <row r="982">
      <c r="A982" s="24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5" t="n">
        <v>0.012524</v>
      </c>
    </row>
    <row r="983">
      <c r="A983" s="24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5" t="n">
        <v>0.048212</v>
      </c>
    </row>
    <row r="984">
      <c r="A984" s="24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5" t="n">
        <v>0.02588</v>
      </c>
    </row>
    <row r="985">
      <c r="A985" s="24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5" t="n">
        <v>0.010422</v>
      </c>
    </row>
    <row r="986">
      <c r="A986" s="24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5" t="n">
        <v>0.034309</v>
      </c>
    </row>
    <row r="987">
      <c r="A987" s="24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5" t="n">
        <v>0.015887</v>
      </c>
    </row>
    <row r="988">
      <c r="A988" s="24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5" t="n">
        <v>0.01953</v>
      </c>
    </row>
    <row r="989">
      <c r="A989" s="24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5" t="n">
        <v>0.08497300000000001</v>
      </c>
    </row>
    <row r="990">
      <c r="A990" s="24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5" t="n">
        <v>0.152051</v>
      </c>
    </row>
    <row r="991">
      <c r="A991" s="24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5" t="n">
        <v>0.104766</v>
      </c>
    </row>
    <row r="992">
      <c r="A992" s="24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5" t="n">
        <v>0.06732200000000001</v>
      </c>
    </row>
    <row r="993">
      <c r="A993" s="24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5" t="n">
        <v>0.055703</v>
      </c>
    </row>
    <row r="994">
      <c r="A994" s="24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5" t="n">
        <v>0.062489</v>
      </c>
    </row>
    <row r="995">
      <c r="A995" s="24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5" t="n">
        <v>0.095263</v>
      </c>
    </row>
    <row r="996">
      <c r="A996" s="24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5" t="n">
        <v>0.345454</v>
      </c>
    </row>
    <row r="997">
      <c r="A997" s="24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5" t="n">
        <v>0.227642</v>
      </c>
    </row>
    <row r="998">
      <c r="A998" s="24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5" t="n">
        <v>0.356848</v>
      </c>
    </row>
    <row r="999">
      <c r="A999" s="24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5" t="n">
        <v>0.102517</v>
      </c>
    </row>
    <row r="1000">
      <c r="A1000" s="24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5" t="n">
        <v>0.039679</v>
      </c>
    </row>
    <row r="1001">
      <c r="A1001" s="24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5" t="n">
        <v>0.020109</v>
      </c>
    </row>
    <row r="1002">
      <c r="A1002" s="24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5" t="n">
        <v>0.024709</v>
      </c>
    </row>
    <row r="1003">
      <c r="A1003" s="24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5" t="n">
        <v>0.016218</v>
      </c>
    </row>
    <row r="1004">
      <c r="A1004" s="24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5" t="n">
        <v>0.036985</v>
      </c>
    </row>
    <row r="1005">
      <c r="A1005" s="24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5" t="n">
        <v>0.101929</v>
      </c>
    </row>
    <row r="1006">
      <c r="A1006" s="24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5" t="n">
        <v>0.051534</v>
      </c>
    </row>
    <row r="1007">
      <c r="A1007" s="24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5" t="n">
        <v>0.071935</v>
      </c>
    </row>
    <row r="1008">
      <c r="A1008" s="24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5" t="n">
        <v>0.255394</v>
      </c>
    </row>
    <row r="1009">
      <c r="A1009" s="24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5" t="n">
        <v>0.137923</v>
      </c>
    </row>
    <row r="1010">
      <c r="A1010" s="24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5" t="n">
        <v>0.096915</v>
      </c>
    </row>
    <row r="1011">
      <c r="A1011" s="24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5" t="n">
        <v>0.067133</v>
      </c>
    </row>
    <row r="1012">
      <c r="A1012" s="24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5" t="n">
        <v>0.027305</v>
      </c>
    </row>
    <row r="1013">
      <c r="A1013" s="24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5" t="n">
        <v>0.093638</v>
      </c>
    </row>
    <row r="1014">
      <c r="A1014" s="24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5" t="n">
        <v>0.08468100000000001</v>
      </c>
    </row>
    <row r="1015">
      <c r="A1015" s="24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5" t="n">
        <v>0.057316</v>
      </c>
    </row>
    <row r="1016">
      <c r="A1016" s="24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5" t="n">
        <v>0.02619</v>
      </c>
    </row>
    <row r="1017">
      <c r="A1017" s="24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5" t="n">
        <v>0.026652</v>
      </c>
    </row>
    <row r="1018">
      <c r="A1018" s="24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5" t="n">
        <v>0.056122</v>
      </c>
    </row>
    <row r="1019">
      <c r="A1019" s="24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5" t="n">
        <v>0.215912</v>
      </c>
    </row>
    <row r="1020">
      <c r="A1020" s="24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5" t="n">
        <v>0.085968</v>
      </c>
    </row>
    <row r="1021">
      <c r="A1021" s="24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5" t="n">
        <v>0.100309</v>
      </c>
    </row>
    <row r="1022">
      <c r="A1022" s="24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5" t="n">
        <v>0.060651</v>
      </c>
    </row>
    <row r="1023">
      <c r="A1023" s="24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5" t="n">
        <v>0.055798</v>
      </c>
    </row>
    <row r="1024">
      <c r="A1024" s="24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5" t="n">
        <v>0.08541700000000001</v>
      </c>
    </row>
    <row r="1025">
      <c r="A1025" s="24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5" t="n">
        <v>0.076087</v>
      </c>
    </row>
    <row r="1026">
      <c r="A1026" s="24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5" t="n">
        <v>0.021018</v>
      </c>
    </row>
    <row r="1027">
      <c r="A1027" s="24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5" t="n">
        <v>0.011634</v>
      </c>
    </row>
    <row r="1028">
      <c r="A1028" s="24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5" t="n">
        <v>0.038444</v>
      </c>
    </row>
    <row r="1029">
      <c r="A1029" s="24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5" t="n">
        <v>0.007117</v>
      </c>
    </row>
    <row r="1030">
      <c r="A1030" s="24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5" t="n">
        <v>0.003429</v>
      </c>
    </row>
    <row r="1031">
      <c r="A1031" s="24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5" t="n">
        <v>0.00177</v>
      </c>
    </row>
    <row r="1032">
      <c r="A1032" s="24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5" t="n">
        <v>0.000914</v>
      </c>
    </row>
    <row r="1033">
      <c r="A1033" s="24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5" t="n">
        <v>0.001896</v>
      </c>
    </row>
    <row r="1034">
      <c r="A1034" s="24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5" t="n">
        <v>0.165133</v>
      </c>
    </row>
    <row r="1035">
      <c r="A1035" s="24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5" t="n">
        <v>0.16145</v>
      </c>
    </row>
    <row r="1036">
      <c r="A1036" s="24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5" t="n">
        <v>0.053131</v>
      </c>
    </row>
    <row r="1037">
      <c r="A1037" s="24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5" t="n">
        <v>0.019136</v>
      </c>
    </row>
    <row r="1038">
      <c r="A1038" s="24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5" t="n">
        <v>0.020425</v>
      </c>
    </row>
    <row r="1039">
      <c r="A1039" s="24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5" t="n">
        <v>0.052872</v>
      </c>
    </row>
    <row r="1040">
      <c r="A1040" s="24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5" t="n">
        <v>0.031671</v>
      </c>
    </row>
    <row r="1041">
      <c r="A1041" s="24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5" t="n">
        <v>0.020051</v>
      </c>
    </row>
    <row r="1042">
      <c r="A1042" s="24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5" t="n">
        <v>0.010775</v>
      </c>
    </row>
    <row r="1043">
      <c r="A1043" s="24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5" t="n">
        <v>0.010804</v>
      </c>
    </row>
    <row r="1044">
      <c r="A1044" s="24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5" t="n">
        <v>0.089146</v>
      </c>
    </row>
    <row r="1045">
      <c r="A1045" s="24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5" t="n">
        <v>0.031554</v>
      </c>
    </row>
    <row r="1046">
      <c r="A1046" s="24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5" t="n">
        <v>0.013366</v>
      </c>
    </row>
    <row r="1047">
      <c r="A1047" s="24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5" t="n">
        <v>0.005272</v>
      </c>
    </row>
    <row r="1048">
      <c r="A1048" s="24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5" t="n">
        <v>0.002717</v>
      </c>
    </row>
    <row r="1049">
      <c r="A1049" s="24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5" t="n">
        <v>0.005997</v>
      </c>
    </row>
    <row r="1050">
      <c r="A1050" s="24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5" t="n">
        <v>0.001598</v>
      </c>
    </row>
    <row r="1051">
      <c r="A1051" s="24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5" t="n">
        <v>0.006493</v>
      </c>
    </row>
    <row r="1052">
      <c r="A1052" s="24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5" t="n">
        <v>0.023347</v>
      </c>
    </row>
    <row r="1053">
      <c r="A1053" s="24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5" t="n">
        <v>0.013682</v>
      </c>
    </row>
    <row r="1054">
      <c r="A1054" s="24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5" t="n">
        <v>0.021612</v>
      </c>
    </row>
    <row r="1055">
      <c r="A1055" s="24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5" t="n">
        <v>0.020134</v>
      </c>
    </row>
    <row r="1056">
      <c r="A1056" s="24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5" t="n">
        <v>0.034971</v>
      </c>
    </row>
    <row r="1057">
      <c r="A1057" s="24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5" t="n">
        <v>0.042688</v>
      </c>
    </row>
    <row r="1058">
      <c r="A1058" s="24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5" t="n">
        <v>0.026979</v>
      </c>
    </row>
    <row r="1059">
      <c r="A1059" s="24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5" t="n">
        <v>0.049064</v>
      </c>
    </row>
    <row r="1060">
      <c r="A1060" s="24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5" t="n">
        <v>0.03882</v>
      </c>
    </row>
    <row r="1061">
      <c r="A1061" s="24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5" t="n">
        <v>0.160556</v>
      </c>
    </row>
    <row r="1062">
      <c r="A1062" s="24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5" t="n">
        <v>0.043587</v>
      </c>
    </row>
    <row r="1063">
      <c r="A1063" s="24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5" t="n">
        <v>0.036939</v>
      </c>
    </row>
    <row r="1064">
      <c r="A1064" s="24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5" t="n">
        <v>0.014102</v>
      </c>
    </row>
    <row r="1065">
      <c r="A1065" s="24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5" t="n">
        <v>0.010599</v>
      </c>
    </row>
    <row r="1066">
      <c r="A1066" s="24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5" t="n">
        <v>0.012628</v>
      </c>
    </row>
    <row r="1067">
      <c r="A1067" s="24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5" t="n">
        <v>0.023545</v>
      </c>
    </row>
    <row r="1068">
      <c r="A1068" s="24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5" t="n">
        <v>0.116726</v>
      </c>
    </row>
    <row r="1069">
      <c r="A1069" s="24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5" t="n">
        <v>0.292409</v>
      </c>
    </row>
    <row r="1070">
      <c r="A1070" s="24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5" t="n">
        <v>0.081374</v>
      </c>
    </row>
    <row r="1071">
      <c r="A1071" s="24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5" t="n">
        <v>0.043882</v>
      </c>
    </row>
    <row r="1072">
      <c r="A1072" s="24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5" t="n">
        <v>0.031961</v>
      </c>
    </row>
    <row r="1073">
      <c r="A1073" s="24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5" t="n">
        <v>0.055352</v>
      </c>
    </row>
    <row r="1074">
      <c r="A1074" s="24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5" t="n">
        <v>0.049395</v>
      </c>
    </row>
    <row r="1075">
      <c r="A1075" s="24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5" t="n">
        <v>0.04191</v>
      </c>
    </row>
    <row r="1076">
      <c r="A1076" s="24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5" t="n">
        <v>0.04101</v>
      </c>
    </row>
    <row r="1077">
      <c r="A1077" s="24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5" t="n">
        <v>0.063388</v>
      </c>
    </row>
    <row r="1078">
      <c r="A1078" s="24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5" t="n">
        <v>0.025886</v>
      </c>
    </row>
    <row r="1079">
      <c r="A1079" s="24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5" t="n">
        <v>0.10467</v>
      </c>
    </row>
    <row r="1080">
      <c r="A1080" s="24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5" t="n">
        <v>0.04627</v>
      </c>
    </row>
    <row r="1081">
      <c r="A1081" s="24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5" t="n">
        <v>0.030188</v>
      </c>
    </row>
    <row r="1082">
      <c r="A1082" s="24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5" t="n">
        <v>0.198266</v>
      </c>
    </row>
    <row r="1083">
      <c r="A1083" s="24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5" t="n">
        <v>0.078932</v>
      </c>
    </row>
    <row r="1084">
      <c r="A1084" s="24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5" t="n">
        <v>0.136637</v>
      </c>
    </row>
    <row r="1085">
      <c r="A1085" s="24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5" t="n">
        <v>0.104493</v>
      </c>
    </row>
    <row r="1086">
      <c r="A1086" s="24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5" t="n">
        <v>0.069066</v>
      </c>
    </row>
    <row r="1087">
      <c r="A1087" s="24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5" t="n">
        <v>0.038253</v>
      </c>
    </row>
    <row r="1088">
      <c r="A1088" s="24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5" t="n">
        <v>0.068993</v>
      </c>
    </row>
    <row r="1089">
      <c r="A1089" s="24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5" t="n">
        <v>0.06272899999999999</v>
      </c>
    </row>
    <row r="1090">
      <c r="A1090" s="24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5" t="n">
        <v>0.038291</v>
      </c>
    </row>
    <row r="1091">
      <c r="A1091" s="24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5" t="n">
        <v>0.215643</v>
      </c>
    </row>
    <row r="1092">
      <c r="A1092" s="24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5" t="n">
        <v>0.142642</v>
      </c>
    </row>
    <row r="1093">
      <c r="A1093" s="24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5" t="n">
        <v>0.060372</v>
      </c>
    </row>
    <row r="1094">
      <c r="A1094" s="24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5" t="n">
        <v>0.064239</v>
      </c>
    </row>
    <row r="1095">
      <c r="A1095" s="24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5" t="n">
        <v>0.03562</v>
      </c>
    </row>
    <row r="1096">
      <c r="A1096" s="24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5" t="n">
        <v>0.026663</v>
      </c>
    </row>
    <row r="1097">
      <c r="A1097" s="24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5" t="n">
        <v>0.107542</v>
      </c>
    </row>
    <row r="1098">
      <c r="A1098" s="24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5" t="n">
        <v>0.032029</v>
      </c>
    </row>
    <row r="1099">
      <c r="A1099" s="24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5" t="n">
        <v>0.031152</v>
      </c>
    </row>
    <row r="1100">
      <c r="A1100" s="24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5" t="n">
        <v>0.084687</v>
      </c>
    </row>
    <row r="1101">
      <c r="A1101" s="24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5" t="n">
        <v>0.034438</v>
      </c>
    </row>
    <row r="1102">
      <c r="A1102" s="24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5" t="n">
        <v>0.021162</v>
      </c>
    </row>
    <row r="1103">
      <c r="A1103" s="24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5" t="n">
        <v>0.103642</v>
      </c>
    </row>
    <row r="1104">
      <c r="A1104" s="24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5" t="n">
        <v>0.090341</v>
      </c>
    </row>
    <row r="1105">
      <c r="A1105" s="24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5" t="n">
        <v>0.076455</v>
      </c>
    </row>
    <row r="1106">
      <c r="A1106" s="24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5" t="n">
        <v>0.08060100000000001</v>
      </c>
    </row>
    <row r="1107">
      <c r="A1107" s="24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5" t="n">
        <v>0.059275</v>
      </c>
    </row>
    <row r="1108">
      <c r="A1108" s="24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5" t="n">
        <v>0.015439</v>
      </c>
    </row>
    <row r="1109">
      <c r="A1109" s="24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5" t="n">
        <v>0.015955</v>
      </c>
    </row>
    <row r="1110">
      <c r="A1110" s="24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5" t="n">
        <v>0.019492</v>
      </c>
    </row>
    <row r="1111">
      <c r="A1111" s="24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5" t="n">
        <v>0.01746</v>
      </c>
    </row>
    <row r="1112">
      <c r="A1112" s="24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5" t="n">
        <v>0.025511</v>
      </c>
    </row>
    <row r="1113">
      <c r="A1113" s="24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5" t="n">
        <v>0.015372</v>
      </c>
    </row>
    <row r="1114">
      <c r="A1114" s="24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5" t="n">
        <v>0.045956</v>
      </c>
    </row>
    <row r="1115">
      <c r="A1115" s="24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5" t="n">
        <v>0.020045</v>
      </c>
    </row>
    <row r="1116">
      <c r="A1116" s="24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5" t="n">
        <v>0.012626</v>
      </c>
    </row>
    <row r="1117">
      <c r="A1117" s="24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5" t="n">
        <v>0.06077</v>
      </c>
    </row>
    <row r="1118">
      <c r="A1118" s="24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5" t="n">
        <v>0.06307599999999999</v>
      </c>
    </row>
    <row r="1119">
      <c r="A1119" s="24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5" t="n">
        <v>0.040285</v>
      </c>
    </row>
    <row r="1120">
      <c r="A1120" s="24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5" t="n">
        <v>0.04641</v>
      </c>
    </row>
    <row r="1121">
      <c r="A1121" s="24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5" t="n">
        <v>0.320491</v>
      </c>
    </row>
    <row r="1122">
      <c r="A1122" s="24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5" t="n">
        <v>0.05584</v>
      </c>
    </row>
    <row r="1123">
      <c r="A1123" s="24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5" t="n">
        <v>0.036318</v>
      </c>
    </row>
    <row r="1124">
      <c r="A1124" s="24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5" t="n">
        <v>0.029772</v>
      </c>
    </row>
    <row r="1125">
      <c r="A1125" s="24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5" t="n">
        <v>0.030912</v>
      </c>
    </row>
    <row r="1126">
      <c r="A1126" s="24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5" t="n">
        <v>0.054755</v>
      </c>
    </row>
    <row r="1127">
      <c r="A1127" s="24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5" t="n">
        <v>0.027277</v>
      </c>
    </row>
    <row r="1128">
      <c r="A1128" s="24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5" t="n">
        <v>0.110128</v>
      </c>
    </row>
    <row r="1129">
      <c r="A1129" s="24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5" t="n">
        <v>0.048029</v>
      </c>
    </row>
    <row r="1130">
      <c r="A1130" s="24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5" t="n">
        <v>0.061662</v>
      </c>
    </row>
    <row r="1131">
      <c r="A1131" s="24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5" t="n">
        <v>0.22192</v>
      </c>
    </row>
    <row r="1132">
      <c r="A1132" s="24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5" t="n">
        <v>0.057838</v>
      </c>
    </row>
    <row r="1133">
      <c r="A1133" s="24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5" t="n">
        <v>0.036666</v>
      </c>
    </row>
    <row r="1134">
      <c r="A1134" s="24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5" t="n">
        <v>0.179516</v>
      </c>
    </row>
    <row r="1135">
      <c r="A1135" s="24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5" t="n">
        <v>0.130008</v>
      </c>
    </row>
    <row r="1136">
      <c r="A1136" s="24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5" t="n">
        <v>0.264816</v>
      </c>
    </row>
    <row r="1137">
      <c r="A1137" s="24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5" t="n">
        <v>0.056653</v>
      </c>
    </row>
    <row r="1138">
      <c r="A1138" s="24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5" t="n">
        <v>0.035742</v>
      </c>
    </row>
    <row r="1139">
      <c r="A1139" s="24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5" t="n">
        <v>0.175538</v>
      </c>
    </row>
    <row r="1140">
      <c r="A1140" s="24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5" t="n">
        <v>0.041255</v>
      </c>
    </row>
    <row r="1141">
      <c r="A1141" s="24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5" t="n">
        <v>0.02316</v>
      </c>
    </row>
    <row r="1142">
      <c r="A1142" s="24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5" t="n">
        <v>0.024037</v>
      </c>
    </row>
    <row r="1143">
      <c r="A1143" s="24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5" t="n">
        <v>0.016206</v>
      </c>
    </row>
    <row r="1144">
      <c r="A1144" s="24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5" t="n">
        <v>0.023563</v>
      </c>
    </row>
    <row r="1145">
      <c r="A1145" s="24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5" t="n">
        <v>0.038053</v>
      </c>
    </row>
    <row r="1146">
      <c r="A1146" s="24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5" t="n">
        <v>0.022918</v>
      </c>
    </row>
    <row r="1147">
      <c r="A1147" s="24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5" t="n">
        <v>0.056114</v>
      </c>
    </row>
    <row r="1148">
      <c r="A1148" s="24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5" t="n">
        <v>0.030517</v>
      </c>
    </row>
    <row r="1149">
      <c r="A1149" s="24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5" t="n">
        <v>0.02105</v>
      </c>
    </row>
    <row r="1150">
      <c r="A1150" s="24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5" t="n">
        <v>0.034152</v>
      </c>
    </row>
    <row r="1151">
      <c r="A1151" s="24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5" t="n">
        <v>0.040282</v>
      </c>
    </row>
    <row r="1152">
      <c r="A1152" s="24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5" t="n">
        <v>0.093343</v>
      </c>
    </row>
    <row r="1153">
      <c r="A1153" s="24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5" t="n">
        <v>0.056578</v>
      </c>
    </row>
    <row r="1154">
      <c r="A1154" s="24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5" t="n">
        <v>0.075159</v>
      </c>
    </row>
    <row r="1155">
      <c r="A1155" s="24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5" t="n">
        <v>0.044652</v>
      </c>
    </row>
    <row r="1156">
      <c r="A1156" s="24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5" t="n">
        <v>0.024733</v>
      </c>
    </row>
    <row r="1157">
      <c r="A1157" s="24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5" t="n">
        <v>0.010168</v>
      </c>
    </row>
    <row r="1158">
      <c r="A1158" s="24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5" t="n">
        <v>0.024268</v>
      </c>
    </row>
    <row r="1159">
      <c r="A1159" s="24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5" t="n">
        <v>0.014336</v>
      </c>
    </row>
    <row r="1160">
      <c r="A1160" s="24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5" t="n">
        <v>0.008697</v>
      </c>
    </row>
    <row r="1161">
      <c r="A1161" s="24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5" t="n">
        <v>0.024894</v>
      </c>
    </row>
    <row r="1162">
      <c r="A1162" s="24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5" t="n">
        <v>0.042217</v>
      </c>
    </row>
    <row r="1163">
      <c r="A1163" s="24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5" t="n">
        <v>0.027534</v>
      </c>
    </row>
    <row r="1164">
      <c r="A1164" s="24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5" t="n">
        <v>0.07532899999999999</v>
      </c>
    </row>
    <row r="1165">
      <c r="A1165" s="24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5" t="n">
        <v>0.207353</v>
      </c>
    </row>
    <row r="1166">
      <c r="A1166" s="24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5" t="n">
        <v>0.066051</v>
      </c>
    </row>
    <row r="1167">
      <c r="A1167" s="24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5" t="n">
        <v>0.073291</v>
      </c>
    </row>
    <row r="1168">
      <c r="A1168" s="24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5" t="n">
        <v>0.243119</v>
      </c>
    </row>
    <row r="1169">
      <c r="A1169" s="24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5" t="n">
        <v>0.144676</v>
      </c>
    </row>
    <row r="1170">
      <c r="A1170" s="24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5" t="n">
        <v>0.148342</v>
      </c>
    </row>
    <row r="1171">
      <c r="A1171" s="24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5" t="n">
        <v>0.154378</v>
      </c>
    </row>
    <row r="1172">
      <c r="A1172" s="24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5" t="n">
        <v>0.327062</v>
      </c>
    </row>
    <row r="1173">
      <c r="A1173" s="24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5" t="n">
        <v>0.38652</v>
      </c>
    </row>
    <row r="1174">
      <c r="A1174" s="24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5" t="n">
        <v>0.400027</v>
      </c>
    </row>
    <row r="1175">
      <c r="A1175" s="24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5" t="n">
        <v>0.228099</v>
      </c>
    </row>
    <row r="1176">
      <c r="A1176" s="24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5" t="n">
        <v>0.098139</v>
      </c>
    </row>
    <row r="1177">
      <c r="A1177" s="24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5" t="n">
        <v>0.075915</v>
      </c>
    </row>
    <row r="1178">
      <c r="A1178" s="24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5" t="n">
        <v>0.067829</v>
      </c>
    </row>
    <row r="1179">
      <c r="A1179" s="24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5" t="n">
        <v>0.039665</v>
      </c>
    </row>
    <row r="1180">
      <c r="A1180" s="24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5" t="n">
        <v>0.032887</v>
      </c>
    </row>
    <row r="1181">
      <c r="A1181" s="24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5" t="n">
        <v>0.022258</v>
      </c>
    </row>
    <row r="1182">
      <c r="A1182" s="24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5" t="n">
        <v>0.014824</v>
      </c>
    </row>
    <row r="1183">
      <c r="A1183" s="24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5" t="n">
        <v>0.016635</v>
      </c>
    </row>
    <row r="1184">
      <c r="A1184" s="24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5" t="n">
        <v>0.021815</v>
      </c>
    </row>
    <row r="1185">
      <c r="A1185" s="24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5" t="n">
        <v>0.07088899999999999</v>
      </c>
    </row>
    <row r="1186">
      <c r="A1186" s="24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5" t="n">
        <v>0.043207</v>
      </c>
    </row>
    <row r="1187">
      <c r="A1187" s="24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5" t="n">
        <v>0.100813</v>
      </c>
    </row>
    <row r="1188">
      <c r="A1188" s="24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5" t="n">
        <v>0.098022</v>
      </c>
    </row>
    <row r="1189">
      <c r="A1189" s="24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5" t="n">
        <v>0.051285</v>
      </c>
    </row>
    <row r="1190">
      <c r="A1190" s="24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5" t="n">
        <v>0.064156</v>
      </c>
    </row>
    <row r="1191">
      <c r="A1191" s="24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5" t="n">
        <v>0.070488</v>
      </c>
    </row>
    <row r="1192">
      <c r="A1192" s="24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5" t="n">
        <v>0.081023</v>
      </c>
    </row>
    <row r="1193">
      <c r="A1193" s="24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5" t="n">
        <v>0.047702</v>
      </c>
    </row>
    <row r="1194">
      <c r="A1194" s="24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5" t="n">
        <v>0.021231</v>
      </c>
    </row>
    <row r="1195">
      <c r="A1195" s="24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5" t="n">
        <v>0.024865</v>
      </c>
    </row>
    <row r="1196">
      <c r="A1196" s="24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5" t="n">
        <v>0.044454</v>
      </c>
    </row>
    <row r="1197">
      <c r="A1197" s="24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5" t="n">
        <v>0.095069</v>
      </c>
    </row>
    <row r="1198">
      <c r="A1198" s="24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5" t="n">
        <v>0.039303</v>
      </c>
    </row>
    <row r="1199">
      <c r="A1199" s="24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5" t="n">
        <v>0.087018</v>
      </c>
    </row>
    <row r="1200">
      <c r="A1200" s="24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5" t="n">
        <v>0.061793</v>
      </c>
    </row>
    <row r="1201">
      <c r="A1201" s="24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5" t="n">
        <v>0.044333</v>
      </c>
    </row>
    <row r="1202">
      <c r="A1202" s="24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5" t="n">
        <v>0.033117</v>
      </c>
    </row>
    <row r="1203">
      <c r="A1203" s="24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5" t="n">
        <v>0.179925</v>
      </c>
    </row>
    <row r="1204">
      <c r="A1204" s="24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5" t="n">
        <v>0.183466</v>
      </c>
    </row>
    <row r="1205">
      <c r="A1205" s="24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5" t="n">
        <v>0.133375</v>
      </c>
    </row>
    <row r="1206">
      <c r="A1206" s="24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5" t="n">
        <v>0.267069</v>
      </c>
    </row>
    <row r="1207">
      <c r="A1207" s="24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5" t="n">
        <v>0.37528</v>
      </c>
    </row>
    <row r="1208">
      <c r="A1208" s="24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5" t="n">
        <v>0.221282</v>
      </c>
    </row>
    <row r="1209">
      <c r="A1209" s="24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5" t="n">
        <v>0.066106</v>
      </c>
    </row>
    <row r="1210">
      <c r="A1210" s="24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5" t="n">
        <v>0.057668</v>
      </c>
    </row>
    <row r="1211">
      <c r="A1211" s="24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5" t="n">
        <v>0.066259</v>
      </c>
    </row>
    <row r="1212">
      <c r="A1212" s="24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5" t="n">
        <v>0.030152</v>
      </c>
    </row>
    <row r="1213">
      <c r="A1213" s="24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5" t="n">
        <v>0.02725</v>
      </c>
    </row>
    <row r="1214">
      <c r="A1214" s="24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5" t="n">
        <v>0.055759</v>
      </c>
    </row>
    <row r="1215">
      <c r="A1215" s="24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5" t="n">
        <v>0.249843</v>
      </c>
    </row>
    <row r="1216">
      <c r="A1216" s="24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5" t="n">
        <v>0.162002</v>
      </c>
    </row>
    <row r="1217">
      <c r="A1217" s="24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5" t="n">
        <v>0.094303</v>
      </c>
    </row>
    <row r="1218">
      <c r="A1218" s="24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5" t="n">
        <v>0.048587</v>
      </c>
    </row>
    <row r="1219">
      <c r="A1219" s="24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5" t="n">
        <v>0.04502</v>
      </c>
    </row>
    <row r="1220">
      <c r="A1220" s="24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5" t="n">
        <v>0.10126</v>
      </c>
    </row>
    <row r="1221">
      <c r="A1221" s="24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5" t="n">
        <v>0.085259</v>
      </c>
    </row>
    <row r="1222">
      <c r="A1222" s="24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5" t="n">
        <v>0.04461</v>
      </c>
    </row>
    <row r="1223">
      <c r="A1223" s="24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5" t="n">
        <v>0.339268</v>
      </c>
    </row>
    <row r="1224">
      <c r="A1224" s="24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5" t="n">
        <v>0.354128</v>
      </c>
    </row>
    <row r="1225">
      <c r="A1225" s="24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5" t="n">
        <v>0.304235</v>
      </c>
    </row>
    <row r="1226">
      <c r="A1226" s="24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5" t="n">
        <v>0.361328</v>
      </c>
    </row>
    <row r="1227">
      <c r="A1227" s="24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5" t="n">
        <v>0.291997</v>
      </c>
    </row>
    <row r="1228">
      <c r="A1228" s="24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5" t="n">
        <v>0.145986</v>
      </c>
    </row>
    <row r="1229">
      <c r="A1229" s="24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5" t="n">
        <v>0.371542</v>
      </c>
    </row>
    <row r="1230">
      <c r="A1230" s="24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5" t="n">
        <v>0.401593</v>
      </c>
    </row>
    <row r="1231">
      <c r="A1231" s="24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5" t="n">
        <v>0.413092</v>
      </c>
    </row>
    <row r="1232">
      <c r="A1232" s="24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5" t="n">
        <v>0.407747</v>
      </c>
    </row>
    <row r="1233">
      <c r="A1233" s="24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5" t="n">
        <v>0.403461</v>
      </c>
    </row>
    <row r="1234">
      <c r="A1234" s="24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5" t="n">
        <v>0.206188</v>
      </c>
    </row>
    <row r="1235">
      <c r="A1235" s="24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5" t="n">
        <v>0.058069</v>
      </c>
    </row>
    <row r="1236">
      <c r="A1236" s="24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5" t="n">
        <v>0.029962</v>
      </c>
    </row>
    <row r="1237">
      <c r="A1237" s="24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5" t="n">
        <v>0.015464</v>
      </c>
    </row>
    <row r="1238">
      <c r="A1238" s="24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5" t="n">
        <v>0.007982</v>
      </c>
    </row>
    <row r="1239">
      <c r="A1239" s="24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5" t="n">
        <v>0.00412</v>
      </c>
    </row>
    <row r="1240">
      <c r="A1240" s="24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5" t="n">
        <v>0.006011</v>
      </c>
    </row>
    <row r="1241">
      <c r="A1241" s="24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5" t="n">
        <v>0.052384</v>
      </c>
    </row>
    <row r="1242">
      <c r="A1242" s="24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5" t="n">
        <v>0.037628</v>
      </c>
    </row>
    <row r="1243">
      <c r="A1243" s="24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5" t="n">
        <v>0.017346</v>
      </c>
    </row>
    <row r="1244">
      <c r="A1244" s="24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5" t="n">
        <v>0.054391</v>
      </c>
    </row>
    <row r="1245">
      <c r="A1245" s="24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5" t="n">
        <v>0.286454</v>
      </c>
    </row>
    <row r="1246">
      <c r="A1246" s="24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5" t="n">
        <v>0.081911</v>
      </c>
    </row>
    <row r="1247">
      <c r="A1247" s="24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5" t="n">
        <v>0.053679</v>
      </c>
    </row>
    <row r="1248">
      <c r="A1248" s="24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5" t="n">
        <v>0.06619</v>
      </c>
    </row>
    <row r="1249">
      <c r="A1249" s="24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5" t="n">
        <v>0.060826</v>
      </c>
    </row>
    <row r="1250">
      <c r="A1250" s="24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5" t="n">
        <v>0.125626</v>
      </c>
    </row>
    <row r="1251">
      <c r="A1251" s="24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5" t="n">
        <v>0.042631</v>
      </c>
    </row>
    <row r="1252">
      <c r="A1252" s="24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5" t="n">
        <v>0.045466</v>
      </c>
    </row>
    <row r="1253">
      <c r="A1253" s="24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5" t="n">
        <v>0.066122</v>
      </c>
    </row>
    <row r="1254">
      <c r="A1254" s="24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5" t="n">
        <v>0.342658</v>
      </c>
    </row>
    <row r="1255">
      <c r="A1255" s="24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5" t="n">
        <v>0.38601</v>
      </c>
    </row>
    <row r="1256">
      <c r="A1256" s="24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5" t="n">
        <v>0.397035</v>
      </c>
    </row>
    <row r="1257">
      <c r="A1257" s="24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5" t="n">
        <v>0.363921</v>
      </c>
    </row>
    <row r="1258">
      <c r="A1258" s="24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5" t="n">
        <v>0.170834</v>
      </c>
    </row>
    <row r="1259">
      <c r="A1259" s="24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5" t="n">
        <v>0.382268</v>
      </c>
    </row>
    <row r="1260">
      <c r="A1260" s="24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5" t="n">
        <v>0.398177</v>
      </c>
    </row>
    <row r="1261">
      <c r="A1261" s="24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5" t="n">
        <v>0.393334</v>
      </c>
    </row>
    <row r="1262">
      <c r="A1262" s="24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5" t="n">
        <v>0.412968</v>
      </c>
    </row>
    <row r="1263">
      <c r="A1263" s="24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5" t="n">
        <v>0.413368</v>
      </c>
    </row>
    <row r="1264">
      <c r="A1264" s="24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5" t="n">
        <v>0.213687</v>
      </c>
    </row>
    <row r="1265">
      <c r="A1265" s="24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5" t="n">
        <v>0.061494</v>
      </c>
    </row>
    <row r="1266">
      <c r="A1266" s="24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5" t="n">
        <v>0.05043</v>
      </c>
    </row>
    <row r="1267">
      <c r="A1267" s="24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5" t="n">
        <v>0.027011</v>
      </c>
    </row>
    <row r="1268">
      <c r="A1268" s="24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5" t="n">
        <v>0.338528</v>
      </c>
    </row>
    <row r="1269">
      <c r="A1269" s="24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5" t="n">
        <v>0.383085</v>
      </c>
    </row>
    <row r="1270">
      <c r="A1270" s="24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5" t="n">
        <v>0.398985</v>
      </c>
    </row>
    <row r="1271">
      <c r="A1271" s="24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5" t="n">
        <v>0.399898</v>
      </c>
    </row>
    <row r="1272">
      <c r="A1272" s="24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5" t="n">
        <v>0.130086</v>
      </c>
    </row>
    <row r="1273">
      <c r="A1273" s="24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5" t="n">
        <v>0.08026700000000001</v>
      </c>
    </row>
    <row r="1274">
      <c r="A1274" s="24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5" t="n">
        <v>0.066556</v>
      </c>
    </row>
    <row r="1275">
      <c r="A1275" s="24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5" t="n">
        <v>0.030199</v>
      </c>
    </row>
    <row r="1276">
      <c r="A1276" s="24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5" t="n">
        <v>0.030788</v>
      </c>
    </row>
    <row r="1277">
      <c r="A1277" s="24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5" t="n">
        <v>0.01874</v>
      </c>
    </row>
    <row r="1278">
      <c r="A1278" s="24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5" t="n">
        <v>0.025274</v>
      </c>
    </row>
    <row r="1279">
      <c r="A1279" s="24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5" t="n">
        <v>0.045851</v>
      </c>
    </row>
    <row r="1280">
      <c r="A1280" s="24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5" t="n">
        <v>0.339282</v>
      </c>
    </row>
    <row r="1281">
      <c r="A1281" s="24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5" t="n">
        <v>0.377635</v>
      </c>
    </row>
    <row r="1282">
      <c r="A1282" s="24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5" t="n">
        <v>0.193369</v>
      </c>
    </row>
    <row r="1283">
      <c r="A1283" s="24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5" t="n">
        <v>0.091532</v>
      </c>
    </row>
    <row r="1284">
      <c r="A1284" s="24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5" t="n">
        <v>0.357839</v>
      </c>
    </row>
    <row r="1285">
      <c r="A1285" s="24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5" t="n">
        <v>0.087007</v>
      </c>
    </row>
    <row r="1286">
      <c r="A1286" s="24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5" t="n">
        <v>0.041995</v>
      </c>
    </row>
    <row r="1287">
      <c r="A1287" s="24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5" t="n">
        <v>0.130882</v>
      </c>
    </row>
    <row r="1288">
      <c r="A1288" s="24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5" t="n">
        <v>0.06654500000000001</v>
      </c>
    </row>
    <row r="1289">
      <c r="A1289" s="24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5" t="n">
        <v>0.270535</v>
      </c>
    </row>
    <row r="1290">
      <c r="A1290" s="24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5" t="n">
        <v>0.080056</v>
      </c>
    </row>
    <row r="1291">
      <c r="A1291" s="24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5" t="n">
        <v>0.039757</v>
      </c>
    </row>
    <row r="1292">
      <c r="A1292" s="24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5" t="n">
        <v>0.062959</v>
      </c>
    </row>
    <row r="1293">
      <c r="A1293" s="24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5" t="n">
        <v>0.04972</v>
      </c>
    </row>
    <row r="1294">
      <c r="A1294" s="24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5" t="n">
        <v>0.037504</v>
      </c>
    </row>
    <row r="1295">
      <c r="A1295" s="24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5" t="n">
        <v>0.04139</v>
      </c>
    </row>
    <row r="1296">
      <c r="A1296" s="24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5" t="n">
        <v>0.018612</v>
      </c>
    </row>
    <row r="1297">
      <c r="A1297" s="24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5" t="n">
        <v>0.014395</v>
      </c>
    </row>
    <row r="1298">
      <c r="A1298" s="24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5" t="n">
        <v>0.06894400000000001</v>
      </c>
    </row>
    <row r="1299">
      <c r="A1299" s="24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5" t="n">
        <v>0.044314</v>
      </c>
    </row>
    <row r="1300">
      <c r="A1300" s="24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5" t="n">
        <v>0.022885</v>
      </c>
    </row>
    <row r="1301">
      <c r="A1301" s="24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5" t="n">
        <v>0.02366</v>
      </c>
    </row>
    <row r="1302">
      <c r="A1302" s="24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5" t="n">
        <v>0.037399</v>
      </c>
    </row>
    <row r="1303">
      <c r="A1303" s="24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5" t="n">
        <v>0.031423</v>
      </c>
    </row>
    <row r="1304">
      <c r="A1304" s="24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5" t="n">
        <v>0.030177</v>
      </c>
    </row>
    <row r="1305">
      <c r="A1305" s="24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5" t="n">
        <v>0.040363</v>
      </c>
    </row>
    <row r="1306">
      <c r="A1306" s="24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5" t="n">
        <v>0.01975</v>
      </c>
    </row>
    <row r="1307">
      <c r="A1307" s="24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5" t="n">
        <v>0.013172</v>
      </c>
    </row>
    <row r="1308">
      <c r="A1308" s="24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5" t="n">
        <v>0.013656</v>
      </c>
    </row>
    <row r="1309">
      <c r="A1309" s="24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5" t="n">
        <v>0.006603</v>
      </c>
    </row>
    <row r="1310">
      <c r="A1310" s="24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5" t="n">
        <v>0.019787</v>
      </c>
    </row>
    <row r="1311">
      <c r="A1311" s="24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5" t="n">
        <v>0.017271</v>
      </c>
    </row>
    <row r="1312">
      <c r="A1312" s="24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5" t="n">
        <v>0.048257</v>
      </c>
    </row>
    <row r="1313">
      <c r="A1313" s="24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5" t="n">
        <v>0.02732</v>
      </c>
    </row>
    <row r="1314">
      <c r="A1314" s="24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5" t="n">
        <v>0.009901999999999999</v>
      </c>
    </row>
    <row r="1315">
      <c r="A1315" s="24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5" t="n">
        <v>0.01032</v>
      </c>
    </row>
    <row r="1316">
      <c r="A1316" s="24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5" t="n">
        <v>0.021449</v>
      </c>
    </row>
    <row r="1317">
      <c r="A1317" s="24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5" t="n">
        <v>0.013892</v>
      </c>
    </row>
    <row r="1318">
      <c r="A1318" s="24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5" t="n">
        <v>0.031817</v>
      </c>
    </row>
    <row r="1319">
      <c r="A1319" s="24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5" t="n">
        <v>0.0066</v>
      </c>
    </row>
    <row r="1320">
      <c r="A1320" s="24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5" t="n">
        <v>0.003503</v>
      </c>
    </row>
    <row r="1321">
      <c r="A1321" s="24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5" t="n">
        <v>0.002246</v>
      </c>
    </row>
    <row r="1322">
      <c r="A1322" s="24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5" t="n">
        <v>0.020449</v>
      </c>
    </row>
    <row r="1323">
      <c r="A1323" s="24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5" t="n">
        <v>0.025454</v>
      </c>
    </row>
    <row r="1324">
      <c r="A1324" s="24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5" t="n">
        <v>0.029017</v>
      </c>
    </row>
    <row r="1325">
      <c r="A1325" s="24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5" t="n">
        <v>0.012122</v>
      </c>
    </row>
    <row r="1326">
      <c r="A1326" s="24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5" t="n">
        <v>0.004666</v>
      </c>
    </row>
    <row r="1327">
      <c r="A1327" s="24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5" t="n">
        <v>0.004206</v>
      </c>
    </row>
    <row r="1328">
      <c r="A1328" s="24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5" t="n">
        <v>0.054038</v>
      </c>
    </row>
    <row r="1329">
      <c r="A1329" s="24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5" t="n">
        <v>0.007948</v>
      </c>
    </row>
    <row r="1330">
      <c r="A1330" s="24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5" t="n">
        <v>0.003719</v>
      </c>
    </row>
    <row r="1331">
      <c r="A1331" s="24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5" t="n">
        <v>0.00192</v>
      </c>
    </row>
    <row r="1332">
      <c r="A1332" s="24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5" t="n">
        <v>0.0009909999999999999</v>
      </c>
    </row>
    <row r="1333">
      <c r="A1333" s="24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5" t="n">
        <v>0.000511</v>
      </c>
    </row>
    <row r="1334">
      <c r="A1334" s="24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5" t="n">
        <v>0.000264</v>
      </c>
    </row>
    <row r="1335">
      <c r="A1335" s="24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5" t="n">
        <v>0.000136</v>
      </c>
    </row>
    <row r="1336">
      <c r="A1336" s="24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5" t="n">
        <v>6.999999999999999e-05</v>
      </c>
    </row>
    <row r="1337">
      <c r="A1337" s="24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5" t="n">
        <v>3.6e-05</v>
      </c>
    </row>
    <row r="1338">
      <c r="A1338" s="24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5" t="n">
        <v>1.9e-05</v>
      </c>
    </row>
    <row r="1339">
      <c r="A1339" s="24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5" t="n">
        <v>0.046022</v>
      </c>
    </row>
    <row r="1340">
      <c r="A1340" s="24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5" t="n">
        <v>0.02824</v>
      </c>
    </row>
    <row r="1341">
      <c r="A1341" s="24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5" t="n">
        <v>0.038904</v>
      </c>
    </row>
    <row r="1342">
      <c r="A1342" s="24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5" t="n">
        <v>0.058769</v>
      </c>
    </row>
    <row r="1343">
      <c r="A1343" s="24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5" t="n">
        <v>0.04911</v>
      </c>
    </row>
    <row r="1344">
      <c r="A1344" s="24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5" t="n">
        <v>0.042397</v>
      </c>
    </row>
    <row r="1345">
      <c r="A1345" s="24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5" t="n">
        <v>0.049529</v>
      </c>
    </row>
    <row r="1346">
      <c r="A1346" s="24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5" t="n">
        <v>0.0727</v>
      </c>
    </row>
    <row r="1347">
      <c r="A1347" s="24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5" t="n">
        <v>0.107671</v>
      </c>
    </row>
    <row r="1348">
      <c r="A1348" s="24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5" t="n">
        <v>0.037119</v>
      </c>
    </row>
    <row r="1349">
      <c r="A1349" s="24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5" t="n">
        <v>0.032903</v>
      </c>
    </row>
    <row r="1350">
      <c r="A1350" s="24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5" t="n">
        <v>0.036775</v>
      </c>
    </row>
    <row r="1351">
      <c r="A1351" s="24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5" t="n">
        <v>0.335931</v>
      </c>
    </row>
    <row r="1352">
      <c r="A1352" s="24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5" t="n">
        <v>0.377955</v>
      </c>
    </row>
    <row r="1353">
      <c r="A1353" s="24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5" t="n">
        <v>0.332051</v>
      </c>
    </row>
    <row r="1354">
      <c r="A1354" s="24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5" t="n">
        <v>0.15915</v>
      </c>
    </row>
    <row r="1355">
      <c r="A1355" s="24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5" t="n">
        <v>0.147508</v>
      </c>
    </row>
    <row r="1356">
      <c r="A1356" s="24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5" t="n">
        <v>0.060954</v>
      </c>
    </row>
    <row r="1357">
      <c r="A1357" s="24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5" t="n">
        <v>0.076752</v>
      </c>
    </row>
    <row r="1358">
      <c r="A1358" s="24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5" t="n">
        <v>0.051752</v>
      </c>
    </row>
    <row r="1359">
      <c r="A1359" s="24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5" t="n">
        <v>0.036448</v>
      </c>
    </row>
    <row r="1360">
      <c r="A1360" s="24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5" t="n">
        <v>0.340026</v>
      </c>
    </row>
    <row r="1361">
      <c r="A1361" s="24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5" t="n">
        <v>0.372978</v>
      </c>
    </row>
    <row r="1362">
      <c r="A1362" s="24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5" t="n">
        <v>0.209281</v>
      </c>
    </row>
    <row r="1363">
      <c r="A1363" s="24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5" t="n">
        <v>0.083324</v>
      </c>
    </row>
    <row r="1364">
      <c r="A1364" s="24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5" t="n">
        <v>0.036156</v>
      </c>
    </row>
    <row r="1365">
      <c r="A1365" s="24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5" t="n">
        <v>0.082646</v>
      </c>
    </row>
    <row r="1366">
      <c r="A1366" s="24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5" t="n">
        <v>0.137556</v>
      </c>
    </row>
    <row r="1367">
      <c r="A1367" s="24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5" t="n">
        <v>0.052922</v>
      </c>
    </row>
    <row r="1368">
      <c r="A1368" s="24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5" t="n">
        <v>0.027518</v>
      </c>
    </row>
    <row r="1369">
      <c r="A1369" s="24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5" t="n">
        <v>0.04667</v>
      </c>
    </row>
    <row r="1370">
      <c r="A1370" s="24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5" t="n">
        <v>0.161928</v>
      </c>
    </row>
    <row r="1371">
      <c r="A1371" s="24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5" t="n">
        <v>0.327558</v>
      </c>
    </row>
    <row r="1372">
      <c r="A1372" s="24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5" t="n">
        <v>0.112755</v>
      </c>
    </row>
    <row r="1373">
      <c r="A1373" s="24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5" t="n">
        <v>0.040911</v>
      </c>
    </row>
    <row r="1374">
      <c r="A1374" s="24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5" t="n">
        <v>0.34504</v>
      </c>
    </row>
    <row r="1375">
      <c r="A1375" s="24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5" t="n">
        <v>0.362547</v>
      </c>
    </row>
    <row r="1376">
      <c r="A1376" s="24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5" t="n">
        <v>0.085538</v>
      </c>
    </row>
    <row r="1377">
      <c r="A1377" s="24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5" t="n">
        <v>0.03968</v>
      </c>
    </row>
    <row r="1378">
      <c r="A1378" s="24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5" t="n">
        <v>0.036063</v>
      </c>
    </row>
    <row r="1379">
      <c r="A1379" s="24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5" t="n">
        <v>0.025188</v>
      </c>
    </row>
    <row r="1380">
      <c r="A1380" s="24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5" t="n">
        <v>0.043095</v>
      </c>
    </row>
    <row r="1381">
      <c r="A1381" s="24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5" t="n">
        <v>0.019602</v>
      </c>
    </row>
    <row r="1382">
      <c r="A1382" s="24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5" t="n">
        <v>0.024542</v>
      </c>
    </row>
    <row r="1383">
      <c r="A1383" s="24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5" t="n">
        <v>0.032173</v>
      </c>
    </row>
    <row r="1384">
      <c r="A1384" s="24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5" t="n">
        <v>0.024686</v>
      </c>
    </row>
    <row r="1385">
      <c r="A1385" s="24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5" t="n">
        <v>0.009839000000000001</v>
      </c>
    </row>
    <row r="1386">
      <c r="A1386" s="24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5" t="n">
        <v>0.003424</v>
      </c>
    </row>
    <row r="1387">
      <c r="A1387" s="24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5" t="n">
        <v>0.022784</v>
      </c>
    </row>
    <row r="1388">
      <c r="A1388" s="24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5" t="n">
        <v>0.014032</v>
      </c>
    </row>
    <row r="1389">
      <c r="A1389" s="24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5" t="n">
        <v>0.006446</v>
      </c>
    </row>
    <row r="1390">
      <c r="A1390" s="24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5" t="n">
        <v>0.002837</v>
      </c>
    </row>
    <row r="1391">
      <c r="A1391" s="24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5" t="n">
        <v>0.010203</v>
      </c>
    </row>
    <row r="1392">
      <c r="A1392" s="24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5" t="n">
        <v>0.015679</v>
      </c>
    </row>
    <row r="1393">
      <c r="A1393" s="24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5" t="n">
        <v>0.010199</v>
      </c>
    </row>
    <row r="1394">
      <c r="A1394" s="24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5" t="n">
        <v>0.010124</v>
      </c>
    </row>
    <row r="1395">
      <c r="A1395" s="24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5" t="n">
        <v>0.010475</v>
      </c>
    </row>
    <row r="1396">
      <c r="A1396" s="24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5" t="n">
        <v>0.010296</v>
      </c>
    </row>
    <row r="1397">
      <c r="A1397" s="24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5" t="n">
        <v>0.09313200000000001</v>
      </c>
    </row>
    <row r="1398">
      <c r="A1398" s="24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5" t="n">
        <v>0.186657</v>
      </c>
    </row>
    <row r="1399">
      <c r="A1399" s="24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5" t="n">
        <v>0.127353</v>
      </c>
    </row>
    <row r="1400">
      <c r="A1400" s="24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5" t="n">
        <v>0.06593400000000001</v>
      </c>
    </row>
    <row r="1401">
      <c r="A1401" s="24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5" t="n">
        <v>0.038294</v>
      </c>
    </row>
    <row r="1402">
      <c r="A1402" s="24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5" t="n">
        <v>0.063402</v>
      </c>
    </row>
    <row r="1403">
      <c r="A1403" s="24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5" t="n">
        <v>0.058753</v>
      </c>
    </row>
    <row r="1404">
      <c r="A1404" s="24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5" t="n">
        <v>0.057693</v>
      </c>
    </row>
    <row r="1405">
      <c r="A1405" s="24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5" t="n">
        <v>0.026547</v>
      </c>
    </row>
    <row r="1406">
      <c r="A1406" s="24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5" t="n">
        <v>0.016885</v>
      </c>
    </row>
    <row r="1407">
      <c r="A1407" s="24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5" t="n">
        <v>0.008921999999999999</v>
      </c>
    </row>
    <row r="1408">
      <c r="A1408" s="24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5" t="n">
        <v>0.022275</v>
      </c>
    </row>
    <row r="1409">
      <c r="A1409" s="24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5" t="n">
        <v>0.030071</v>
      </c>
    </row>
    <row r="1410">
      <c r="A1410" s="24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5" t="n">
        <v>0.009814</v>
      </c>
    </row>
    <row r="1411">
      <c r="A1411" s="24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5" t="n">
        <v>0.007663</v>
      </c>
    </row>
    <row r="1412">
      <c r="A1412" s="24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5" t="n">
        <v>0.017302</v>
      </c>
    </row>
    <row r="1413">
      <c r="A1413" s="24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5" t="n">
        <v>0.040301</v>
      </c>
    </row>
    <row r="1414">
      <c r="A1414" s="24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5" t="n">
        <v>0.009575999999999999</v>
      </c>
    </row>
    <row r="1415">
      <c r="A1415" s="24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5" t="n">
        <v>0.007212</v>
      </c>
    </row>
    <row r="1416">
      <c r="A1416" s="24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5" t="n">
        <v>0.009148</v>
      </c>
    </row>
    <row r="1417">
      <c r="A1417" s="24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5" t="n">
        <v>0.005425</v>
      </c>
    </row>
    <row r="1418">
      <c r="A1418" s="24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5" t="n">
        <v>0.00263</v>
      </c>
    </row>
    <row r="1419">
      <c r="A1419" s="24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5" t="n">
        <v>0.009388000000000001</v>
      </c>
    </row>
    <row r="1420">
      <c r="A1420" s="24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5" t="n">
        <v>0.035134</v>
      </c>
    </row>
    <row r="1421">
      <c r="A1421" s="24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5" t="n">
        <v>0.02421</v>
      </c>
    </row>
    <row r="1422">
      <c r="A1422" s="24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5" t="n">
        <v>0.040814</v>
      </c>
    </row>
    <row r="1423">
      <c r="A1423" s="24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5" t="n">
        <v>0.061874</v>
      </c>
    </row>
    <row r="1424">
      <c r="A1424" s="24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5" t="n">
        <v>0.073632</v>
      </c>
    </row>
    <row r="1425">
      <c r="A1425" s="24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5" t="n">
        <v>0.044716</v>
      </c>
    </row>
    <row r="1426">
      <c r="A1426" s="24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5" t="n">
        <v>0.035852</v>
      </c>
    </row>
    <row r="1427">
      <c r="A1427" s="24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5" t="n">
        <v>0.040773</v>
      </c>
    </row>
    <row r="1428">
      <c r="A1428" s="24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5" t="n">
        <v>0.019678</v>
      </c>
    </row>
    <row r="1429">
      <c r="A1429" s="24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5" t="n">
        <v>0.03491</v>
      </c>
    </row>
    <row r="1430">
      <c r="A1430" s="24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5" t="n">
        <v>0.022287</v>
      </c>
    </row>
    <row r="1431">
      <c r="A1431" s="24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5" t="n">
        <v>0.21383</v>
      </c>
    </row>
    <row r="1432">
      <c r="A1432" s="24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5" t="n">
        <v>0.08852599999999999</v>
      </c>
    </row>
    <row r="1433">
      <c r="A1433" s="24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5" t="n">
        <v>0.088464</v>
      </c>
    </row>
    <row r="1434">
      <c r="A1434" s="24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5" t="n">
        <v>0.055799</v>
      </c>
    </row>
    <row r="1435">
      <c r="A1435" s="24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5" t="n">
        <v>0.103456</v>
      </c>
    </row>
    <row r="1436">
      <c r="A1436" s="24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5" t="n">
        <v>0.063557</v>
      </c>
    </row>
    <row r="1437">
      <c r="A1437" s="24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5" t="n">
        <v>0.021472</v>
      </c>
    </row>
    <row r="1438">
      <c r="A1438" s="24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5" t="n">
        <v>0.029228</v>
      </c>
    </row>
    <row r="1439">
      <c r="A1439" s="24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5" t="n">
        <v>0.034925</v>
      </c>
    </row>
    <row r="1440">
      <c r="A1440" s="24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5" t="n">
        <v>0.010809</v>
      </c>
    </row>
    <row r="1441">
      <c r="A1441" s="24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5" t="n">
        <v>0.00759</v>
      </c>
    </row>
    <row r="1442">
      <c r="A1442" s="24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5" t="n">
        <v>0.01195</v>
      </c>
    </row>
    <row r="1443">
      <c r="A1443" s="24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5" t="n">
        <v>0.017286</v>
      </c>
    </row>
    <row r="1444">
      <c r="A1444" s="24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5" t="n">
        <v>0.048049</v>
      </c>
    </row>
    <row r="1445">
      <c r="A1445" s="24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5" t="n">
        <v>0.024662</v>
      </c>
    </row>
    <row r="1446">
      <c r="A1446" s="24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5" t="n">
        <v>0.019514</v>
      </c>
    </row>
    <row r="1447">
      <c r="A1447" s="24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5" t="n">
        <v>0.022303</v>
      </c>
    </row>
    <row r="1448">
      <c r="A1448" s="24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5" t="n">
        <v>0.015463</v>
      </c>
    </row>
    <row r="1449">
      <c r="A1449" s="24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5" t="n">
        <v>0.018002</v>
      </c>
    </row>
    <row r="1450">
      <c r="A1450" s="24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5" t="n">
        <v>0.009889</v>
      </c>
    </row>
    <row r="1451">
      <c r="A1451" s="24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5" t="n">
        <v>0.02208</v>
      </c>
    </row>
    <row r="1452">
      <c r="A1452" s="24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5" t="n">
        <v>0.028567</v>
      </c>
    </row>
    <row r="1453">
      <c r="A1453" s="24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5" t="n">
        <v>0.035037</v>
      </c>
    </row>
    <row r="1454">
      <c r="A1454" s="24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5" t="n">
        <v>0.01712</v>
      </c>
    </row>
    <row r="1455">
      <c r="A1455" s="24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5" t="n">
        <v>0.014122</v>
      </c>
    </row>
    <row r="1456">
      <c r="A1456" s="24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5" t="n">
        <v>0.010068</v>
      </c>
    </row>
    <row r="1457">
      <c r="A1457" s="24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5" t="n">
        <v>0.07003</v>
      </c>
    </row>
    <row r="1458">
      <c r="A1458" s="24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5" t="n">
        <v>0.032827</v>
      </c>
    </row>
    <row r="1459">
      <c r="A1459" s="24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5" t="n">
        <v>0.07574400000000001</v>
      </c>
    </row>
    <row r="1460">
      <c r="A1460" s="24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5" t="n">
        <v>0.048588</v>
      </c>
    </row>
    <row r="1461">
      <c r="A1461" s="24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5" t="n">
        <v>0.05663</v>
      </c>
    </row>
    <row r="1462">
      <c r="A1462" s="24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5" t="n">
        <v>0.04216</v>
      </c>
    </row>
    <row r="1463">
      <c r="A1463" s="24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5" t="n">
        <v>0.074113</v>
      </c>
    </row>
    <row r="1464">
      <c r="A1464" s="24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5" t="n">
        <v>0.046569</v>
      </c>
    </row>
    <row r="1465">
      <c r="A1465" s="24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5" t="n">
        <v>0.0718</v>
      </c>
    </row>
    <row r="1466">
      <c r="A1466" s="24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5" t="n">
        <v>0.025168</v>
      </c>
    </row>
    <row r="1467">
      <c r="A1467" s="24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5" t="n">
        <v>0.07517600000000001</v>
      </c>
    </row>
    <row r="1468">
      <c r="A1468" s="24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5" t="n">
        <v>0.193504</v>
      </c>
    </row>
    <row r="1469">
      <c r="A1469" s="24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5" t="n">
        <v>0.08075</v>
      </c>
    </row>
    <row r="1470">
      <c r="A1470" s="24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5" t="n">
        <v>0.065092</v>
      </c>
    </row>
    <row r="1471">
      <c r="A1471" s="24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5" t="n">
        <v>0.048908</v>
      </c>
    </row>
    <row r="1472">
      <c r="A1472" s="24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5" t="n">
        <v>0.093274</v>
      </c>
    </row>
    <row r="1473">
      <c r="A1473" s="24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5" t="n">
        <v>0.100605</v>
      </c>
    </row>
    <row r="1474">
      <c r="A1474" s="24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5" t="n">
        <v>0.121921</v>
      </c>
    </row>
    <row r="1475">
      <c r="A1475" s="24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5" t="n">
        <v>0.189314</v>
      </c>
    </row>
    <row r="1476">
      <c r="A1476" s="24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5" t="n">
        <v>0.110627</v>
      </c>
    </row>
    <row r="1477">
      <c r="A1477" s="24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5" t="n">
        <v>0.156782</v>
      </c>
    </row>
    <row r="1478">
      <c r="A1478" s="24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5" t="n">
        <v>0.156278</v>
      </c>
    </row>
    <row r="1479">
      <c r="A1479" s="24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5" t="n">
        <v>0.051179</v>
      </c>
    </row>
    <row r="1480">
      <c r="A1480" s="24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5" t="n">
        <v>0.053503</v>
      </c>
    </row>
    <row r="1481">
      <c r="A1481" s="24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5" t="n">
        <v>0.030158</v>
      </c>
    </row>
    <row r="1482">
      <c r="A1482" s="24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5" t="n">
        <v>0.016724</v>
      </c>
    </row>
    <row r="1483">
      <c r="A1483" s="24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5" t="n">
        <v>0.190194</v>
      </c>
    </row>
    <row r="1484">
      <c r="A1484" s="24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5" t="n">
        <v>0.159563</v>
      </c>
    </row>
    <row r="1485">
      <c r="A1485" s="24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5" t="n">
        <v>0.124348</v>
      </c>
    </row>
    <row r="1486">
      <c r="A1486" s="24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5" t="n">
        <v>0.08221100000000001</v>
      </c>
    </row>
    <row r="1487">
      <c r="A1487" s="24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5" t="n">
        <v>0.069855</v>
      </c>
    </row>
    <row r="1488">
      <c r="A1488" s="24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5" t="n">
        <v>0.026381</v>
      </c>
    </row>
    <row r="1489">
      <c r="A1489" s="24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5" t="n">
        <v>0.014887</v>
      </c>
    </row>
    <row r="1490">
      <c r="A1490" s="24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5" t="n">
        <v>0.071134</v>
      </c>
    </row>
    <row r="1491">
      <c r="A1491" s="24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5" t="n">
        <v>0.04789</v>
      </c>
    </row>
    <row r="1492">
      <c r="A1492" s="24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5" t="n">
        <v>0.017058</v>
      </c>
    </row>
    <row r="1493">
      <c r="A1493" s="24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5" t="n">
        <v>0.011461</v>
      </c>
    </row>
    <row r="1494">
      <c r="A1494" s="24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5" t="n">
        <v>0.027566</v>
      </c>
    </row>
    <row r="1495">
      <c r="A1495" s="24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5" t="n">
        <v>0.02291</v>
      </c>
    </row>
    <row r="1496">
      <c r="A1496" s="24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5" t="n">
        <v>0.022557</v>
      </c>
    </row>
    <row r="1497">
      <c r="A1497" s="24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5" t="n">
        <v>0.01215</v>
      </c>
    </row>
    <row r="1498">
      <c r="A1498" s="24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5" t="n">
        <v>0.042488</v>
      </c>
    </row>
    <row r="1499">
      <c r="A1499" s="24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5" t="n">
        <v>0.046156</v>
      </c>
    </row>
    <row r="1500">
      <c r="A1500" s="24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5" t="n">
        <v>0.025767</v>
      </c>
    </row>
    <row r="1501">
      <c r="A1501" s="24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5" t="n">
        <v>0.059291</v>
      </c>
    </row>
    <row r="1502">
      <c r="A1502" s="24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5" t="n">
        <v>0.06251</v>
      </c>
    </row>
    <row r="1503">
      <c r="A1503" s="24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5" t="n">
        <v>0.027834</v>
      </c>
    </row>
    <row r="1504">
      <c r="A1504" s="24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5" t="n">
        <v>0.024107</v>
      </c>
    </row>
    <row r="1505">
      <c r="A1505" s="24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5" t="n">
        <v>0.018381</v>
      </c>
    </row>
    <row r="1506">
      <c r="A1506" s="24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5" t="n">
        <v>0.016518</v>
      </c>
    </row>
    <row r="1507">
      <c r="A1507" s="24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5" t="n">
        <v>0.078976</v>
      </c>
    </row>
    <row r="1508">
      <c r="A1508" s="24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5" t="n">
        <v>0.025262</v>
      </c>
    </row>
    <row r="1509">
      <c r="A1509" s="24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5" t="n">
        <v>0.067646</v>
      </c>
    </row>
    <row r="1510">
      <c r="A1510" s="24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5" t="n">
        <v>0.027691</v>
      </c>
    </row>
    <row r="1511">
      <c r="A1511" s="24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5" t="n">
        <v>0.043996</v>
      </c>
    </row>
    <row r="1512">
      <c r="A1512" s="24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5" t="n">
        <v>0.108766</v>
      </c>
    </row>
    <row r="1513">
      <c r="A1513" s="24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5" t="n">
        <v>0.0469</v>
      </c>
    </row>
    <row r="1514">
      <c r="A1514" s="24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5" t="n">
        <v>0.051663</v>
      </c>
    </row>
    <row r="1515">
      <c r="A1515" s="24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5" t="n">
        <v>0.03649</v>
      </c>
    </row>
    <row r="1516">
      <c r="A1516" s="24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5" t="n">
        <v>0.057998</v>
      </c>
    </row>
    <row r="1517">
      <c r="A1517" s="24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5" t="n">
        <v>0.038545</v>
      </c>
    </row>
    <row r="1518">
      <c r="A1518" s="24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5" t="n">
        <v>0.014295</v>
      </c>
    </row>
    <row r="1519">
      <c r="A1519" s="24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5" t="n">
        <v>0.034689</v>
      </c>
    </row>
    <row r="1520">
      <c r="A1520" s="24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5" t="n">
        <v>0.015326</v>
      </c>
    </row>
    <row r="1521">
      <c r="A1521" s="24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5" t="n">
        <v>0.020437</v>
      </c>
    </row>
    <row r="1522">
      <c r="A1522" s="24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5" t="n">
        <v>0.011878</v>
      </c>
    </row>
    <row r="1523">
      <c r="A1523" s="24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5" t="n">
        <v>0.044889</v>
      </c>
    </row>
    <row r="1524">
      <c r="A1524" s="24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5" t="n">
        <v>0.023424</v>
      </c>
    </row>
    <row r="1525">
      <c r="A1525" s="24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5" t="n">
        <v>0.127092</v>
      </c>
    </row>
    <row r="1526">
      <c r="A1526" s="24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5" t="n">
        <v>0.051066</v>
      </c>
    </row>
    <row r="1527">
      <c r="A1527" s="24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5" t="n">
        <v>0.076846</v>
      </c>
    </row>
    <row r="1528">
      <c r="A1528" s="24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5" t="n">
        <v>0.06601700000000001</v>
      </c>
    </row>
    <row r="1529">
      <c r="A1529" s="24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5" t="n">
        <v>0.04448</v>
      </c>
    </row>
    <row r="1530">
      <c r="A1530" s="24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5" t="n">
        <v>0.047701</v>
      </c>
    </row>
    <row r="1531">
      <c r="A1531" s="24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5" t="n">
        <v>0.021851</v>
      </c>
    </row>
    <row r="1532">
      <c r="A1532" s="24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5" t="n">
        <v>0.028365</v>
      </c>
    </row>
    <row r="1533">
      <c r="A1533" s="24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5" t="n">
        <v>0.061872</v>
      </c>
    </row>
    <row r="1534">
      <c r="A1534" s="24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5" t="n">
        <v>0.016134</v>
      </c>
    </row>
    <row r="1535">
      <c r="A1535" s="24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5" t="n">
        <v>0.007832</v>
      </c>
    </row>
    <row r="1536">
      <c r="A1536" s="24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5" t="n">
        <v>0.013774</v>
      </c>
    </row>
    <row r="1537">
      <c r="A1537" s="24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5" t="n">
        <v>0.010684</v>
      </c>
    </row>
    <row r="1538">
      <c r="A1538" s="24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5" t="n">
        <v>0.010383</v>
      </c>
    </row>
    <row r="1539">
      <c r="A1539" s="24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5" t="n">
        <v>0.028412</v>
      </c>
    </row>
    <row r="1540">
      <c r="A1540" s="24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5" t="n">
        <v>0.03347</v>
      </c>
    </row>
    <row r="1541">
      <c r="A1541" s="24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5" t="n">
        <v>0.018146</v>
      </c>
    </row>
    <row r="1542">
      <c r="A1542" s="24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5" t="n">
        <v>0.01914</v>
      </c>
    </row>
    <row r="1543">
      <c r="A1543" s="24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5" t="n">
        <v>0.017237</v>
      </c>
    </row>
    <row r="1544">
      <c r="A1544" s="24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5" t="n">
        <v>0.022736</v>
      </c>
    </row>
    <row r="1545">
      <c r="A1545" s="24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5" t="n">
        <v>0.02259</v>
      </c>
    </row>
    <row r="1546">
      <c r="A1546" s="24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5" t="n">
        <v>0.090459</v>
      </c>
    </row>
    <row r="1547">
      <c r="A1547" s="24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5" t="n">
        <v>0.053023</v>
      </c>
    </row>
    <row r="1548">
      <c r="A1548" s="24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5" t="n">
        <v>0.221</v>
      </c>
    </row>
    <row r="1549">
      <c r="A1549" s="24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5" t="n">
        <v>0.308016</v>
      </c>
    </row>
    <row r="1550">
      <c r="A1550" s="24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5" t="n">
        <v>0.383234</v>
      </c>
    </row>
    <row r="1551">
      <c r="A1551" s="24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5" t="n">
        <v>0.35872</v>
      </c>
    </row>
    <row r="1552">
      <c r="A1552" s="24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5" t="n">
        <v>0.149203</v>
      </c>
    </row>
    <row r="1553">
      <c r="A1553" s="24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5" t="n">
        <v>0.086449</v>
      </c>
    </row>
    <row r="1554">
      <c r="A1554" s="24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5" t="n">
        <v>0.357014</v>
      </c>
    </row>
    <row r="1555">
      <c r="A1555" s="24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5" t="n">
        <v>0.390826</v>
      </c>
    </row>
    <row r="1556">
      <c r="A1556" s="24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5" t="n">
        <v>0.405956</v>
      </c>
    </row>
    <row r="1557">
      <c r="A1557" s="24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5" t="n">
        <v>0.406402</v>
      </c>
    </row>
    <row r="1558">
      <c r="A1558" s="24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5" t="n">
        <v>0.404509</v>
      </c>
    </row>
    <row r="1559">
      <c r="A1559" s="24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5" t="n">
        <v>0.243233</v>
      </c>
    </row>
    <row r="1560">
      <c r="A1560" s="24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5" t="n">
        <v>0.132346</v>
      </c>
    </row>
    <row r="1561">
      <c r="A1561" s="24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5" t="n">
        <v>0.210616</v>
      </c>
    </row>
    <row r="1562">
      <c r="A1562" s="24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5" t="n">
        <v>0.371323</v>
      </c>
    </row>
    <row r="1563">
      <c r="A1563" s="24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5" t="n">
        <v>0.399288</v>
      </c>
    </row>
    <row r="1564">
      <c r="A1564" s="24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5" t="n">
        <v>0.40782</v>
      </c>
    </row>
    <row r="1565">
      <c r="A1565" s="24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5" t="n">
        <v>0.387113</v>
      </c>
    </row>
    <row r="1566">
      <c r="A1566" s="24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5" t="n">
        <v>0.102538</v>
      </c>
    </row>
    <row r="1567">
      <c r="A1567" s="24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5" t="n">
        <v>0.336717</v>
      </c>
    </row>
    <row r="1568">
      <c r="A1568" s="24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5" t="n">
        <v>0.120993</v>
      </c>
    </row>
    <row r="1569">
      <c r="A1569" s="24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5" t="n">
        <v>0.366338</v>
      </c>
    </row>
    <row r="1570">
      <c r="A1570" s="24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5" t="n">
        <v>0.275437</v>
      </c>
    </row>
    <row r="1571">
      <c r="A1571" s="24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5" t="n">
        <v>0.111655</v>
      </c>
    </row>
    <row r="1572">
      <c r="A1572" s="24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5" t="n">
        <v>0.075654</v>
      </c>
    </row>
    <row r="1573">
      <c r="A1573" s="24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5" t="n">
        <v>0.034356</v>
      </c>
    </row>
    <row r="1574">
      <c r="A1574" s="24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5" t="n">
        <v>0.015621</v>
      </c>
    </row>
    <row r="1575">
      <c r="A1575" s="24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5" t="n">
        <v>0.00876</v>
      </c>
    </row>
    <row r="1576">
      <c r="A1576" s="24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5" t="n">
        <v>0.011483</v>
      </c>
    </row>
    <row r="1577">
      <c r="A1577" s="24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5" t="n">
        <v>0.020602</v>
      </c>
    </row>
    <row r="1578">
      <c r="A1578" s="24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5" t="n">
        <v>0.007568</v>
      </c>
    </row>
    <row r="1579">
      <c r="A1579" s="24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5" t="n">
        <v>0.003254</v>
      </c>
    </row>
    <row r="1580">
      <c r="A1580" s="24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5" t="n">
        <v>0.005867</v>
      </c>
    </row>
    <row r="1581">
      <c r="A1581" s="24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5" t="n">
        <v>0.026915</v>
      </c>
    </row>
    <row r="1582">
      <c r="A1582" s="24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5" t="n">
        <v>0.062214</v>
      </c>
    </row>
    <row r="1583">
      <c r="A1583" s="24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5" t="n">
        <v>0.035162</v>
      </c>
    </row>
    <row r="1584">
      <c r="A1584" s="24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5" t="n">
        <v>0.163323</v>
      </c>
    </row>
    <row r="1585">
      <c r="A1585" s="24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5" t="n">
        <v>0.075179</v>
      </c>
    </row>
    <row r="1586">
      <c r="A1586" s="24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5" t="n">
        <v>0.041235</v>
      </c>
    </row>
    <row r="1587">
      <c r="A1587" s="24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5" t="n">
        <v>0.035145</v>
      </c>
    </row>
    <row r="1588">
      <c r="A1588" s="24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5" t="n">
        <v>0.086353</v>
      </c>
    </row>
    <row r="1589">
      <c r="A1589" s="24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5" t="n">
        <v>0.344153</v>
      </c>
    </row>
    <row r="1590">
      <c r="A1590" s="24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5" t="n">
        <v>0.364243</v>
      </c>
    </row>
    <row r="1591">
      <c r="A1591" s="24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5" t="n">
        <v>0.212035</v>
      </c>
    </row>
    <row r="1592">
      <c r="A1592" s="24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5" t="n">
        <v>0.240231</v>
      </c>
    </row>
    <row r="1593">
      <c r="A1593" s="24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5" t="n">
        <v>0.258048</v>
      </c>
    </row>
    <row r="1594">
      <c r="A1594" s="24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5" t="n">
        <v>0.384946</v>
      </c>
    </row>
    <row r="1595">
      <c r="A1595" s="24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5" t="n">
        <v>0.398469</v>
      </c>
    </row>
    <row r="1596">
      <c r="A1596" s="24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5" t="n">
        <v>0.172153</v>
      </c>
    </row>
    <row r="1597">
      <c r="A1597" s="24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5" t="n">
        <v>0.241133</v>
      </c>
    </row>
    <row r="1598">
      <c r="A1598" s="24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5" t="n">
        <v>0.380388</v>
      </c>
    </row>
    <row r="1599">
      <c r="A1599" s="24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5" t="n">
        <v>0.222512</v>
      </c>
    </row>
    <row r="1600">
      <c r="A1600" s="24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5" t="n">
        <v>0.065134</v>
      </c>
    </row>
    <row r="1601">
      <c r="A1601" s="24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5" t="n">
        <v>0.029285</v>
      </c>
    </row>
    <row r="1602">
      <c r="A1602" s="24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5" t="n">
        <v>0.016949</v>
      </c>
    </row>
    <row r="1603">
      <c r="A1603" s="24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5" t="n">
        <v>0.008118</v>
      </c>
    </row>
    <row r="1604">
      <c r="A1604" s="24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5" t="n">
        <v>0.09121600000000001</v>
      </c>
    </row>
    <row r="1605">
      <c r="A1605" s="24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5" t="n">
        <v>0.068831</v>
      </c>
    </row>
    <row r="1606">
      <c r="A1606" s="24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5" t="n">
        <v>0.020942</v>
      </c>
    </row>
    <row r="1607">
      <c r="A1607" s="24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5" t="n">
        <v>0.199169</v>
      </c>
    </row>
    <row r="1608">
      <c r="A1608" s="24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5" t="n">
        <v>0.131651</v>
      </c>
    </row>
    <row r="1609">
      <c r="A1609" s="24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5" t="n">
        <v>0.365793</v>
      </c>
    </row>
    <row r="1610">
      <c r="A1610" s="24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5" t="n">
        <v>0.392651</v>
      </c>
    </row>
    <row r="1611">
      <c r="A1611" s="24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5" t="n">
        <v>0.392447</v>
      </c>
    </row>
    <row r="1612">
      <c r="A1612" s="24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5" t="n">
        <v>0.40554</v>
      </c>
    </row>
    <row r="1613">
      <c r="A1613" s="24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5" t="n">
        <v>0.409638</v>
      </c>
    </row>
    <row r="1614">
      <c r="A1614" s="24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5" t="n">
        <v>0.253019</v>
      </c>
    </row>
    <row r="1615">
      <c r="A1615" s="24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5" t="n">
        <v>0.095455</v>
      </c>
    </row>
    <row r="1616">
      <c r="A1616" s="24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5" t="n">
        <v>0.08566699999999999</v>
      </c>
    </row>
    <row r="1617">
      <c r="A1617" s="24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5" t="n">
        <v>0.07803300000000001</v>
      </c>
    </row>
    <row r="1618">
      <c r="A1618" s="24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5" t="n">
        <v>0.06816</v>
      </c>
    </row>
    <row r="1619">
      <c r="A1619" s="24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5" t="n">
        <v>0.032692</v>
      </c>
    </row>
    <row r="1620">
      <c r="A1620" s="24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5" t="n">
        <v>0.029081</v>
      </c>
    </row>
    <row r="1621">
      <c r="A1621" s="24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5" t="n">
        <v>0.040595</v>
      </c>
    </row>
    <row r="1622">
      <c r="A1622" s="24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5" t="n">
        <v>0.024697</v>
      </c>
    </row>
    <row r="1623">
      <c r="A1623" s="24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5" t="n">
        <v>0.130587</v>
      </c>
    </row>
    <row r="1624">
      <c r="A1624" s="24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5" t="n">
        <v>0.350608</v>
      </c>
    </row>
    <row r="1625">
      <c r="A1625" s="24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5" t="n">
        <v>0.382839</v>
      </c>
    </row>
    <row r="1626">
      <c r="A1626" s="24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5" t="n">
        <v>0.397717</v>
      </c>
    </row>
    <row r="1627">
      <c r="A1627" s="24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5" t="n">
        <v>0.362205</v>
      </c>
    </row>
    <row r="1628">
      <c r="A1628" s="24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5" t="n">
        <v>0.110985</v>
      </c>
    </row>
    <row r="1629">
      <c r="A1629" s="24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5" t="n">
        <v>0.127628</v>
      </c>
    </row>
    <row r="1630">
      <c r="A1630" s="24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5" t="n">
        <v>0.11245</v>
      </c>
    </row>
    <row r="1631">
      <c r="A1631" s="24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5" t="n">
        <v>0.2912</v>
      </c>
    </row>
    <row r="1632">
      <c r="A1632" s="24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5" t="n">
        <v>0.098069</v>
      </c>
    </row>
    <row r="1633">
      <c r="A1633" s="24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5" t="n">
        <v>0.127235</v>
      </c>
    </row>
    <row r="1634">
      <c r="A1634" s="24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5" t="n">
        <v>0.06639200000000001</v>
      </c>
    </row>
    <row r="1635">
      <c r="A1635" s="24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5" t="n">
        <v>0.145195</v>
      </c>
    </row>
    <row r="1636">
      <c r="A1636" s="24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5" t="n">
        <v>0.106267</v>
      </c>
    </row>
    <row r="1637">
      <c r="A1637" s="24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5" t="n">
        <v>0.042461</v>
      </c>
    </row>
    <row r="1638">
      <c r="A1638" s="24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5" t="n">
        <v>0.036313</v>
      </c>
    </row>
    <row r="1639">
      <c r="A1639" s="24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5" t="n">
        <v>0.02047</v>
      </c>
    </row>
    <row r="1640">
      <c r="A1640" s="24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5" t="n">
        <v>0.146893</v>
      </c>
    </row>
    <row r="1641">
      <c r="A1641" s="24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5" t="n">
        <v>0.359925</v>
      </c>
    </row>
    <row r="1642">
      <c r="A1642" s="24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5" t="n">
        <v>0.390415</v>
      </c>
    </row>
    <row r="1643">
      <c r="A1643" s="24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5" t="n">
        <v>0.392007</v>
      </c>
    </row>
    <row r="1644">
      <c r="A1644" s="24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5" t="n">
        <v>0.401983</v>
      </c>
    </row>
    <row r="1645">
      <c r="A1645" s="24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5" t="n">
        <v>0.409231</v>
      </c>
    </row>
    <row r="1646">
      <c r="A1646" s="24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5" t="n">
        <v>0.307859</v>
      </c>
    </row>
    <row r="1647">
      <c r="A1647" s="24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5" t="n">
        <v>0.113962</v>
      </c>
    </row>
    <row r="1648">
      <c r="A1648" s="24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5" t="n">
        <v>0.354372</v>
      </c>
    </row>
    <row r="1649">
      <c r="A1649" s="24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5" t="n">
        <v>0.39174</v>
      </c>
    </row>
    <row r="1650">
      <c r="A1650" s="24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5" t="n">
        <v>0.262866</v>
      </c>
    </row>
    <row r="1651">
      <c r="A1651" s="24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5" t="n">
        <v>0.396288</v>
      </c>
    </row>
    <row r="1652">
      <c r="A1652" s="24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5" t="n">
        <v>0.407988</v>
      </c>
    </row>
    <row r="1653">
      <c r="A1653" s="24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5" t="n">
        <v>0.410577</v>
      </c>
    </row>
    <row r="1654">
      <c r="A1654" s="24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5" t="n">
        <v>0.411495</v>
      </c>
    </row>
    <row r="1655">
      <c r="A1655" s="24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5" t="n">
        <v>0.40471</v>
      </c>
    </row>
    <row r="1656">
      <c r="A1656" s="24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5" t="n">
        <v>0.410791</v>
      </c>
    </row>
    <row r="1657">
      <c r="A1657" s="24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5" t="n">
        <v>0.344008</v>
      </c>
    </row>
    <row r="1658">
      <c r="A1658" s="24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5" t="n">
        <v>0.236181</v>
      </c>
    </row>
    <row r="1659">
      <c r="A1659" s="24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5" t="n">
        <v>0.126961</v>
      </c>
    </row>
    <row r="1660">
      <c r="A1660" s="24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5" t="n">
        <v>0.078947</v>
      </c>
    </row>
    <row r="1661">
      <c r="A1661" s="24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5" t="n">
        <v>0.358898</v>
      </c>
    </row>
    <row r="1662">
      <c r="A1662" s="24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5" t="n">
        <v>0.387654</v>
      </c>
    </row>
    <row r="1663">
      <c r="A1663" s="24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5" t="n">
        <v>0.379614</v>
      </c>
    </row>
    <row r="1664">
      <c r="A1664" s="24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5" t="n">
        <v>0.196548</v>
      </c>
    </row>
    <row r="1665">
      <c r="A1665" s="24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5" t="n">
        <v>0.076422</v>
      </c>
    </row>
    <row r="1666">
      <c r="A1666" s="24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5" t="n">
        <v>0.232967</v>
      </c>
    </row>
    <row r="1667">
      <c r="A1667" s="24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5" t="n">
        <v>0.227082</v>
      </c>
    </row>
    <row r="1668">
      <c r="A1668" s="24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5" t="n">
        <v>0.122738</v>
      </c>
    </row>
    <row r="1669">
      <c r="A1669" s="24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5" t="n">
        <v>0.142616</v>
      </c>
    </row>
    <row r="1670">
      <c r="A1670" s="24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5" t="n">
        <v>0.04987</v>
      </c>
    </row>
    <row r="1671">
      <c r="A1671" s="24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5" t="n">
        <v>0.069978</v>
      </c>
    </row>
    <row r="1672">
      <c r="A1672" s="24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5" t="n">
        <v>0.102567</v>
      </c>
    </row>
    <row r="1673">
      <c r="A1673" s="24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5" t="n">
        <v>0.039204</v>
      </c>
    </row>
    <row r="1674">
      <c r="A1674" s="24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5" t="n">
        <v>0.028775</v>
      </c>
    </row>
    <row r="1675">
      <c r="A1675" s="24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5" t="n">
        <v>0.036817</v>
      </c>
    </row>
    <row r="1676">
      <c r="A1676" s="24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5" t="n">
        <v>0.031365</v>
      </c>
    </row>
    <row r="1677">
      <c r="A1677" s="24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5" t="n">
        <v>0.015239</v>
      </c>
    </row>
    <row r="1678">
      <c r="A1678" s="24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5" t="n">
        <v>0.014917</v>
      </c>
    </row>
    <row r="1679">
      <c r="A1679" s="24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5" t="n">
        <v>0.005319</v>
      </c>
    </row>
    <row r="1680">
      <c r="A1680" s="24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5" t="n">
        <v>0.00723</v>
      </c>
    </row>
    <row r="1681">
      <c r="A1681" s="24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5" t="n">
        <v>0.114779</v>
      </c>
    </row>
    <row r="1682">
      <c r="A1682" s="24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5" t="n">
        <v>0.02631</v>
      </c>
    </row>
    <row r="1683">
      <c r="A1683" s="24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5" t="n">
        <v>0.011268</v>
      </c>
    </row>
    <row r="1684">
      <c r="A1684" s="24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5" t="n">
        <v>0.008132</v>
      </c>
    </row>
    <row r="1685">
      <c r="A1685" s="24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5" t="n">
        <v>0.008802000000000001</v>
      </c>
    </row>
    <row r="1686">
      <c r="A1686" s="24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5" t="n">
        <v>0.016266</v>
      </c>
    </row>
    <row r="1687">
      <c r="A1687" s="24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5" t="n">
        <v>0.01318</v>
      </c>
    </row>
    <row r="1688">
      <c r="A1688" s="24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5" t="n">
        <v>0.013475</v>
      </c>
    </row>
    <row r="1689">
      <c r="A1689" s="24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5" t="n">
        <v>0.003219</v>
      </c>
    </row>
    <row r="1690">
      <c r="A1690" s="24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5" t="n">
        <v>0.004451</v>
      </c>
    </row>
    <row r="1691">
      <c r="A1691" s="24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5" t="n">
        <v>0.192946</v>
      </c>
    </row>
    <row r="1692">
      <c r="A1692" s="24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5" t="n">
        <v>0.285134</v>
      </c>
    </row>
    <row r="1693">
      <c r="A1693" s="24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5" t="n">
        <v>0.07205300000000001</v>
      </c>
    </row>
    <row r="1694">
      <c r="A1694" s="24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5" t="n">
        <v>0.050942</v>
      </c>
    </row>
    <row r="1695">
      <c r="A1695" s="24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5" t="n">
        <v>0.034142</v>
      </c>
    </row>
    <row r="1696">
      <c r="A1696" s="24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5" t="n">
        <v>0.315354</v>
      </c>
    </row>
    <row r="1697">
      <c r="A1697" s="24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5" t="n">
        <v>0.180285</v>
      </c>
    </row>
    <row r="1698">
      <c r="A1698" s="24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5" t="n">
        <v>0.054443</v>
      </c>
    </row>
    <row r="1699">
      <c r="A1699" s="24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5" t="n">
        <v>0.044545</v>
      </c>
    </row>
    <row r="1700">
      <c r="A1700" s="24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5" t="n">
        <v>0.036589</v>
      </c>
    </row>
    <row r="1701">
      <c r="A1701" s="24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5" t="n">
        <v>0.011457</v>
      </c>
    </row>
    <row r="1702">
      <c r="A1702" s="24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5" t="n">
        <v>0.013433</v>
      </c>
    </row>
    <row r="1703">
      <c r="A1703" s="24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5" t="n">
        <v>0.01769</v>
      </c>
    </row>
    <row r="1704">
      <c r="A1704" s="24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5" t="n">
        <v>0.036543</v>
      </c>
    </row>
    <row r="1705">
      <c r="A1705" s="24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5" t="n">
        <v>0.058663</v>
      </c>
    </row>
    <row r="1706">
      <c r="A1706" s="24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5" t="n">
        <v>0.080901</v>
      </c>
    </row>
    <row r="1707">
      <c r="A1707" s="24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5" t="n">
        <v>0.140094</v>
      </c>
    </row>
    <row r="1708">
      <c r="A1708" s="24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5" t="n">
        <v>0.23053</v>
      </c>
    </row>
    <row r="1709">
      <c r="A1709" s="24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5" t="n">
        <v>0.074867</v>
      </c>
    </row>
    <row r="1710">
      <c r="A1710" s="24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5" t="n">
        <v>0.034511</v>
      </c>
    </row>
    <row r="1711">
      <c r="A1711" s="24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5" t="n">
        <v>0.048761</v>
      </c>
    </row>
    <row r="1712">
      <c r="A1712" s="24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5" t="n">
        <v>0.081597</v>
      </c>
    </row>
    <row r="1713">
      <c r="A1713" s="24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5" t="n">
        <v>0.046546</v>
      </c>
    </row>
    <row r="1714">
      <c r="A1714" s="24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5" t="n">
        <v>0.015492</v>
      </c>
    </row>
    <row r="1715">
      <c r="A1715" s="24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5" t="n">
        <v>0.028474</v>
      </c>
    </row>
    <row r="1716">
      <c r="A1716" s="24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5" t="n">
        <v>0.024188</v>
      </c>
    </row>
    <row r="1717">
      <c r="A1717" s="24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5" t="n">
        <v>0.024722</v>
      </c>
    </row>
    <row r="1718">
      <c r="A1718" s="24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5" t="n">
        <v>0.010823</v>
      </c>
    </row>
    <row r="1719">
      <c r="A1719" s="24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5" t="n">
        <v>0.018899</v>
      </c>
    </row>
    <row r="1720">
      <c r="A1720" s="24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5" t="n">
        <v>0.07001499999999999</v>
      </c>
    </row>
    <row r="1721">
      <c r="A1721" s="24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5" t="n">
        <v>0.026103</v>
      </c>
    </row>
    <row r="1722">
      <c r="A1722" s="24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5" t="n">
        <v>0.021231</v>
      </c>
    </row>
    <row r="1723">
      <c r="A1723" s="24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5" t="n">
        <v>0.012196</v>
      </c>
    </row>
    <row r="1724">
      <c r="A1724" s="24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5" t="n">
        <v>0.007859</v>
      </c>
    </row>
    <row r="1725">
      <c r="A1725" s="24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5" t="n">
        <v>0.004966</v>
      </c>
    </row>
    <row r="1726">
      <c r="A1726" s="24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5" t="n">
        <v>0.011922</v>
      </c>
    </row>
    <row r="1727">
      <c r="A1727" s="24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5" t="n">
        <v>0.039021</v>
      </c>
    </row>
    <row r="1728">
      <c r="A1728" s="24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5" t="n">
        <v>0.2491</v>
      </c>
    </row>
    <row r="1729">
      <c r="A1729" s="24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5" t="n">
        <v>0.063696</v>
      </c>
    </row>
    <row r="1730">
      <c r="A1730" s="24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5" t="n">
        <v>0.12916</v>
      </c>
    </row>
    <row r="1731">
      <c r="A1731" s="24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5" t="n">
        <v>0.349272</v>
      </c>
    </row>
    <row r="1732">
      <c r="A1732" s="24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5" t="n">
        <v>0.386626</v>
      </c>
    </row>
    <row r="1733">
      <c r="A1733" s="24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5" t="n">
        <v>0.317142</v>
      </c>
    </row>
    <row r="1734">
      <c r="A1734" s="24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5" t="n">
        <v>0.073514</v>
      </c>
    </row>
    <row r="1735">
      <c r="A1735" s="24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5" t="n">
        <v>0.040691</v>
      </c>
    </row>
    <row r="1736">
      <c r="A1736" s="24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5" t="n">
        <v>0.020732</v>
      </c>
    </row>
    <row r="1737">
      <c r="A1737" s="24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5" t="n">
        <v>0.016098</v>
      </c>
    </row>
    <row r="1738">
      <c r="A1738" s="24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5" t="n">
        <v>0.008017</v>
      </c>
    </row>
    <row r="1739">
      <c r="A1739" s="24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5" t="n">
        <v>0.008266000000000001</v>
      </c>
    </row>
    <row r="1740">
      <c r="A1740" s="24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5" t="n">
        <v>0.017394</v>
      </c>
    </row>
    <row r="1741">
      <c r="A1741" s="24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5" t="n">
        <v>0.021005</v>
      </c>
    </row>
    <row r="1742">
      <c r="A1742" s="24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5" t="n">
        <v>0.066513</v>
      </c>
    </row>
    <row r="1743">
      <c r="A1743" s="24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5" t="n">
        <v>0.073328</v>
      </c>
    </row>
    <row r="1744">
      <c r="A1744" s="24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5" t="n">
        <v>0.341247</v>
      </c>
    </row>
    <row r="1745">
      <c r="A1745" s="24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5" t="n">
        <v>0.38631</v>
      </c>
    </row>
    <row r="1746">
      <c r="A1746" s="24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5" t="n">
        <v>0.402451</v>
      </c>
    </row>
    <row r="1747">
      <c r="A1747" s="24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5" t="n">
        <v>0.403792</v>
      </c>
    </row>
    <row r="1748">
      <c r="A1748" s="24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5" t="n">
        <v>0.414108</v>
      </c>
    </row>
    <row r="1749">
      <c r="A1749" s="24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5" t="n">
        <v>0.414198</v>
      </c>
    </row>
    <row r="1750">
      <c r="A1750" s="24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5" t="n">
        <v>0.407215</v>
      </c>
    </row>
    <row r="1751">
      <c r="A1751" s="24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5" t="n">
        <v>0.406998</v>
      </c>
    </row>
    <row r="1752">
      <c r="A1752" s="24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5" t="n">
        <v>0.215439</v>
      </c>
    </row>
    <row r="1753">
      <c r="A1753" s="24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5" t="n">
        <v>0.201555</v>
      </c>
    </row>
    <row r="1754">
      <c r="A1754" s="24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5" t="n">
        <v>0.225433</v>
      </c>
    </row>
    <row r="1755">
      <c r="A1755" s="24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5" t="n">
        <v>0.340592</v>
      </c>
    </row>
    <row r="1756">
      <c r="A1756" s="24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5" t="n">
        <v>0.15555</v>
      </c>
    </row>
    <row r="1757">
      <c r="A1757" s="24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5" t="n">
        <v>0.133828</v>
      </c>
    </row>
    <row r="1758">
      <c r="A1758" s="24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5" t="n">
        <v>0.062048</v>
      </c>
    </row>
    <row r="1759">
      <c r="A1759" s="24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5" t="n">
        <v>0.051979</v>
      </c>
    </row>
    <row r="1760">
      <c r="A1760" s="24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5" t="n">
        <v>0.043074</v>
      </c>
    </row>
    <row r="1761">
      <c r="A1761" s="24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5" t="n">
        <v>0.047344</v>
      </c>
    </row>
    <row r="1762">
      <c r="A1762" s="24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5" t="n">
        <v>0.025017</v>
      </c>
    </row>
    <row r="1763">
      <c r="A1763" s="24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5" t="n">
        <v>0.118106</v>
      </c>
    </row>
    <row r="1764">
      <c r="A1764" s="24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5" t="n">
        <v>0.03653</v>
      </c>
    </row>
    <row r="1765">
      <c r="A1765" s="24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5" t="n">
        <v>0.026839</v>
      </c>
    </row>
    <row r="1766">
      <c r="A1766" s="24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5" t="n">
        <v>0.05634</v>
      </c>
    </row>
    <row r="1767">
      <c r="A1767" s="24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5" t="n">
        <v>0.126368</v>
      </c>
    </row>
    <row r="1768">
      <c r="A1768" s="24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5" t="n">
        <v>0.048664</v>
      </c>
    </row>
    <row r="1769">
      <c r="A1769" s="24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5" t="n">
        <v>0.037165</v>
      </c>
    </row>
    <row r="1770">
      <c r="A1770" s="24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5" t="n">
        <v>0.012044</v>
      </c>
    </row>
    <row r="1771">
      <c r="A1771" s="24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5" t="n">
        <v>0.008092</v>
      </c>
    </row>
    <row r="1772">
      <c r="A1772" s="24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5" t="n">
        <v>0.015852</v>
      </c>
    </row>
    <row r="1773">
      <c r="A1773" s="24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5" t="n">
        <v>0.033096</v>
      </c>
    </row>
    <row r="1774">
      <c r="A1774" s="24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5" t="n">
        <v>0.01785</v>
      </c>
    </row>
    <row r="1775">
      <c r="A1775" s="24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5" t="n">
        <v>0.006084</v>
      </c>
    </row>
    <row r="1776">
      <c r="A1776" s="24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5" t="n">
        <v>0.011082</v>
      </c>
    </row>
    <row r="1777">
      <c r="A1777" s="24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5" t="n">
        <v>0.006002</v>
      </c>
    </row>
    <row r="1778">
      <c r="A1778" s="24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5" t="n">
        <v>0.017424</v>
      </c>
    </row>
    <row r="1779">
      <c r="A1779" s="24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5" t="n">
        <v>0.016279</v>
      </c>
    </row>
    <row r="1780">
      <c r="A1780" s="24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5" t="n">
        <v>0.017883</v>
      </c>
    </row>
    <row r="1781">
      <c r="A1781" s="24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5" t="n">
        <v>0.06736399999999999</v>
      </c>
    </row>
    <row r="1782">
      <c r="A1782" s="24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5" t="n">
        <v>0.06306100000000001</v>
      </c>
    </row>
    <row r="1783">
      <c r="A1783" s="24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5" t="n">
        <v>0.049832</v>
      </c>
    </row>
    <row r="1784">
      <c r="A1784" s="24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5" t="n">
        <v>0.019723</v>
      </c>
    </row>
    <row r="1785">
      <c r="A1785" s="24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5" t="n">
        <v>0.023717</v>
      </c>
    </row>
    <row r="1786">
      <c r="A1786" s="24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5" t="n">
        <v>0.029841</v>
      </c>
    </row>
    <row r="1787">
      <c r="A1787" s="24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5" t="n">
        <v>0.055827</v>
      </c>
    </row>
    <row r="1788">
      <c r="A1788" s="24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5" t="n">
        <v>0.063057</v>
      </c>
    </row>
    <row r="1789">
      <c r="A1789" s="24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5" t="n">
        <v>0.023546</v>
      </c>
    </row>
    <row r="1790">
      <c r="A1790" s="24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5" t="n">
        <v>0.031135</v>
      </c>
    </row>
    <row r="1791">
      <c r="A1791" s="24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5" t="n">
        <v>0.057248</v>
      </c>
    </row>
    <row r="1792">
      <c r="A1792" s="24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5" t="n">
        <v>0.034164</v>
      </c>
    </row>
    <row r="1793">
      <c r="A1793" s="24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5" t="n">
        <v>0.051902</v>
      </c>
    </row>
    <row r="1794">
      <c r="A1794" s="24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5" t="n">
        <v>0.069621</v>
      </c>
    </row>
    <row r="1795">
      <c r="A1795" s="24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5" t="n">
        <v>0.093846</v>
      </c>
    </row>
    <row r="1796">
      <c r="A1796" s="24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5" t="n">
        <v>0.062723</v>
      </c>
    </row>
    <row r="1797">
      <c r="A1797" s="24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5" t="n">
        <v>0.223768</v>
      </c>
    </row>
    <row r="1798">
      <c r="A1798" s="24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5" t="n">
        <v>0.307882</v>
      </c>
    </row>
    <row r="1799">
      <c r="A1799" s="24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5" t="n">
        <v>0.149559</v>
      </c>
    </row>
    <row r="1800">
      <c r="A1800" s="24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5" t="n">
        <v>0.048932</v>
      </c>
    </row>
    <row r="1801">
      <c r="A1801" s="24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5" t="n">
        <v>0.036414</v>
      </c>
    </row>
    <row r="1802">
      <c r="A1802" s="24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5" t="n">
        <v>0.01646</v>
      </c>
    </row>
    <row r="1803">
      <c r="A1803" s="24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5" t="n">
        <v>0.030404</v>
      </c>
    </row>
    <row r="1804">
      <c r="A1804" s="24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5" t="n">
        <v>0.330365</v>
      </c>
    </row>
    <row r="1805">
      <c r="A1805" s="24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5" t="n">
        <v>0.096106</v>
      </c>
    </row>
    <row r="1806">
      <c r="A1806" s="24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5" t="n">
        <v>0.088736</v>
      </c>
    </row>
    <row r="1807">
      <c r="A1807" s="24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5" t="n">
        <v>0.130795</v>
      </c>
    </row>
    <row r="1808">
      <c r="A1808" s="24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5" t="n">
        <v>0.04367</v>
      </c>
    </row>
    <row r="1809">
      <c r="A1809" s="24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5" t="n">
        <v>0.033038</v>
      </c>
    </row>
    <row r="1810">
      <c r="A1810" s="24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5" t="n">
        <v>0.031444</v>
      </c>
    </row>
    <row r="1811">
      <c r="A1811" s="24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5" t="n">
        <v>0.195804</v>
      </c>
    </row>
    <row r="1812">
      <c r="A1812" s="24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5" t="n">
        <v>0.043373</v>
      </c>
    </row>
    <row r="1813">
      <c r="A1813" s="24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5" t="n">
        <v>0.044483</v>
      </c>
    </row>
    <row r="1814">
      <c r="A1814" s="24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5" t="n">
        <v>0.128376</v>
      </c>
    </row>
    <row r="1815">
      <c r="A1815" s="24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5" t="n">
        <v>0.07360999999999999</v>
      </c>
    </row>
    <row r="1816">
      <c r="A1816" s="24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5" t="n">
        <v>0.344514</v>
      </c>
    </row>
    <row r="1817">
      <c r="A1817" s="24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5" t="n">
        <v>0.100606</v>
      </c>
    </row>
    <row r="1818">
      <c r="A1818" s="24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5" t="n">
        <v>0.06758599999999999</v>
      </c>
    </row>
    <row r="1819">
      <c r="A1819" s="24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5" t="n">
        <v>0.044487</v>
      </c>
    </row>
    <row r="1820">
      <c r="A1820" s="24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5" t="n">
        <v>0.045026</v>
      </c>
    </row>
    <row r="1821">
      <c r="A1821" s="24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5" t="n">
        <v>0.020503</v>
      </c>
    </row>
    <row r="1822">
      <c r="A1822" s="24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5" t="n">
        <v>0.034739</v>
      </c>
    </row>
    <row r="1823">
      <c r="A1823" s="24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5" t="n">
        <v>0.026117</v>
      </c>
    </row>
    <row r="1824">
      <c r="A1824" s="24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5" t="n">
        <v>0.012916</v>
      </c>
    </row>
    <row r="1825">
      <c r="A1825" s="24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5" t="n">
        <v>0.030447</v>
      </c>
    </row>
    <row r="1826">
      <c r="A1826" s="24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5" t="n">
        <v>0.275329</v>
      </c>
    </row>
    <row r="1827">
      <c r="A1827" s="24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5" t="n">
        <v>0.218288</v>
      </c>
    </row>
    <row r="1828">
      <c r="A1828" s="24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5" t="n">
        <v>0.057044</v>
      </c>
    </row>
    <row r="1829">
      <c r="A1829" s="24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5" t="n">
        <v>0.071261</v>
      </c>
    </row>
    <row r="1830">
      <c r="A1830" s="24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5" t="n">
        <v>0.023408</v>
      </c>
    </row>
    <row r="1831">
      <c r="A1831" s="24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5" t="n">
        <v>0.019009</v>
      </c>
    </row>
    <row r="1832">
      <c r="A1832" s="24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5" t="n">
        <v>0.029156</v>
      </c>
    </row>
    <row r="1833">
      <c r="A1833" s="24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5" t="n">
        <v>0.293425</v>
      </c>
    </row>
    <row r="1834">
      <c r="A1834" s="24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5" t="n">
        <v>0.058709</v>
      </c>
    </row>
    <row r="1835">
      <c r="A1835" s="24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5" t="n">
        <v>0.031099</v>
      </c>
    </row>
    <row r="1836">
      <c r="A1836" s="24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5" t="n">
        <v>0.074987</v>
      </c>
    </row>
    <row r="1837">
      <c r="A1837" s="24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5" t="n">
        <v>0.09973700000000001</v>
      </c>
    </row>
    <row r="1838">
      <c r="A1838" s="24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5" t="n">
        <v>0.040907</v>
      </c>
    </row>
    <row r="1839">
      <c r="A1839" s="24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5" t="n">
        <v>0.018283</v>
      </c>
    </row>
    <row r="1840">
      <c r="A1840" s="24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5" t="n">
        <v>0.010459</v>
      </c>
    </row>
    <row r="1841">
      <c r="A1841" s="24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5" t="n">
        <v>0.010059</v>
      </c>
    </row>
    <row r="1842">
      <c r="A1842" s="24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5" t="n">
        <v>0.011074</v>
      </c>
    </row>
    <row r="1843">
      <c r="A1843" s="24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5" t="n">
        <v>0.018031</v>
      </c>
    </row>
    <row r="1844">
      <c r="A1844" s="24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5" t="n">
        <v>0.011711</v>
      </c>
    </row>
    <row r="1845">
      <c r="A1845" s="24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5" t="n">
        <v>0.01069</v>
      </c>
    </row>
    <row r="1846">
      <c r="A1846" s="24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5" t="n">
        <v>0.054203</v>
      </c>
    </row>
    <row r="1847">
      <c r="A1847" s="24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5" t="n">
        <v>0.026337</v>
      </c>
    </row>
    <row r="1848">
      <c r="A1848" s="24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5" t="n">
        <v>0.088446</v>
      </c>
    </row>
    <row r="1849">
      <c r="A1849" s="24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5" t="n">
        <v>0.029332</v>
      </c>
    </row>
    <row r="1850">
      <c r="A1850" s="24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5" t="n">
        <v>0.055775</v>
      </c>
    </row>
    <row r="1851">
      <c r="A1851" s="24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5" t="n">
        <v>0.117994</v>
      </c>
    </row>
    <row r="1852">
      <c r="A1852" s="24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5" t="n">
        <v>0.045599</v>
      </c>
    </row>
    <row r="1853">
      <c r="A1853" s="24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5" t="n">
        <v>0.138368</v>
      </c>
    </row>
    <row r="1854">
      <c r="A1854" s="24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5" t="n">
        <v>0.267465</v>
      </c>
    </row>
    <row r="1855">
      <c r="A1855" s="24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5" t="n">
        <v>0.09624099999999999</v>
      </c>
    </row>
    <row r="1856">
      <c r="A1856" s="24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5" t="n">
        <v>0.043107</v>
      </c>
    </row>
    <row r="1857">
      <c r="A1857" s="24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5" t="n">
        <v>0.089826</v>
      </c>
    </row>
    <row r="1858">
      <c r="A1858" s="24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5" t="n">
        <v>0.057161</v>
      </c>
    </row>
    <row r="1859">
      <c r="A1859" s="24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5" t="n">
        <v>0.034287</v>
      </c>
    </row>
    <row r="1860">
      <c r="A1860" s="24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5" t="n">
        <v>0.025947</v>
      </c>
    </row>
    <row r="1861">
      <c r="A1861" s="24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5" t="n">
        <v>0.022505</v>
      </c>
    </row>
    <row r="1862">
      <c r="A1862" s="24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5" t="n">
        <v>0.022368</v>
      </c>
    </row>
    <row r="1863">
      <c r="A1863" s="24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5" t="n">
        <v>0.058895</v>
      </c>
    </row>
    <row r="1864">
      <c r="A1864" s="24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5" t="n">
        <v>0.05216</v>
      </c>
    </row>
    <row r="1865">
      <c r="A1865" s="24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5" t="n">
        <v>0.052387</v>
      </c>
    </row>
    <row r="1866">
      <c r="A1866" s="24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5" t="n">
        <v>0.042937</v>
      </c>
    </row>
    <row r="1867">
      <c r="A1867" s="24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5" t="n">
        <v>0.018133</v>
      </c>
    </row>
    <row r="1868">
      <c r="A1868" s="24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5" t="n">
        <v>0.014784</v>
      </c>
    </row>
    <row r="1869">
      <c r="A1869" s="24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5" t="n">
        <v>0.021007</v>
      </c>
    </row>
    <row r="1870">
      <c r="A1870" s="24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5" t="n">
        <v>0.041944</v>
      </c>
    </row>
    <row r="1871">
      <c r="A1871" s="24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5" t="n">
        <v>0.043046</v>
      </c>
    </row>
    <row r="1872">
      <c r="A1872" s="24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5" t="n">
        <v>0.030427</v>
      </c>
    </row>
    <row r="1873">
      <c r="A1873" s="24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5" t="n">
        <v>0.033618</v>
      </c>
    </row>
    <row r="1874">
      <c r="A1874" s="24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5" t="n">
        <v>0.020199</v>
      </c>
    </row>
    <row r="1875">
      <c r="A1875" s="24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5" t="n">
        <v>0.027885</v>
      </c>
    </row>
    <row r="1876">
      <c r="A1876" s="24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5" t="n">
        <v>0.02375</v>
      </c>
    </row>
    <row r="1877">
      <c r="A1877" s="24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5" t="n">
        <v>0.020517</v>
      </c>
    </row>
    <row r="1878">
      <c r="A1878" s="24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5" t="n">
        <v>0.025031</v>
      </c>
    </row>
    <row r="1879">
      <c r="A1879" s="24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5" t="n">
        <v>0.064209</v>
      </c>
    </row>
    <row r="1880">
      <c r="A1880" s="24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5" t="n">
        <v>0.117214</v>
      </c>
    </row>
    <row r="1881">
      <c r="A1881" s="24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5" t="n">
        <v>0.046971</v>
      </c>
    </row>
    <row r="1882">
      <c r="A1882" s="24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5" t="n">
        <v>0.029549</v>
      </c>
    </row>
    <row r="1883">
      <c r="A1883" s="24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5" t="n">
        <v>0.0393</v>
      </c>
    </row>
    <row r="1884">
      <c r="A1884" s="24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5" t="n">
        <v>0.043543</v>
      </c>
    </row>
    <row r="1885">
      <c r="A1885" s="24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5" t="n">
        <v>0.049598</v>
      </c>
    </row>
    <row r="1886">
      <c r="A1886" s="24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5" t="n">
        <v>0.03181</v>
      </c>
    </row>
    <row r="1887">
      <c r="A1887" s="24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5" t="n">
        <v>0.0728</v>
      </c>
    </row>
    <row r="1888">
      <c r="A1888" s="24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5" t="n">
        <v>0.043514</v>
      </c>
    </row>
    <row r="1889">
      <c r="A1889" s="24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5" t="n">
        <v>0.337182</v>
      </c>
    </row>
    <row r="1890">
      <c r="A1890" s="24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5" t="n">
        <v>0.239646</v>
      </c>
    </row>
    <row r="1891">
      <c r="A1891" s="24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5" t="n">
        <v>0.361921</v>
      </c>
    </row>
    <row r="1892">
      <c r="A1892" s="24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5" t="n">
        <v>0.182331</v>
      </c>
    </row>
    <row r="1893">
      <c r="A1893" s="24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5" t="n">
        <v>0.372878</v>
      </c>
    </row>
    <row r="1894">
      <c r="A1894" s="24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5" t="n">
        <v>0.09429999999999999</v>
      </c>
    </row>
    <row r="1895">
      <c r="A1895" s="24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5" t="n">
        <v>0.052935</v>
      </c>
    </row>
    <row r="1896">
      <c r="A1896" s="24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5" t="n">
        <v>0.027759</v>
      </c>
    </row>
    <row r="1897">
      <c r="A1897" s="24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5" t="n">
        <v>0.018211</v>
      </c>
    </row>
    <row r="1898">
      <c r="A1898" s="24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5" t="n">
        <v>0.020611</v>
      </c>
    </row>
    <row r="1899">
      <c r="A1899" s="24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5" t="n">
        <v>0.013036</v>
      </c>
    </row>
    <row r="1900">
      <c r="A1900" s="24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5" t="n">
        <v>0.331662</v>
      </c>
    </row>
    <row r="1901">
      <c r="A1901" s="24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5" t="n">
        <v>0.145435</v>
      </c>
    </row>
    <row r="1902">
      <c r="A1902" s="24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5" t="n">
        <v>0.146236</v>
      </c>
    </row>
    <row r="1903">
      <c r="A1903" s="24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5" t="n">
        <v>0.09021</v>
      </c>
    </row>
    <row r="1904">
      <c r="A1904" s="24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5" t="n">
        <v>0.03051</v>
      </c>
    </row>
    <row r="1905">
      <c r="A1905" s="24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5" t="n">
        <v>0.028068</v>
      </c>
    </row>
    <row r="1906">
      <c r="A1906" s="24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5" t="n">
        <v>0.018602</v>
      </c>
    </row>
    <row r="1907">
      <c r="A1907" s="24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5" t="n">
        <v>0.102995</v>
      </c>
    </row>
    <row r="1908">
      <c r="A1908" s="24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5" t="n">
        <v>0.129558</v>
      </c>
    </row>
    <row r="1909">
      <c r="A1909" s="24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5" t="n">
        <v>0.042988</v>
      </c>
    </row>
    <row r="1910">
      <c r="A1910" s="24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5" t="n">
        <v>0.035501</v>
      </c>
    </row>
    <row r="1911">
      <c r="A1911" s="24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5" t="n">
        <v>0.062188</v>
      </c>
    </row>
    <row r="1912">
      <c r="A1912" s="24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5" t="n">
        <v>0.030758</v>
      </c>
    </row>
    <row r="1913">
      <c r="A1913" s="24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5" t="n">
        <v>0.021263</v>
      </c>
    </row>
    <row r="1914">
      <c r="A1914" s="24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5" t="n">
        <v>0.08483499999999999</v>
      </c>
    </row>
    <row r="1915">
      <c r="A1915" s="24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5" t="n">
        <v>0.047446</v>
      </c>
    </row>
    <row r="1916">
      <c r="A1916" s="24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5" t="n">
        <v>0.217003</v>
      </c>
    </row>
    <row r="1917">
      <c r="A1917" s="24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5" t="n">
        <v>0.332693</v>
      </c>
    </row>
    <row r="1918">
      <c r="A1918" s="24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5" t="n">
        <v>0.125923</v>
      </c>
    </row>
    <row r="1919">
      <c r="A1919" s="24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5" t="n">
        <v>0.164181</v>
      </c>
    </row>
    <row r="1920">
      <c r="A1920" s="24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5" t="n">
        <v>0.297713</v>
      </c>
    </row>
    <row r="1921">
      <c r="A1921" s="24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5" t="n">
        <v>0.367985</v>
      </c>
    </row>
    <row r="1922">
      <c r="A1922" s="24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5" t="n">
        <v>0.203892</v>
      </c>
    </row>
    <row r="1923">
      <c r="A1923" s="24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5" t="n">
        <v>0.141256</v>
      </c>
    </row>
    <row r="1924">
      <c r="A1924" s="24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5" t="n">
        <v>0.043348</v>
      </c>
    </row>
    <row r="1925">
      <c r="A1925" s="24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5" t="n">
        <v>0.047698</v>
      </c>
    </row>
    <row r="1926">
      <c r="A1926" s="24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5" t="n">
        <v>0.023427</v>
      </c>
    </row>
    <row r="1927">
      <c r="A1927" s="24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5" t="n">
        <v>0.014941</v>
      </c>
    </row>
    <row r="1928">
      <c r="A1928" s="24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5" t="n">
        <v>0.016991</v>
      </c>
    </row>
    <row r="1929">
      <c r="A1929" s="24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5" t="n">
        <v>0.014565</v>
      </c>
    </row>
    <row r="1930">
      <c r="A1930" s="24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5" t="n">
        <v>0.042411</v>
      </c>
    </row>
    <row r="1931">
      <c r="A1931" s="24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5" t="n">
        <v>0.018923</v>
      </c>
    </row>
    <row r="1932">
      <c r="A1932" s="24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5" t="n">
        <v>0.061246</v>
      </c>
    </row>
    <row r="1933">
      <c r="A1933" s="24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5" t="n">
        <v>0.024951</v>
      </c>
    </row>
    <row r="1934">
      <c r="A1934" s="24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5" t="n">
        <v>0.043638</v>
      </c>
    </row>
    <row r="1935">
      <c r="A1935" s="24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5" t="n">
        <v>0.037836</v>
      </c>
    </row>
    <row r="1936">
      <c r="A1936" s="24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5" t="n">
        <v>0.06384099999999999</v>
      </c>
    </row>
    <row r="1937">
      <c r="A1937" s="24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5" t="n">
        <v>0.028966</v>
      </c>
    </row>
    <row r="1938">
      <c r="A1938" s="24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5" t="n">
        <v>0.094385</v>
      </c>
    </row>
    <row r="1939">
      <c r="A1939" s="24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5" t="n">
        <v>0.047723</v>
      </c>
    </row>
    <row r="1940">
      <c r="A1940" s="24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5" t="n">
        <v>0.070178</v>
      </c>
    </row>
    <row r="1941">
      <c r="A1941" s="24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5" t="n">
        <v>0.07378999999999999</v>
      </c>
    </row>
    <row r="1942">
      <c r="A1942" s="24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5" t="n">
        <v>0.059241</v>
      </c>
    </row>
    <row r="1943">
      <c r="A1943" s="24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5" t="n">
        <v>0.204631</v>
      </c>
    </row>
    <row r="1944">
      <c r="A1944" s="24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5" t="n">
        <v>0.127705</v>
      </c>
    </row>
    <row r="1945">
      <c r="A1945" s="24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5" t="n">
        <v>0.149631</v>
      </c>
    </row>
    <row r="1946">
      <c r="A1946" s="24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5" t="n">
        <v>0.093393</v>
      </c>
    </row>
    <row r="1947">
      <c r="A1947" s="24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5" t="n">
        <v>0.099895</v>
      </c>
    </row>
    <row r="1948">
      <c r="A1948" s="24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5" t="n">
        <v>0.08026800000000001</v>
      </c>
    </row>
    <row r="1949">
      <c r="A1949" s="24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5" t="n">
        <v>0.052837</v>
      </c>
    </row>
    <row r="1950">
      <c r="A1950" s="24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5" t="n">
        <v>0.045251</v>
      </c>
    </row>
    <row r="1951">
      <c r="A1951" s="24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5" t="n">
        <v>0.072835</v>
      </c>
    </row>
    <row r="1952">
      <c r="A1952" s="24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5" t="n">
        <v>0.065723</v>
      </c>
    </row>
    <row r="1953">
      <c r="A1953" s="24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5" t="n">
        <v>0.07214</v>
      </c>
    </row>
    <row r="1954">
      <c r="A1954" s="24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5" t="n">
        <v>0.155063</v>
      </c>
    </row>
    <row r="1955">
      <c r="A1955" s="24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5" t="n">
        <v>0.100547</v>
      </c>
    </row>
    <row r="1956">
      <c r="A1956" s="24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5" t="n">
        <v>0.100385</v>
      </c>
    </row>
    <row r="1957">
      <c r="A1957" s="24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5" t="n">
        <v>0.024605</v>
      </c>
    </row>
    <row r="1958">
      <c r="A1958" s="24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5" t="n">
        <v>0.015796</v>
      </c>
    </row>
    <row r="1959">
      <c r="A1959" s="24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5" t="n">
        <v>0.008489999999999999</v>
      </c>
    </row>
    <row r="1960">
      <c r="A1960" s="24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5" t="n">
        <v>0.040946</v>
      </c>
    </row>
    <row r="1961">
      <c r="A1961" s="24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5" t="n">
        <v>0.018189</v>
      </c>
    </row>
    <row r="1962">
      <c r="A1962" s="24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5" t="n">
        <v>0.024675</v>
      </c>
    </row>
    <row r="1963">
      <c r="A1963" s="24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5" t="n">
        <v>0.010496</v>
      </c>
    </row>
    <row r="1964">
      <c r="A1964" s="24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5" t="n">
        <v>0.016276</v>
      </c>
    </row>
    <row r="1965">
      <c r="A1965" s="24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5" t="n">
        <v>0.003933</v>
      </c>
    </row>
    <row r="1966">
      <c r="A1966" s="24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5" t="n">
        <v>0.004459</v>
      </c>
    </row>
    <row r="1967">
      <c r="A1967" s="24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5" t="n">
        <v>0.017066</v>
      </c>
    </row>
    <row r="1968">
      <c r="A1968" s="24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5" t="n">
        <v>0.048629</v>
      </c>
    </row>
    <row r="1969">
      <c r="A1969" s="24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5" t="n">
        <v>0.339542</v>
      </c>
    </row>
    <row r="1970">
      <c r="A1970" s="24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5" t="n">
        <v>0.379358</v>
      </c>
    </row>
    <row r="1971">
      <c r="A1971" s="24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5" t="n">
        <v>0.39998</v>
      </c>
    </row>
    <row r="1972">
      <c r="A1972" s="24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5" t="n">
        <v>0.408282</v>
      </c>
    </row>
    <row r="1973">
      <c r="A1973" s="24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5" t="n">
        <v>0.403205</v>
      </c>
    </row>
    <row r="1974">
      <c r="A1974" s="24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5" t="n">
        <v>0.405959</v>
      </c>
    </row>
    <row r="1975">
      <c r="A1975" s="24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5" t="n">
        <v>0.242255</v>
      </c>
    </row>
    <row r="1976">
      <c r="A1976" s="24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5" t="n">
        <v>0.394792</v>
      </c>
    </row>
    <row r="1977">
      <c r="A1977" s="24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5" t="n">
        <v>0.405072</v>
      </c>
    </row>
    <row r="1978">
      <c r="A1978" s="24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5" t="n">
        <v>0.188595</v>
      </c>
    </row>
    <row r="1979">
      <c r="A1979" s="24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5" t="n">
        <v>0.324277</v>
      </c>
    </row>
    <row r="1980">
      <c r="A1980" s="24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5" t="n">
        <v>0.395246</v>
      </c>
    </row>
    <row r="1981">
      <c r="A1981" s="24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5" t="n">
        <v>0.408977</v>
      </c>
    </row>
    <row r="1982">
      <c r="A1982" s="24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5" t="n">
        <v>0.4075</v>
      </c>
    </row>
    <row r="1983">
      <c r="A1983" s="24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5" t="n">
        <v>0.416155</v>
      </c>
    </row>
    <row r="1984">
      <c r="A1984" s="24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5" t="n">
        <v>0.570336</v>
      </c>
    </row>
    <row r="1985">
      <c r="A1985" s="24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5" t="n">
        <v>0.841616</v>
      </c>
    </row>
    <row r="1986">
      <c r="A1986" s="24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5" t="n">
        <v>0.965293</v>
      </c>
    </row>
    <row r="1987">
      <c r="A1987" s="24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5" t="n">
        <v>0.928215</v>
      </c>
    </row>
    <row r="1988">
      <c r="A1988" s="24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5" t="n">
        <v>0.875194</v>
      </c>
    </row>
    <row r="1989">
      <c r="A1989" s="24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5" t="n">
        <v>0.64554</v>
      </c>
    </row>
    <row r="1990">
      <c r="A1990" s="24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5" t="n">
        <v>1.474053</v>
      </c>
    </row>
    <row r="1991">
      <c r="A1991" s="24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5" t="n">
        <v>2.077298</v>
      </c>
    </row>
    <row r="1992">
      <c r="A1992" s="24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5" t="n">
        <v>1.147445</v>
      </c>
    </row>
    <row r="1993">
      <c r="A1993" s="24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5" t="n">
        <v>0.715542</v>
      </c>
    </row>
    <row r="1994">
      <c r="A1994" s="24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5" t="n">
        <v>0.945408</v>
      </c>
    </row>
    <row r="1995">
      <c r="A1995" s="24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5" t="n">
        <v>1.906534</v>
      </c>
    </row>
    <row r="1996">
      <c r="A1996" s="24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5" t="n">
        <v>3.29429</v>
      </c>
    </row>
    <row r="1997">
      <c r="A1997" s="24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5" t="n">
        <v>2.149792</v>
      </c>
    </row>
    <row r="1998">
      <c r="A1998" s="24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5" t="n">
        <v>0.412724</v>
      </c>
    </row>
    <row r="1999">
      <c r="A1999" s="24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5" t="n">
        <v>0.410637</v>
      </c>
    </row>
    <row r="2000">
      <c r="A2000" s="24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5" t="n">
        <v>0.414866</v>
      </c>
    </row>
    <row r="2001">
      <c r="A2001" s="24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5" t="n">
        <v>0.414133</v>
      </c>
    </row>
    <row r="2002">
      <c r="A2002" s="24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5" t="n">
        <v>0.408033</v>
      </c>
    </row>
    <row r="2003">
      <c r="A2003" s="24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5" t="n">
        <v>0.244743</v>
      </c>
    </row>
    <row r="2004">
      <c r="A2004" s="24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5" t="n">
        <v>0.13438</v>
      </c>
    </row>
    <row r="2005">
      <c r="A2005" s="24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5" t="n">
        <v>0.111231</v>
      </c>
    </row>
    <row r="2006">
      <c r="A2006" s="24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5" t="n">
        <v>0.358289</v>
      </c>
    </row>
    <row r="2007">
      <c r="A2007" s="24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5" t="n">
        <v>0.393339</v>
      </c>
    </row>
    <row r="2008">
      <c r="A2008" s="24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5" t="n">
        <v>2.956205</v>
      </c>
    </row>
    <row r="2009">
      <c r="A2009" s="24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5" t="n">
        <v>3.189239</v>
      </c>
    </row>
    <row r="2010">
      <c r="A2010" s="24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5" t="n">
        <v>1.473849</v>
      </c>
    </row>
    <row r="2011">
      <c r="A2011" s="24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5" t="n">
        <v>1.24352</v>
      </c>
    </row>
    <row r="2012">
      <c r="A2012" s="24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5" t="n">
        <v>0.410293</v>
      </c>
    </row>
    <row r="2013">
      <c r="A2013" s="24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5" t="n">
        <v>0.407137</v>
      </c>
    </row>
    <row r="2014">
      <c r="A2014" s="24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5" t="n">
        <v>0.317314</v>
      </c>
    </row>
    <row r="2015">
      <c r="A2015" s="24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5" t="n">
        <v>0.102879</v>
      </c>
    </row>
    <row r="2016">
      <c r="A2016" s="24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5" t="n">
        <v>0.080592</v>
      </c>
    </row>
    <row r="2017">
      <c r="A2017" s="24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5" t="n">
        <v>0.134476</v>
      </c>
    </row>
    <row r="2018">
      <c r="A2018" s="24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5" t="n">
        <v>0.044801</v>
      </c>
    </row>
    <row r="2019">
      <c r="A2019" s="24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5" t="n">
        <v>0.04111</v>
      </c>
    </row>
    <row r="2020">
      <c r="A2020" s="24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5" t="n">
        <v>0.030131</v>
      </c>
    </row>
    <row r="2021">
      <c r="A2021" s="24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5" t="n">
        <v>0.019184</v>
      </c>
    </row>
    <row r="2022">
      <c r="A2022" s="24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5" t="n">
        <v>0.008042000000000001</v>
      </c>
    </row>
    <row r="2023">
      <c r="A2023" s="24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5" t="n">
        <v>0.03697</v>
      </c>
    </row>
    <row r="2024">
      <c r="A2024" s="24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5" t="n">
        <v>0.023692</v>
      </c>
    </row>
    <row r="2025">
      <c r="A2025" s="24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5" t="n">
        <v>0.061385</v>
      </c>
    </row>
    <row r="2026">
      <c r="A2026" s="24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5" t="n">
        <v>0.025511</v>
      </c>
    </row>
    <row r="2027">
      <c r="A2027" s="24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5" t="n">
        <v>0.107651</v>
      </c>
    </row>
    <row r="2028">
      <c r="A2028" s="24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5" t="n">
        <v>0.035305</v>
      </c>
    </row>
    <row r="2029">
      <c r="A2029" s="24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5" t="n">
        <v>0.014806</v>
      </c>
    </row>
    <row r="2030">
      <c r="A2030" s="24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5" t="n">
        <v>0.014468</v>
      </c>
    </row>
    <row r="2031">
      <c r="A2031" s="24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5" t="n">
        <v>0.00725</v>
      </c>
    </row>
    <row r="2032">
      <c r="A2032" s="24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5" t="n">
        <v>0.013388</v>
      </c>
    </row>
    <row r="2033">
      <c r="A2033" s="24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5" t="n">
        <v>0.124748</v>
      </c>
    </row>
    <row r="2034">
      <c r="A2034" s="24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5" t="n">
        <v>0.498987</v>
      </c>
    </row>
    <row r="2035">
      <c r="A2035" s="24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5" t="n">
        <v>0.5326880000000001</v>
      </c>
    </row>
    <row r="2036">
      <c r="A2036" s="24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5" t="n">
        <v>0.391754</v>
      </c>
    </row>
    <row r="2037">
      <c r="A2037" s="24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5" t="n">
        <v>0.398351</v>
      </c>
    </row>
    <row r="2038">
      <c r="A2038" s="24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5" t="n">
        <v>0.257465</v>
      </c>
    </row>
    <row r="2039">
      <c r="A2039" s="24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5" t="n">
        <v>0.07878499999999999</v>
      </c>
    </row>
    <row r="2040">
      <c r="A2040" s="24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5" t="n">
        <v>0.034891</v>
      </c>
    </row>
    <row r="2041">
      <c r="A2041" s="24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5" t="n">
        <v>0.027544</v>
      </c>
    </row>
    <row r="2042">
      <c r="A2042" s="24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5" t="n">
        <v>0.054254</v>
      </c>
    </row>
    <row r="2043">
      <c r="A2043" s="24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5" t="n">
        <v>0.044368</v>
      </c>
    </row>
    <row r="2044">
      <c r="A2044" s="24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5" t="n">
        <v>0.051116</v>
      </c>
    </row>
    <row r="2045">
      <c r="A2045" s="24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5" t="n">
        <v>0.066901</v>
      </c>
    </row>
    <row r="2046">
      <c r="A2046" s="24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5" t="n">
        <v>0.019235</v>
      </c>
    </row>
    <row r="2047">
      <c r="A2047" s="24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5" t="n">
        <v>0.014749</v>
      </c>
    </row>
    <row r="2048">
      <c r="A2048" s="24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5" t="n">
        <v>0.035326</v>
      </c>
    </row>
    <row r="2049">
      <c r="A2049" s="24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5" t="n">
        <v>0.018608</v>
      </c>
    </row>
    <row r="2050">
      <c r="A2050" s="24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5" t="n">
        <v>0.011841</v>
      </c>
    </row>
    <row r="2051">
      <c r="A2051" s="24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5" t="n">
        <v>0.010867</v>
      </c>
    </row>
    <row r="2052">
      <c r="A2052" s="24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5" t="n">
        <v>0.03088</v>
      </c>
    </row>
    <row r="2053">
      <c r="A2053" s="24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5" t="n">
        <v>0.02403</v>
      </c>
    </row>
    <row r="2054">
      <c r="A2054" s="24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5" t="n">
        <v>0.011224</v>
      </c>
    </row>
    <row r="2055">
      <c r="A2055" s="24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5" t="n">
        <v>0.007412</v>
      </c>
    </row>
    <row r="2056">
      <c r="A2056" s="24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5" t="n">
        <v>0.081676</v>
      </c>
    </row>
    <row r="2057">
      <c r="A2057" s="24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5" t="n">
        <v>0.036568</v>
      </c>
    </row>
    <row r="2058">
      <c r="A2058" s="24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5" t="n">
        <v>0.043043</v>
      </c>
    </row>
    <row r="2059">
      <c r="A2059" s="24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5" t="n">
        <v>0.020653</v>
      </c>
    </row>
    <row r="2060">
      <c r="A2060" s="24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5" t="n">
        <v>0.030666</v>
      </c>
    </row>
    <row r="2061">
      <c r="A2061" s="24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5" t="n">
        <v>0.01085</v>
      </c>
    </row>
    <row r="2062">
      <c r="A2062" s="24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5" t="n">
        <v>0.006959</v>
      </c>
    </row>
    <row r="2063">
      <c r="A2063" s="24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5" t="n">
        <v>0.021001</v>
      </c>
    </row>
    <row r="2064">
      <c r="A2064" s="24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5" t="n">
        <v>0.026964</v>
      </c>
    </row>
    <row r="2065">
      <c r="A2065" s="24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5" t="n">
        <v>0.020969</v>
      </c>
    </row>
    <row r="2066">
      <c r="A2066" s="24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5" t="n">
        <v>0.028094</v>
      </c>
    </row>
    <row r="2067">
      <c r="A2067" s="24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5" t="n">
        <v>0.028588</v>
      </c>
    </row>
    <row r="2068">
      <c r="A2068" s="24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5" t="n">
        <v>0.030409</v>
      </c>
    </row>
    <row r="2069">
      <c r="A2069" s="24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5" t="n">
        <v>0.012989</v>
      </c>
    </row>
    <row r="2070">
      <c r="A2070" s="24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5" t="n">
        <v>0.013154</v>
      </c>
    </row>
    <row r="2071">
      <c r="A2071" s="24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5" t="n">
        <v>0.012026</v>
      </c>
    </row>
    <row r="2072">
      <c r="A2072" s="24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5" t="n">
        <v>0.019141</v>
      </c>
    </row>
    <row r="2073">
      <c r="A2073" s="24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5" t="n">
        <v>0.014202</v>
      </c>
    </row>
    <row r="2074">
      <c r="A2074" s="24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5" t="n">
        <v>0.018063</v>
      </c>
    </row>
    <row r="2075">
      <c r="A2075" s="24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5" t="n">
        <v>0.00485</v>
      </c>
    </row>
    <row r="2076">
      <c r="A2076" s="24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5" t="n">
        <v>0.01551</v>
      </c>
    </row>
    <row r="2077">
      <c r="A2077" s="24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5" t="n">
        <v>0.017515</v>
      </c>
    </row>
    <row r="2078">
      <c r="A2078" s="24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5" t="n">
        <v>0.023471</v>
      </c>
    </row>
    <row r="2079">
      <c r="A2079" s="24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5" t="n">
        <v>0.005704</v>
      </c>
    </row>
    <row r="2080">
      <c r="A2080" s="24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5" t="n">
        <v>0.016105</v>
      </c>
    </row>
    <row r="2081">
      <c r="A2081" s="24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5" t="n">
        <v>0.019454</v>
      </c>
    </row>
    <row r="2082">
      <c r="A2082" s="24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5" t="n">
        <v>0.005077</v>
      </c>
    </row>
    <row r="2083">
      <c r="A2083" s="24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5" t="n">
        <v>0.03526</v>
      </c>
    </row>
    <row r="2084">
      <c r="A2084" s="24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5" t="n">
        <v>0.073032</v>
      </c>
    </row>
    <row r="2085">
      <c r="A2085" s="24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5" t="n">
        <v>0.098473</v>
      </c>
    </row>
    <row r="2086">
      <c r="A2086" s="24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5" t="n">
        <v>0.045864</v>
      </c>
    </row>
    <row r="2087">
      <c r="A2087" s="24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5" t="n">
        <v>0.080077</v>
      </c>
    </row>
    <row r="2088">
      <c r="A2088" s="24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5" t="n">
        <v>0.064206</v>
      </c>
    </row>
    <row r="2089">
      <c r="A2089" s="24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5" t="n">
        <v>0.035204</v>
      </c>
    </row>
    <row r="2090">
      <c r="A2090" s="24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5" t="n">
        <v>0.039915</v>
      </c>
    </row>
    <row r="2091">
      <c r="A2091" s="24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5" t="n">
        <v>0.227543</v>
      </c>
    </row>
    <row r="2092">
      <c r="A2092" s="24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5" t="n">
        <v>0.289344</v>
      </c>
    </row>
    <row r="2093">
      <c r="A2093" s="24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5" t="n">
        <v>0.381275</v>
      </c>
    </row>
    <row r="2094">
      <c r="A2094" s="24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5" t="n">
        <v>0.398842</v>
      </c>
    </row>
    <row r="2095">
      <c r="A2095" s="24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5" t="n">
        <v>0.284203</v>
      </c>
    </row>
    <row r="2096">
      <c r="A2096" s="24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5" t="n">
        <v>0.090849</v>
      </c>
    </row>
    <row r="2097">
      <c r="A2097" s="24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5" t="n">
        <v>0.052496</v>
      </c>
    </row>
    <row r="2098">
      <c r="A2098" s="24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5" t="n">
        <v>0.059564</v>
      </c>
    </row>
    <row r="2099">
      <c r="A2099" s="24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5" t="n">
        <v>0.022157</v>
      </c>
    </row>
    <row r="2100">
      <c r="A2100" s="24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5" t="n">
        <v>0.034951</v>
      </c>
    </row>
    <row r="2101">
      <c r="A2101" s="24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5" t="n">
        <v>0.03101</v>
      </c>
    </row>
    <row r="2102">
      <c r="A2102" s="24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5" t="n">
        <v>0.009672</v>
      </c>
    </row>
    <row r="2103">
      <c r="A2103" s="24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5" t="n">
        <v>0.007078</v>
      </c>
    </row>
    <row r="2104">
      <c r="A2104" s="24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5" t="n">
        <v>0.012813</v>
      </c>
    </row>
    <row r="2105">
      <c r="A2105" s="24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5" t="n">
        <v>0.002664</v>
      </c>
    </row>
    <row r="2106">
      <c r="A2106" s="24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5" t="n">
        <v>0.0013</v>
      </c>
    </row>
    <row r="2107">
      <c r="A2107" s="24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5" t="n">
        <v>0.000671</v>
      </c>
    </row>
    <row r="2108">
      <c r="A2108" s="24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5" t="n">
        <v>0.000346</v>
      </c>
    </row>
    <row r="2109">
      <c r="A2109" s="24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5" t="n">
        <v>0.000179</v>
      </c>
    </row>
    <row r="2110">
      <c r="A2110" s="24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5" t="n">
        <v>9.2e-05</v>
      </c>
    </row>
    <row r="2111">
      <c r="A2111" s="24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5" t="n">
        <v>4.8e-05</v>
      </c>
    </row>
    <row r="2112">
      <c r="A2112" s="24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5" t="n">
        <v>2.5e-05</v>
      </c>
    </row>
    <row r="2113">
      <c r="A2113" s="24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5" t="n">
        <v>1.3e-05</v>
      </c>
    </row>
    <row r="2114">
      <c r="A2114" s="24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5" t="n">
        <v>0.010679</v>
      </c>
    </row>
    <row r="2115">
      <c r="A2115" s="24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5" t="n">
        <v>0.0288</v>
      </c>
    </row>
    <row r="2116">
      <c r="A2116" s="24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5" t="n">
        <v>0.013378</v>
      </c>
    </row>
    <row r="2117">
      <c r="A2117" s="24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5" t="n">
        <v>0.024804</v>
      </c>
    </row>
    <row r="2118">
      <c r="A2118" s="24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5" t="n">
        <v>0.034818</v>
      </c>
    </row>
    <row r="2119">
      <c r="A2119" s="24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5" t="n">
        <v>0.027953</v>
      </c>
    </row>
    <row r="2120">
      <c r="A2120" s="24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5" t="n">
        <v>0.019323</v>
      </c>
    </row>
    <row r="2121">
      <c r="A2121" s="24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5" t="n">
        <v>0.020283</v>
      </c>
    </row>
    <row r="2122">
      <c r="A2122" s="24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5" t="n">
        <v>0.029367</v>
      </c>
    </row>
    <row r="2123">
      <c r="A2123" s="24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5" t="n">
        <v>0.054921</v>
      </c>
    </row>
    <row r="2124">
      <c r="A2124" s="24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5" t="n">
        <v>0.067062</v>
      </c>
    </row>
    <row r="2125">
      <c r="A2125" s="24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5" t="n">
        <v>0.052704</v>
      </c>
    </row>
    <row r="2126">
      <c r="A2126" s="24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5" t="n">
        <v>0.025468</v>
      </c>
    </row>
    <row r="2127">
      <c r="A2127" s="24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5" t="n">
        <v>0.025144</v>
      </c>
    </row>
    <row r="2128">
      <c r="A2128" s="24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5" t="n">
        <v>0.055966</v>
      </c>
    </row>
    <row r="2129">
      <c r="A2129" s="24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5" t="n">
        <v>0.031518</v>
      </c>
    </row>
    <row r="2130">
      <c r="A2130" s="24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5" t="n">
        <v>0.033668</v>
      </c>
    </row>
    <row r="2131">
      <c r="A2131" s="24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5" t="n">
        <v>0.028775</v>
      </c>
    </row>
    <row r="2132">
      <c r="A2132" s="24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5" t="n">
        <v>0.07258000000000001</v>
      </c>
    </row>
    <row r="2133">
      <c r="A2133" s="24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5" t="n">
        <v>0.032733</v>
      </c>
    </row>
    <row r="2134">
      <c r="A2134" s="24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5" t="n">
        <v>0.036802</v>
      </c>
    </row>
    <row r="2135">
      <c r="A2135" s="24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5" t="n">
        <v>0.020294</v>
      </c>
    </row>
    <row r="2136">
      <c r="A2136" s="24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5" t="n">
        <v>0.008625000000000001</v>
      </c>
    </row>
    <row r="2137">
      <c r="A2137" s="24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5" t="n">
        <v>0.003263</v>
      </c>
    </row>
    <row r="2138">
      <c r="A2138" s="24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5" t="n">
        <v>0.001663</v>
      </c>
    </row>
    <row r="2139">
      <c r="A2139" s="24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5" t="n">
        <v>0.000858</v>
      </c>
    </row>
    <row r="2140">
      <c r="A2140" s="24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5" t="n">
        <v>0.000443</v>
      </c>
    </row>
    <row r="2141">
      <c r="A2141" s="24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5" t="n">
        <v>0.000229</v>
      </c>
    </row>
    <row r="2142">
      <c r="A2142" s="24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5" t="n">
        <v>0.000118</v>
      </c>
    </row>
    <row r="2143">
      <c r="A2143" s="24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5" t="n">
        <v>6.1e-05</v>
      </c>
    </row>
    <row r="2144">
      <c r="A2144" s="24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5" t="n">
        <v>3.1e-05</v>
      </c>
    </row>
    <row r="2145">
      <c r="A2145" s="24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5" t="n">
        <v>1.6e-05</v>
      </c>
    </row>
    <row r="2146">
      <c r="A2146" s="24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5" t="n">
        <v>8e-06</v>
      </c>
    </row>
    <row r="2147">
      <c r="A2147" s="24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5" t="n">
        <v>4e-06</v>
      </c>
    </row>
    <row r="2148">
      <c r="A2148" s="24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5" t="n">
        <v>0.013724</v>
      </c>
    </row>
    <row r="2149">
      <c r="A2149" s="24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5" t="n">
        <v>0.019105</v>
      </c>
    </row>
    <row r="2150">
      <c r="A2150" s="24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5" t="n">
        <v>0.040054</v>
      </c>
    </row>
    <row r="2151">
      <c r="A2151" s="24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5" t="n">
        <v>0.02408</v>
      </c>
    </row>
    <row r="2152">
      <c r="A2152" s="24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5" t="n">
        <v>0.071227</v>
      </c>
    </row>
    <row r="2153">
      <c r="A2153" s="24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5" t="n">
        <v>0.03623</v>
      </c>
    </row>
    <row r="2154">
      <c r="A2154" s="24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5" t="n">
        <v>0.081052</v>
      </c>
    </row>
    <row r="2155">
      <c r="A2155" s="24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5" t="n">
        <v>0.123139</v>
      </c>
    </row>
    <row r="2156">
      <c r="A2156" s="24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5" t="n">
        <v>0.13228</v>
      </c>
    </row>
    <row r="2157">
      <c r="A2157" s="24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5" t="n">
        <v>0.096885</v>
      </c>
    </row>
    <row r="2158">
      <c r="A2158" s="24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5" t="n">
        <v>0.113077</v>
      </c>
    </row>
    <row r="2159">
      <c r="A2159" s="24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5" t="n">
        <v>0.08137900000000001</v>
      </c>
    </row>
    <row r="2160">
      <c r="A2160" s="24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5" t="n">
        <v>0.04674</v>
      </c>
    </row>
    <row r="2161">
      <c r="A2161" s="24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5" t="n">
        <v>0.02134</v>
      </c>
    </row>
    <row r="2162">
      <c r="A2162" s="24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5" t="n">
        <v>0.040992</v>
      </c>
    </row>
    <row r="2163">
      <c r="A2163" s="24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5" t="n">
        <v>0.015341</v>
      </c>
    </row>
    <row r="2164">
      <c r="A2164" s="24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5" t="n">
        <v>0.005986</v>
      </c>
    </row>
    <row r="2165">
      <c r="A2165" s="24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5" t="n">
        <v>0.030074</v>
      </c>
    </row>
    <row r="2166">
      <c r="A2166" s="24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5" t="n">
        <v>0.024301</v>
      </c>
    </row>
    <row r="2167">
      <c r="A2167" s="24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5" t="n">
        <v>0.020634</v>
      </c>
    </row>
    <row r="2168">
      <c r="A2168" s="24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5" t="n">
        <v>0.015577</v>
      </c>
    </row>
    <row r="2169">
      <c r="A2169" s="24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5" t="n">
        <v>0.004258</v>
      </c>
    </row>
    <row r="2170">
      <c r="A2170" s="24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5" t="n">
        <v>0.002025</v>
      </c>
    </row>
    <row r="2171">
      <c r="A2171" s="24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5" t="n">
        <v>0.00259</v>
      </c>
    </row>
    <row r="2172">
      <c r="A2172" s="24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5" t="n">
        <v>0.001842</v>
      </c>
    </row>
    <row r="2173">
      <c r="A2173" s="24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5" t="n">
        <v>0.004076</v>
      </c>
    </row>
    <row r="2174">
      <c r="A2174" s="24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5" t="n">
        <v>0.004469</v>
      </c>
    </row>
    <row r="2175">
      <c r="A2175" s="24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5" t="n">
        <v>0.006771</v>
      </c>
    </row>
    <row r="2176">
      <c r="A2176" s="24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5" t="n">
        <v>0.015683</v>
      </c>
    </row>
    <row r="2177">
      <c r="A2177" s="24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5" t="n">
        <v>0.017636</v>
      </c>
    </row>
    <row r="2178">
      <c r="A2178" s="24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5" t="n">
        <v>0.008363000000000001</v>
      </c>
    </row>
    <row r="2179">
      <c r="A2179" s="24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5" t="n">
        <v>0.014264</v>
      </c>
    </row>
    <row r="2180">
      <c r="A2180" s="24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5" t="n">
        <v>0.014674</v>
      </c>
    </row>
    <row r="2181">
      <c r="A2181" s="24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5" t="n">
        <v>0.02926</v>
      </c>
    </row>
    <row r="2182">
      <c r="A2182" s="24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5" t="n">
        <v>0.011857</v>
      </c>
    </row>
    <row r="2183">
      <c r="A2183" s="24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5" t="n">
        <v>0.01591</v>
      </c>
    </row>
    <row r="2184">
      <c r="A2184" s="24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5" t="n">
        <v>0.020318</v>
      </c>
    </row>
    <row r="2185">
      <c r="A2185" s="24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5" t="n">
        <v>0.033715</v>
      </c>
    </row>
    <row r="2186">
      <c r="A2186" s="24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5" t="n">
        <v>0.052528</v>
      </c>
    </row>
    <row r="2187">
      <c r="A2187" s="24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5" t="n">
        <v>0.03559</v>
      </c>
    </row>
    <row r="2188">
      <c r="A2188" s="24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5" t="n">
        <v>0.033005</v>
      </c>
    </row>
    <row r="2189">
      <c r="A2189" s="24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5" t="n">
        <v>0.050765</v>
      </c>
    </row>
    <row r="2190">
      <c r="A2190" s="24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5" t="n">
        <v>0.02357</v>
      </c>
    </row>
    <row r="2191">
      <c r="A2191" s="24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5" t="n">
        <v>0.02585</v>
      </c>
    </row>
    <row r="2192">
      <c r="A2192" s="24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5" t="n">
        <v>0.086088</v>
      </c>
    </row>
    <row r="2193">
      <c r="A2193" s="24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5" t="n">
        <v>0.07009600000000001</v>
      </c>
    </row>
    <row r="2194">
      <c r="A2194" s="24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5" t="n">
        <v>0.341534</v>
      </c>
    </row>
    <row r="2195">
      <c r="A2195" s="24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5" t="n">
        <v>0.109389</v>
      </c>
    </row>
    <row r="2196">
      <c r="A2196" s="24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5" t="n">
        <v>0.23314</v>
      </c>
    </row>
    <row r="2197">
      <c r="A2197" s="24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5" t="n">
        <v>0.372182</v>
      </c>
    </row>
    <row r="2198">
      <c r="A2198" s="24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5" t="n">
        <v>0.260493</v>
      </c>
    </row>
    <row r="2199">
      <c r="A2199" s="24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5" t="n">
        <v>0.14622</v>
      </c>
    </row>
    <row r="2200">
      <c r="A2200" s="24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5" t="n">
        <v>0.110487</v>
      </c>
    </row>
    <row r="2201">
      <c r="A2201" s="24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5" t="n">
        <v>0.059946</v>
      </c>
    </row>
    <row r="2202">
      <c r="A2202" s="24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5" t="n">
        <v>0.039596</v>
      </c>
    </row>
    <row r="2203">
      <c r="A2203" s="24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5" t="n">
        <v>0.034221</v>
      </c>
    </row>
    <row r="2204">
      <c r="A2204" s="24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5" t="n">
        <v>0.036834</v>
      </c>
    </row>
    <row r="2205">
      <c r="A2205" s="24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5" t="n">
        <v>0.019354</v>
      </c>
    </row>
    <row r="2206">
      <c r="A2206" s="24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5" t="n">
        <v>0.021133</v>
      </c>
    </row>
    <row r="2207">
      <c r="A2207" s="24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5" t="n">
        <v>0.010061</v>
      </c>
    </row>
    <row r="2208">
      <c r="A2208" s="24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5" t="n">
        <v>0.013399</v>
      </c>
    </row>
    <row r="2209">
      <c r="A2209" s="24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5" t="n">
        <v>0.013451</v>
      </c>
    </row>
    <row r="2210">
      <c r="A2210" s="24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5" t="n">
        <v>0.014575</v>
      </c>
    </row>
    <row r="2211">
      <c r="A2211" s="24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5" t="n">
        <v>0.011605</v>
      </c>
    </row>
    <row r="2212">
      <c r="A2212" s="24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5" t="n">
        <v>0.008822</v>
      </c>
    </row>
    <row r="2213">
      <c r="A2213" s="24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5" t="n">
        <v>0.005229</v>
      </c>
    </row>
    <row r="2214">
      <c r="A2214" s="24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5" t="n">
        <v>0.051008</v>
      </c>
    </row>
    <row r="2215">
      <c r="A2215" s="24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5" t="n">
        <v>0.032327</v>
      </c>
    </row>
    <row r="2216">
      <c r="A2216" s="24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5" t="n">
        <v>0.015553</v>
      </c>
    </row>
    <row r="2217">
      <c r="A2217" s="24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5" t="n">
        <v>0.015606</v>
      </c>
    </row>
    <row r="2218">
      <c r="A2218" s="24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5" t="n">
        <v>0.017244</v>
      </c>
    </row>
    <row r="2219">
      <c r="A2219" s="24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5" t="n">
        <v>0.029849</v>
      </c>
    </row>
    <row r="2220">
      <c r="A2220" s="24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5" t="n">
        <v>0.066025</v>
      </c>
    </row>
    <row r="2221">
      <c r="A2221" s="24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5" t="n">
        <v>0.025994</v>
      </c>
    </row>
    <row r="2222">
      <c r="A2222" s="24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5" t="n">
        <v>0.035159</v>
      </c>
    </row>
    <row r="2223">
      <c r="A2223" s="24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5" t="n">
        <v>0.067341</v>
      </c>
    </row>
    <row r="2224">
      <c r="A2224" s="24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5" t="n">
        <v>0.050114</v>
      </c>
    </row>
    <row r="2225">
      <c r="A2225" s="24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5" t="n">
        <v>0.083617</v>
      </c>
    </row>
    <row r="2226">
      <c r="A2226" s="24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5" t="n">
        <v>0.057569</v>
      </c>
    </row>
    <row r="2227">
      <c r="A2227" s="24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5" t="n">
        <v>0.118955</v>
      </c>
    </row>
    <row r="2228">
      <c r="A2228" s="24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5" t="n">
        <v>0.10002</v>
      </c>
    </row>
    <row r="2229">
      <c r="A2229" s="24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5" t="n">
        <v>0.084605</v>
      </c>
    </row>
    <row r="2230">
      <c r="A2230" s="24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5" t="n">
        <v>0.034033</v>
      </c>
    </row>
    <row r="2231">
      <c r="A2231" s="24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5" t="n">
        <v>0.032958</v>
      </c>
    </row>
    <row r="2232">
      <c r="A2232" s="24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5" t="n">
        <v>0.0438</v>
      </c>
    </row>
    <row r="2233">
      <c r="A2233" s="24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5" t="n">
        <v>0.035132</v>
      </c>
    </row>
    <row r="2234">
      <c r="A2234" s="24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5" t="n">
        <v>0.033416</v>
      </c>
    </row>
    <row r="2235">
      <c r="A2235" s="24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5" t="n">
        <v>0.023098</v>
      </c>
    </row>
    <row r="2236">
      <c r="A2236" s="24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5" t="n">
        <v>0.127947</v>
      </c>
    </row>
    <row r="2237">
      <c r="A2237" s="24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5" t="n">
        <v>0.030718</v>
      </c>
    </row>
    <row r="2238">
      <c r="A2238" s="24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5" t="n">
        <v>0.091435</v>
      </c>
    </row>
    <row r="2239">
      <c r="A2239" s="24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5" t="n">
        <v>0.043154</v>
      </c>
    </row>
    <row r="2240">
      <c r="A2240" s="24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5" t="n">
        <v>0.023105</v>
      </c>
    </row>
    <row r="2241">
      <c r="A2241" s="24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5" t="n">
        <v>0.032745</v>
      </c>
    </row>
    <row r="2242">
      <c r="A2242" s="24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5" t="n">
        <v>0.013478</v>
      </c>
    </row>
    <row r="2243">
      <c r="A2243" s="24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5" t="n">
        <v>0.01498</v>
      </c>
    </row>
    <row r="2244">
      <c r="A2244" s="24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5" t="n">
        <v>0.089185</v>
      </c>
    </row>
    <row r="2245">
      <c r="A2245" s="24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5" t="n">
        <v>0.149</v>
      </c>
    </row>
    <row r="2246">
      <c r="A2246" s="24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5" t="n">
        <v>0.057362</v>
      </c>
    </row>
    <row r="2247">
      <c r="A2247" s="24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5" t="n">
        <v>0.0398</v>
      </c>
    </row>
    <row r="2248">
      <c r="A2248" s="24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5" t="n">
        <v>0.049882</v>
      </c>
    </row>
    <row r="2249">
      <c r="A2249" s="24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5" t="n">
        <v>0.034259</v>
      </c>
    </row>
    <row r="2250">
      <c r="A2250" s="24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5" t="n">
        <v>0.063511</v>
      </c>
    </row>
    <row r="2251">
      <c r="A2251" s="24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5" t="n">
        <v>0.026438</v>
      </c>
    </row>
    <row r="2252">
      <c r="A2252" s="24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5" t="n">
        <v>0.047098</v>
      </c>
    </row>
    <row r="2253">
      <c r="A2253" s="24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5" t="n">
        <v>0.019579</v>
      </c>
    </row>
    <row r="2254">
      <c r="A2254" s="24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5" t="n">
        <v>0.015829</v>
      </c>
    </row>
    <row r="2255">
      <c r="A2255" s="24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5" t="n">
        <v>0.024208</v>
      </c>
    </row>
    <row r="2256">
      <c r="A2256" s="24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5" t="n">
        <v>0.030909</v>
      </c>
    </row>
    <row r="2257">
      <c r="A2257" s="24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5" t="n">
        <v>0.029061</v>
      </c>
    </row>
    <row r="2258">
      <c r="A2258" s="24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5" t="n">
        <v>0.045337</v>
      </c>
    </row>
    <row r="2259">
      <c r="A2259" s="24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5" t="n">
        <v>0.034836</v>
      </c>
    </row>
    <row r="2260">
      <c r="A2260" s="24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5" t="n">
        <v>0.028804</v>
      </c>
    </row>
    <row r="2261">
      <c r="A2261" s="24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5" t="n">
        <v>0.025472</v>
      </c>
    </row>
    <row r="2262">
      <c r="A2262" s="24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5" t="n">
        <v>0.033357</v>
      </c>
    </row>
    <row r="2263">
      <c r="A2263" s="24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5" t="n">
        <v>0.046195</v>
      </c>
    </row>
    <row r="2264">
      <c r="A2264" s="24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5" t="n">
        <v>0.041117</v>
      </c>
    </row>
    <row r="2265">
      <c r="A2265" s="24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5" t="n">
        <v>0.338971</v>
      </c>
    </row>
    <row r="2266">
      <c r="A2266" s="24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5" t="n">
        <v>0.376835</v>
      </c>
    </row>
    <row r="2267">
      <c r="A2267" s="24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5" t="n">
        <v>0.352083</v>
      </c>
    </row>
    <row r="2268">
      <c r="A2268" s="24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5" t="n">
        <v>0.138426</v>
      </c>
    </row>
    <row r="2269">
      <c r="A2269" s="24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5" t="n">
        <v>0.164598</v>
      </c>
    </row>
    <row r="2270">
      <c r="A2270" s="24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5" t="n">
        <v>0.07248599999999999</v>
      </c>
    </row>
    <row r="2271">
      <c r="A2271" s="24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5" t="n">
        <v>0.03649</v>
      </c>
    </row>
    <row r="2272">
      <c r="A2272" s="24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5" t="n">
        <v>0.035487</v>
      </c>
    </row>
    <row r="2273">
      <c r="A2273" s="24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5" t="n">
        <v>0.217769</v>
      </c>
    </row>
    <row r="2274">
      <c r="A2274" s="24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5" t="n">
        <v>0.099811</v>
      </c>
    </row>
    <row r="2275">
      <c r="A2275" s="24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5" t="n">
        <v>0.187534</v>
      </c>
    </row>
    <row r="2276">
      <c r="A2276" s="24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5" t="n">
        <v>0.06515799999999999</v>
      </c>
    </row>
    <row r="2277">
      <c r="A2277" s="24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5" t="n">
        <v>0.288118</v>
      </c>
    </row>
    <row r="2278">
      <c r="A2278" s="24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5" t="n">
        <v>0.115738</v>
      </c>
    </row>
    <row r="2279">
      <c r="A2279" s="24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5" t="n">
        <v>0.07430200000000001</v>
      </c>
    </row>
    <row r="2280">
      <c r="A2280" s="24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5" t="n">
        <v>0.09066100000000001</v>
      </c>
    </row>
    <row r="2281">
      <c r="A2281" s="24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5" t="n">
        <v>0.126767</v>
      </c>
    </row>
    <row r="2282">
      <c r="A2282" s="24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5" t="n">
        <v>0.055786</v>
      </c>
    </row>
    <row r="2283">
      <c r="A2283" s="24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5" t="n">
        <v>0.038948</v>
      </c>
    </row>
    <row r="2284">
      <c r="A2284" s="24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5" t="n">
        <v>0.049296</v>
      </c>
    </row>
    <row r="2285">
      <c r="A2285" s="24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5" t="n">
        <v>0.205117</v>
      </c>
    </row>
    <row r="2286">
      <c r="A2286" s="24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5" t="n">
        <v>0.107683</v>
      </c>
    </row>
    <row r="2287">
      <c r="A2287" s="24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5" t="n">
        <v>0.097135</v>
      </c>
    </row>
    <row r="2288">
      <c r="A2288" s="24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5" t="n">
        <v>0.174148</v>
      </c>
    </row>
    <row r="2289">
      <c r="A2289" s="24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5" t="n">
        <v>0.232325</v>
      </c>
    </row>
    <row r="2290">
      <c r="A2290" s="24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5" t="n">
        <v>0.054152</v>
      </c>
    </row>
    <row r="2291">
      <c r="A2291" s="24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5" t="n">
        <v>0.043877</v>
      </c>
    </row>
    <row r="2292">
      <c r="A2292" s="24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5" t="n">
        <v>0.038544</v>
      </c>
    </row>
    <row r="2293">
      <c r="A2293" s="24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5" t="n">
        <v>0.125312</v>
      </c>
    </row>
    <row r="2294">
      <c r="A2294" s="24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5" t="n">
        <v>0.108375</v>
      </c>
    </row>
    <row r="2295">
      <c r="A2295" s="24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5" t="n">
        <v>0.077599</v>
      </c>
    </row>
    <row r="2296">
      <c r="A2296" s="24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5" t="n">
        <v>0.08218</v>
      </c>
    </row>
    <row r="2297">
      <c r="A2297" s="24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5" t="n">
        <v>0.102113</v>
      </c>
    </row>
    <row r="2298">
      <c r="A2298" s="24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5" t="n">
        <v>0.030403</v>
      </c>
    </row>
    <row r="2299">
      <c r="A2299" s="24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5" t="n">
        <v>0.066034</v>
      </c>
    </row>
    <row r="2300">
      <c r="A2300" s="24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5" t="n">
        <v>0.050314</v>
      </c>
    </row>
    <row r="2301">
      <c r="A2301" s="24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5" t="n">
        <v>0.25772</v>
      </c>
    </row>
    <row r="2302">
      <c r="A2302" s="24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5" t="n">
        <v>0.134216</v>
      </c>
    </row>
    <row r="2303">
      <c r="A2303" s="24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5" t="n">
        <v>0.07857599999999999</v>
      </c>
    </row>
    <row r="2304">
      <c r="A2304" s="24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5" t="n">
        <v>0.041933</v>
      </c>
    </row>
    <row r="2305">
      <c r="A2305" s="24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5" t="n">
        <v>0.136711</v>
      </c>
    </row>
    <row r="2306">
      <c r="A2306" s="24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5" t="n">
        <v>0.131373</v>
      </c>
    </row>
    <row r="2307">
      <c r="A2307" s="24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5" t="n">
        <v>0.353451</v>
      </c>
    </row>
    <row r="2308">
      <c r="A2308" s="24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5" t="n">
        <v>0.22243</v>
      </c>
    </row>
    <row r="2309">
      <c r="A2309" s="24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5" t="n">
        <v>0.262225</v>
      </c>
    </row>
    <row r="2310">
      <c r="A2310" s="24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5" t="n">
        <v>0.336789</v>
      </c>
    </row>
    <row r="2311">
      <c r="A2311" s="24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5" t="n">
        <v>0.128377</v>
      </c>
    </row>
    <row r="2312">
      <c r="A2312" s="24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5" t="n">
        <v>0.31225</v>
      </c>
    </row>
    <row r="2313">
      <c r="A2313" s="24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5" t="n">
        <v>0.386149</v>
      </c>
    </row>
    <row r="2314">
      <c r="A2314" s="24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5" t="n">
        <v>0.383693</v>
      </c>
    </row>
    <row r="2315">
      <c r="A2315" s="24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5" t="n">
        <v>0.154924</v>
      </c>
    </row>
    <row r="2316">
      <c r="A2316" s="24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5" t="n">
        <v>0.15832</v>
      </c>
    </row>
    <row r="2317">
      <c r="A2317" s="24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5" t="n">
        <v>0.119226</v>
      </c>
    </row>
    <row r="2318">
      <c r="A2318" s="24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5" t="n">
        <v>0.106592</v>
      </c>
    </row>
    <row r="2319">
      <c r="A2319" s="24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5" t="n">
        <v>0.142689</v>
      </c>
    </row>
    <row r="2320">
      <c r="A2320" s="24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5" t="n">
        <v>0.295752</v>
      </c>
    </row>
    <row r="2321">
      <c r="A2321" s="24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5" t="n">
        <v>0.378427</v>
      </c>
    </row>
    <row r="2322">
      <c r="A2322" s="24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5" t="n">
        <v>0.405967</v>
      </c>
    </row>
    <row r="2323">
      <c r="A2323" s="24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5" t="n">
        <v>0.444283</v>
      </c>
    </row>
    <row r="2324">
      <c r="A2324" s="24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5" t="n">
        <v>0.437515</v>
      </c>
    </row>
    <row r="2325">
      <c r="A2325" s="24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5" t="n">
        <v>0.407059</v>
      </c>
    </row>
    <row r="2326">
      <c r="A2326" s="24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5" t="n">
        <v>0.406253</v>
      </c>
    </row>
    <row r="2327">
      <c r="A2327" s="24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5" t="n">
        <v>0.20184</v>
      </c>
    </row>
    <row r="2328">
      <c r="A2328" s="24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5" t="n">
        <v>0.066371</v>
      </c>
    </row>
    <row r="2329">
      <c r="A2329" s="24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5" t="n">
        <v>0.039592</v>
      </c>
    </row>
    <row r="2330">
      <c r="A2330" s="24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5" t="n">
        <v>0.028027</v>
      </c>
    </row>
    <row r="2331">
      <c r="A2331" s="24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5" t="n">
        <v>0.194605</v>
      </c>
    </row>
    <row r="2332">
      <c r="A2332" s="24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5" t="n">
        <v>0.059178</v>
      </c>
    </row>
    <row r="2333">
      <c r="A2333" s="24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5" t="n">
        <v>0.042931</v>
      </c>
    </row>
    <row r="2334">
      <c r="A2334" s="24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5" t="n">
        <v>0.048444</v>
      </c>
    </row>
    <row r="2335">
      <c r="A2335" s="24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5" t="n">
        <v>0.024832</v>
      </c>
    </row>
    <row r="2336">
      <c r="A2336" s="24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5" t="n">
        <v>0.040515</v>
      </c>
    </row>
    <row r="2337">
      <c r="A2337" s="24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5" t="n">
        <v>0.07997600000000001</v>
      </c>
    </row>
    <row r="2338">
      <c r="A2338" s="24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5" t="n">
        <v>0.09675</v>
      </c>
    </row>
    <row r="2339">
      <c r="A2339" s="24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5" t="n">
        <v>0.02704</v>
      </c>
    </row>
    <row r="2340">
      <c r="A2340" s="24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5" t="n">
        <v>0.035836</v>
      </c>
    </row>
    <row r="2341">
      <c r="A2341" s="24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5" t="n">
        <v>0.026072</v>
      </c>
    </row>
    <row r="2342">
      <c r="A2342" s="24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5" t="n">
        <v>0.033915</v>
      </c>
    </row>
    <row r="2343">
      <c r="A2343" s="24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5" t="n">
        <v>0.02292</v>
      </c>
    </row>
    <row r="2344">
      <c r="A2344" s="24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5" t="n">
        <v>0.015055</v>
      </c>
    </row>
    <row r="2345">
      <c r="A2345" s="24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5" t="n">
        <v>0.051447</v>
      </c>
    </row>
    <row r="2346">
      <c r="A2346" s="24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5" t="n">
        <v>0.170275</v>
      </c>
    </row>
    <row r="2347">
      <c r="A2347" s="24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5" t="n">
        <v>0.161177</v>
      </c>
    </row>
    <row r="2348">
      <c r="A2348" s="24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5" t="n">
        <v>0.115382</v>
      </c>
    </row>
    <row r="2349">
      <c r="A2349" s="24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5" t="n">
        <v>0.151712</v>
      </c>
    </row>
    <row r="2350">
      <c r="A2350" s="24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5" t="n">
        <v>0.07406600000000001</v>
      </c>
    </row>
    <row r="2351">
      <c r="A2351" s="24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5" t="n">
        <v>0.070782</v>
      </c>
    </row>
    <row r="2352">
      <c r="A2352" s="24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5" t="n">
        <v>0.056613</v>
      </c>
    </row>
    <row r="2353">
      <c r="A2353" s="24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5" t="n">
        <v>0.048196</v>
      </c>
    </row>
    <row r="2354">
      <c r="A2354" s="24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5" t="n">
        <v>0.128718</v>
      </c>
    </row>
    <row r="2355">
      <c r="A2355" s="24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5" t="n">
        <v>0.836506</v>
      </c>
    </row>
    <row r="2356">
      <c r="A2356" s="24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5" t="n">
        <v>1.357829</v>
      </c>
    </row>
    <row r="2357">
      <c r="A2357" s="24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5" t="n">
        <v>0.882755</v>
      </c>
    </row>
    <row r="2358">
      <c r="A2358" s="24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5" t="n">
        <v>0.404776</v>
      </c>
    </row>
    <row r="2359">
      <c r="A2359" s="24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5" t="n">
        <v>0.534076</v>
      </c>
    </row>
    <row r="2360">
      <c r="A2360" s="24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5" t="n">
        <v>0.584158</v>
      </c>
    </row>
    <row r="2361">
      <c r="A2361" s="24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5" t="n">
        <v>0.814476</v>
      </c>
    </row>
    <row r="2362">
      <c r="A2362" s="24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5" t="n">
        <v>0.763977</v>
      </c>
    </row>
    <row r="2363">
      <c r="A2363" s="24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5" t="n">
        <v>0.409601</v>
      </c>
    </row>
    <row r="2364">
      <c r="A2364" s="24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5" t="n">
        <v>0.408606</v>
      </c>
    </row>
    <row r="2365">
      <c r="A2365" s="24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5" t="n">
        <v>0.406968</v>
      </c>
    </row>
    <row r="2366">
      <c r="A2366" s="24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5" t="n">
        <v>0.13114</v>
      </c>
    </row>
    <row r="2367">
      <c r="A2367" s="24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5" t="n">
        <v>0.104197</v>
      </c>
    </row>
    <row r="2368">
      <c r="A2368" s="24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5" t="n">
        <v>0.043607</v>
      </c>
    </row>
    <row r="2369">
      <c r="A2369" s="24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5" t="n">
        <v>0.060084</v>
      </c>
    </row>
    <row r="2370">
      <c r="A2370" s="24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5" t="n">
        <v>0.1907</v>
      </c>
    </row>
    <row r="2371">
      <c r="A2371" s="24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5" t="n">
        <v>0.145236</v>
      </c>
    </row>
    <row r="2372">
      <c r="A2372" s="24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5" t="n">
        <v>0.053656</v>
      </c>
    </row>
    <row r="2373">
      <c r="A2373" s="24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5" t="n">
        <v>0.347769</v>
      </c>
    </row>
    <row r="2374">
      <c r="A2374" s="24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5" t="n">
        <v>1.107475</v>
      </c>
    </row>
    <row r="2375">
      <c r="A2375" s="24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5" t="n">
        <v>1.311674</v>
      </c>
    </row>
    <row r="2376">
      <c r="A2376" s="24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5" t="n">
        <v>0.592724</v>
      </c>
    </row>
    <row r="2377">
      <c r="A2377" s="24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5" t="n">
        <v>0.402036</v>
      </c>
    </row>
    <row r="2378">
      <c r="A2378" s="24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5" t="n">
        <v>0.3079</v>
      </c>
    </row>
    <row r="2379">
      <c r="A2379" s="24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5" t="n">
        <v>0.115857</v>
      </c>
    </row>
    <row r="2380">
      <c r="A2380" s="24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5" t="n">
        <v>0.090034</v>
      </c>
    </row>
    <row r="2381">
      <c r="A2381" s="24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5" t="n">
        <v>0.031125</v>
      </c>
    </row>
    <row r="2382">
      <c r="A2382" s="24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5" t="n">
        <v>0.020111</v>
      </c>
    </row>
    <row r="2383">
      <c r="A2383" s="24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5" t="n">
        <v>0.008285000000000001</v>
      </c>
    </row>
    <row r="2384">
      <c r="A2384" s="24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5" t="n">
        <v>0.004236</v>
      </c>
    </row>
    <row r="2385">
      <c r="A2385" s="24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5" t="n">
        <v>0.002187</v>
      </c>
    </row>
    <row r="2386">
      <c r="A2386" s="24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5" t="n">
        <v>0.085616</v>
      </c>
    </row>
    <row r="2387">
      <c r="A2387" s="24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5" t="n">
        <v>0.029669</v>
      </c>
    </row>
    <row r="2388">
      <c r="A2388" s="24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5" t="n">
        <v>0.022522</v>
      </c>
    </row>
    <row r="2389">
      <c r="A2389" s="24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5" t="n">
        <v>0.074556</v>
      </c>
    </row>
    <row r="2390">
      <c r="A2390" s="24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5" t="n">
        <v>0.145066</v>
      </c>
    </row>
    <row r="2391">
      <c r="A2391" s="24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5" t="n">
        <v>0.072922</v>
      </c>
    </row>
    <row r="2392">
      <c r="A2392" s="24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5" t="n">
        <v>0.033015</v>
      </c>
    </row>
    <row r="2393">
      <c r="A2393" s="24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5" t="n">
        <v>0.037611</v>
      </c>
    </row>
    <row r="2394">
      <c r="A2394" s="24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5" t="n">
        <v>0.073711</v>
      </c>
    </row>
    <row r="2395">
      <c r="A2395" s="24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5" t="n">
        <v>0.042407</v>
      </c>
    </row>
    <row r="2396">
      <c r="A2396" s="24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5" t="n">
        <v>0.035041</v>
      </c>
    </row>
    <row r="2397">
      <c r="A2397" s="24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5" t="n">
        <v>0.063502</v>
      </c>
    </row>
    <row r="2398">
      <c r="A2398" s="24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5" t="n">
        <v>0.053762</v>
      </c>
    </row>
    <row r="2399">
      <c r="A2399" s="24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5" t="n">
        <v>0.034691</v>
      </c>
    </row>
    <row r="2400">
      <c r="A2400" s="24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5" t="n">
        <v>0.092601</v>
      </c>
    </row>
    <row r="2401">
      <c r="A2401" s="24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5" t="n">
        <v>0.108879</v>
      </c>
    </row>
    <row r="2402">
      <c r="A2402" s="24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5" t="n">
        <v>0.09921199999999999</v>
      </c>
    </row>
    <row r="2403">
      <c r="A2403" s="24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5" t="n">
        <v>0.052069</v>
      </c>
    </row>
    <row r="2404">
      <c r="A2404" s="24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5" t="n">
        <v>0.068832</v>
      </c>
    </row>
    <row r="2405">
      <c r="A2405" s="24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5" t="n">
        <v>0.033582</v>
      </c>
    </row>
    <row r="2406">
      <c r="A2406" s="24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5" t="n">
        <v>0.07451199999999999</v>
      </c>
    </row>
    <row r="2407">
      <c r="A2407" s="24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5" t="n">
        <v>0.048028</v>
      </c>
    </row>
    <row r="2408">
      <c r="A2408" s="24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5" t="n">
        <v>0.041631</v>
      </c>
    </row>
    <row r="2409">
      <c r="A2409" s="24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5" t="n">
        <v>0.08949500000000001</v>
      </c>
    </row>
    <row r="2410">
      <c r="A2410" s="24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5" t="n">
        <v>0.09084</v>
      </c>
    </row>
    <row r="2411">
      <c r="A2411" s="24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5" t="n">
        <v>0.10889</v>
      </c>
    </row>
    <row r="2412">
      <c r="A2412" s="24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5" t="n">
        <v>0.078469</v>
      </c>
    </row>
    <row r="2413">
      <c r="A2413" s="24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5" t="n">
        <v>0.055204</v>
      </c>
    </row>
    <row r="2414">
      <c r="A2414" s="24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5" t="n">
        <v>0.058809</v>
      </c>
    </row>
    <row r="2415">
      <c r="A2415" s="24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5" t="n">
        <v>0.051578</v>
      </c>
    </row>
    <row r="2416">
      <c r="A2416" s="24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5" t="n">
        <v>0.152807</v>
      </c>
    </row>
    <row r="2417">
      <c r="A2417" s="24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5" t="n">
        <v>0.125281</v>
      </c>
    </row>
    <row r="2418">
      <c r="A2418" s="24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5" t="n">
        <v>0.071628</v>
      </c>
    </row>
    <row r="2419">
      <c r="A2419" s="24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5" t="n">
        <v>0.050428</v>
      </c>
    </row>
    <row r="2420">
      <c r="A2420" s="24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5" t="n">
        <v>0.040966</v>
      </c>
    </row>
    <row r="2421">
      <c r="A2421" s="24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5" t="n">
        <v>0.037328</v>
      </c>
    </row>
    <row r="2422">
      <c r="A2422" s="24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5" t="n">
        <v>0.033053</v>
      </c>
    </row>
    <row r="2423">
      <c r="A2423" s="24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5" t="n">
        <v>0.269225</v>
      </c>
    </row>
    <row r="2424">
      <c r="A2424" s="24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5" t="n">
        <v>0.370824</v>
      </c>
    </row>
    <row r="2425">
      <c r="A2425" s="24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5" t="n">
        <v>0.391587</v>
      </c>
    </row>
    <row r="2426">
      <c r="A2426" s="24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5" t="n">
        <v>0.171919</v>
      </c>
    </row>
    <row r="2427">
      <c r="A2427" s="24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5" t="n">
        <v>0.123238</v>
      </c>
    </row>
    <row r="2428">
      <c r="A2428" s="24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5" t="n">
        <v>0.061081</v>
      </c>
    </row>
    <row r="2429">
      <c r="A2429" s="24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5" t="n">
        <v>0.0682</v>
      </c>
    </row>
    <row r="2430">
      <c r="A2430" s="24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5" t="n">
        <v>0.08229499999999999</v>
      </c>
    </row>
    <row r="2431">
      <c r="A2431" s="24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5" t="n">
        <v>0.051823</v>
      </c>
    </row>
    <row r="2432">
      <c r="A2432" s="24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5" t="n">
        <v>0.033192</v>
      </c>
    </row>
    <row r="2433">
      <c r="A2433" s="24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5" t="n">
        <v>0.016237</v>
      </c>
    </row>
    <row r="2434">
      <c r="A2434" s="24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5" t="n">
        <v>0.244951</v>
      </c>
    </row>
    <row r="2435">
      <c r="A2435" s="24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5" t="n">
        <v>0.118646</v>
      </c>
    </row>
    <row r="2436">
      <c r="A2436" s="24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5" t="n">
        <v>0.04961</v>
      </c>
    </row>
    <row r="2437">
      <c r="A2437" s="24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5" t="n">
        <v>0.083754</v>
      </c>
    </row>
    <row r="2438">
      <c r="A2438" s="24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5" t="n">
        <v>0.351689</v>
      </c>
    </row>
    <row r="2439">
      <c r="A2439" s="24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5" t="n">
        <v>0.387283</v>
      </c>
    </row>
    <row r="2440">
      <c r="A2440" s="24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5" t="n">
        <v>0.395487</v>
      </c>
    </row>
    <row r="2441">
      <c r="A2441" s="24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5" t="n">
        <v>0.403925</v>
      </c>
    </row>
    <row r="2442">
      <c r="A2442" s="24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5" t="n">
        <v>0.409991</v>
      </c>
    </row>
    <row r="2443">
      <c r="A2443" s="24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5" t="n">
        <v>0.409802</v>
      </c>
    </row>
    <row r="2444">
      <c r="A2444" s="24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5" t="n">
        <v>0.302156</v>
      </c>
    </row>
    <row r="2445">
      <c r="A2445" s="24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5" t="n">
        <v>0.360695</v>
      </c>
    </row>
    <row r="2446">
      <c r="A2446" s="24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5" t="n">
        <v>0.08465300000000001</v>
      </c>
    </row>
    <row r="2447">
      <c r="A2447" s="24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5" t="n">
        <v>0.051149</v>
      </c>
    </row>
    <row r="2448">
      <c r="A2448" s="24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5" t="n">
        <v>0.08172599999999999</v>
      </c>
    </row>
    <row r="2449">
      <c r="A2449" s="24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5" t="n">
        <v>0.136224</v>
      </c>
    </row>
    <row r="2450">
      <c r="A2450" s="24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5" t="n">
        <v>0.034268</v>
      </c>
    </row>
    <row r="2451">
      <c r="A2451" s="24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5" t="n">
        <v>0.016782</v>
      </c>
    </row>
    <row r="2452">
      <c r="A2452" s="24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5" t="n">
        <v>0.083398</v>
      </c>
    </row>
    <row r="2453">
      <c r="A2453" s="24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5" t="n">
        <v>0.227575</v>
      </c>
    </row>
    <row r="2454">
      <c r="A2454" s="24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5" t="n">
        <v>0.084341</v>
      </c>
    </row>
    <row r="2455">
      <c r="A2455" s="24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5" t="n">
        <v>0.030209</v>
      </c>
    </row>
    <row r="2456">
      <c r="A2456" s="24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5" t="n">
        <v>0.217383</v>
      </c>
    </row>
    <row r="2457">
      <c r="A2457" s="24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5" t="n">
        <v>0.33481</v>
      </c>
    </row>
    <row r="2458">
      <c r="A2458" s="24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5" t="n">
        <v>0.525206</v>
      </c>
    </row>
    <row r="2459">
      <c r="A2459" s="24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5" t="n">
        <v>0.704929</v>
      </c>
    </row>
    <row r="2460">
      <c r="A2460" s="24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5" t="n">
        <v>0.567894</v>
      </c>
    </row>
    <row r="2461">
      <c r="A2461" s="24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5" t="n">
        <v>0.403005</v>
      </c>
    </row>
    <row r="2462">
      <c r="A2462" s="24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5" t="n">
        <v>0.345123</v>
      </c>
    </row>
    <row r="2463">
      <c r="A2463" s="24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5" t="n">
        <v>0.084194</v>
      </c>
    </row>
    <row r="2464">
      <c r="A2464" s="24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5" t="n">
        <v>0.041102</v>
      </c>
    </row>
    <row r="2465">
      <c r="A2465" s="24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5" t="n">
        <v>0.037121</v>
      </c>
    </row>
    <row r="2466">
      <c r="A2466" s="24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5" t="n">
        <v>0.06574099999999999</v>
      </c>
    </row>
    <row r="2467">
      <c r="A2467" s="24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5" t="n">
        <v>0.016927</v>
      </c>
    </row>
    <row r="2468">
      <c r="A2468" s="24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5" t="n">
        <v>0.017433</v>
      </c>
    </row>
    <row r="2469">
      <c r="A2469" s="24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5" t="n">
        <v>0.019019</v>
      </c>
    </row>
    <row r="2470">
      <c r="A2470" s="24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5" t="n">
        <v>0.01792</v>
      </c>
    </row>
    <row r="2471">
      <c r="A2471" s="24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5" t="n">
        <v>0.020093</v>
      </c>
    </row>
    <row r="2472">
      <c r="A2472" s="24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5" t="n">
        <v>0.035637</v>
      </c>
    </row>
    <row r="2473">
      <c r="A2473" s="24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5" t="n">
        <v>0.012827</v>
      </c>
    </row>
    <row r="2474">
      <c r="A2474" s="24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5" t="n">
        <v>0.014324</v>
      </c>
    </row>
    <row r="2475">
      <c r="A2475" s="24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5" t="n">
        <v>0.0188</v>
      </c>
    </row>
    <row r="2476">
      <c r="A2476" s="24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5" t="n">
        <v>0.061894</v>
      </c>
    </row>
    <row r="2477">
      <c r="A2477" s="24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5" t="n">
        <v>0.025023</v>
      </c>
    </row>
    <row r="2478">
      <c r="A2478" s="24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5" t="n">
        <v>0.013892</v>
      </c>
    </row>
    <row r="2479">
      <c r="A2479" s="24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5" t="n">
        <v>0.064662</v>
      </c>
    </row>
    <row r="2480">
      <c r="A2480" s="24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5" t="n">
        <v>0.024652</v>
      </c>
    </row>
    <row r="2481">
      <c r="A2481" s="24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5" t="n">
        <v>0.015282</v>
      </c>
    </row>
    <row r="2482">
      <c r="A2482" s="24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5" t="n">
        <v>0.111269</v>
      </c>
    </row>
    <row r="2483">
      <c r="A2483" s="24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5" t="n">
        <v>0.116036</v>
      </c>
    </row>
    <row r="2484">
      <c r="A2484" s="24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5" t="n">
        <v>0.121101</v>
      </c>
    </row>
    <row r="2485">
      <c r="A2485" s="24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5" t="n">
        <v>0.073229</v>
      </c>
    </row>
    <row r="2486">
      <c r="A2486" s="24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5" t="n">
        <v>0.038345</v>
      </c>
    </row>
    <row r="2487">
      <c r="A2487" s="24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5" t="n">
        <v>0.061506</v>
      </c>
    </row>
    <row r="2488">
      <c r="A2488" s="24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5" t="n">
        <v>0.344821</v>
      </c>
    </row>
    <row r="2489">
      <c r="A2489" s="24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5" t="n">
        <v>0.381658</v>
      </c>
    </row>
    <row r="2490">
      <c r="A2490" s="24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5" t="n">
        <v>0.391834</v>
      </c>
    </row>
    <row r="2491">
      <c r="A2491" s="24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5" t="n">
        <v>0.163697</v>
      </c>
    </row>
    <row r="2492">
      <c r="A2492" s="24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5" t="n">
        <v>0.078053</v>
      </c>
    </row>
    <row r="2493">
      <c r="A2493" s="24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5" t="n">
        <v>0.09306300000000001</v>
      </c>
    </row>
    <row r="2494">
      <c r="A2494" s="24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5" t="n">
        <v>0.268385</v>
      </c>
    </row>
    <row r="2495">
      <c r="A2495" s="24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5" t="n">
        <v>0.296816</v>
      </c>
    </row>
    <row r="2496">
      <c r="A2496" s="24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5" t="n">
        <v>0.249713</v>
      </c>
    </row>
    <row r="2497">
      <c r="A2497" s="24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5" t="n">
        <v>0.07264900000000001</v>
      </c>
    </row>
    <row r="2498">
      <c r="A2498" s="24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5" t="n">
        <v>0.050345</v>
      </c>
    </row>
    <row r="2499">
      <c r="A2499" s="24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5" t="n">
        <v>0.347918</v>
      </c>
    </row>
    <row r="2500">
      <c r="A2500" s="24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5" t="n">
        <v>0.340578</v>
      </c>
    </row>
    <row r="2501">
      <c r="A2501" s="24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5" t="n">
        <v>0.09038499999999999</v>
      </c>
    </row>
    <row r="2502">
      <c r="A2502" s="24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5" t="n">
        <v>0.087062</v>
      </c>
    </row>
    <row r="2503">
      <c r="A2503" s="24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5" t="n">
        <v>0.080023</v>
      </c>
    </row>
    <row r="2504">
      <c r="A2504" s="24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5" t="n">
        <v>0.064835</v>
      </c>
    </row>
    <row r="2505">
      <c r="A2505" s="24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5" t="n">
        <v>0.022195</v>
      </c>
    </row>
    <row r="2506">
      <c r="A2506" s="24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5" t="n">
        <v>0.070468</v>
      </c>
    </row>
    <row r="2507">
      <c r="A2507" s="24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5" t="n">
        <v>0.038162</v>
      </c>
    </row>
    <row r="2508">
      <c r="A2508" s="24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5" t="n">
        <v>0.046199</v>
      </c>
    </row>
    <row r="2509">
      <c r="A2509" s="24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5" t="n">
        <v>0.026021</v>
      </c>
    </row>
    <row r="2510">
      <c r="A2510" s="24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5" t="n">
        <v>0.016571</v>
      </c>
    </row>
    <row r="2511">
      <c r="A2511" s="24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5" t="n">
        <v>0.043996</v>
      </c>
    </row>
    <row r="2512">
      <c r="A2512" s="24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5" t="n">
        <v>0.042678</v>
      </c>
    </row>
    <row r="2513">
      <c r="A2513" s="24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5" t="n">
        <v>0.152401</v>
      </c>
    </row>
    <row r="2514">
      <c r="A2514" s="24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5" t="n">
        <v>0.051438</v>
      </c>
    </row>
    <row r="2515">
      <c r="A2515" s="24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5" t="n">
        <v>0.04909</v>
      </c>
    </row>
    <row r="2516">
      <c r="A2516" s="24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5" t="n">
        <v>0.023352</v>
      </c>
    </row>
    <row r="2517">
      <c r="A2517" s="24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5" t="n">
        <v>0.013514</v>
      </c>
    </row>
    <row r="2518">
      <c r="A2518" s="24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5" t="n">
        <v>0.021308</v>
      </c>
    </row>
    <row r="2519">
      <c r="A2519" s="24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5" t="n">
        <v>0.056997</v>
      </c>
    </row>
    <row r="2520">
      <c r="A2520" s="24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5" t="n">
        <v>0.056717</v>
      </c>
    </row>
    <row r="2521">
      <c r="A2521" s="24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5" t="n">
        <v>0.029991</v>
      </c>
    </row>
    <row r="2522">
      <c r="A2522" s="24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5" t="n">
        <v>0.101108</v>
      </c>
    </row>
    <row r="2523">
      <c r="A2523" s="24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5" t="n">
        <v>0.127472</v>
      </c>
    </row>
    <row r="2524">
      <c r="A2524" s="24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5" t="n">
        <v>0.113767</v>
      </c>
    </row>
    <row r="2525">
      <c r="A2525" s="24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5" t="n">
        <v>0.046705</v>
      </c>
    </row>
    <row r="2526">
      <c r="A2526" s="24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5" t="n">
        <v>0.074349</v>
      </c>
    </row>
    <row r="2527">
      <c r="A2527" s="24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5" t="n">
        <v>0.055901</v>
      </c>
    </row>
    <row r="2528">
      <c r="A2528" s="24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5" t="n">
        <v>0.044191</v>
      </c>
    </row>
    <row r="2529">
      <c r="A2529" s="24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5" t="n">
        <v>0.05922</v>
      </c>
    </row>
    <row r="2530">
      <c r="A2530" s="24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5" t="n">
        <v>0.040564</v>
      </c>
    </row>
    <row r="2531">
      <c r="A2531" s="24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5" t="n">
        <v>0.028007</v>
      </c>
    </row>
    <row r="2532">
      <c r="A2532" s="24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5" t="n">
        <v>0.01389</v>
      </c>
    </row>
    <row r="2533">
      <c r="A2533" s="24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5" t="n">
        <v>0.012005</v>
      </c>
    </row>
    <row r="2534">
      <c r="A2534" s="24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5" t="n">
        <v>0.010228</v>
      </c>
    </row>
    <row r="2535">
      <c r="A2535" s="24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5" t="n">
        <v>0.006651</v>
      </c>
    </row>
    <row r="2536">
      <c r="A2536" s="24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5" t="n">
        <v>0.011267</v>
      </c>
    </row>
    <row r="2537">
      <c r="A2537" s="24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5" t="n">
        <v>0.037788</v>
      </c>
    </row>
    <row r="2538">
      <c r="A2538" s="24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5" t="n">
        <v>0.042984</v>
      </c>
    </row>
    <row r="2539">
      <c r="A2539" s="24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5" t="n">
        <v>0.021793</v>
      </c>
    </row>
    <row r="2540">
      <c r="A2540" s="24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5" t="n">
        <v>0.052971</v>
      </c>
    </row>
    <row r="2541">
      <c r="A2541" s="24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5" t="n">
        <v>0.030669</v>
      </c>
    </row>
    <row r="2542">
      <c r="A2542" s="24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5" t="n">
        <v>0.037298</v>
      </c>
    </row>
    <row r="2543">
      <c r="A2543" s="24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5" t="n">
        <v>0.015886</v>
      </c>
    </row>
    <row r="2544">
      <c r="A2544" s="24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5" t="n">
        <v>0.010649</v>
      </c>
    </row>
    <row r="2545">
      <c r="A2545" s="24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5" t="n">
        <v>0.050093</v>
      </c>
    </row>
    <row r="2546">
      <c r="A2546" s="24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5" t="n">
        <v>0.111348</v>
      </c>
    </row>
    <row r="2547">
      <c r="A2547" s="24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5" t="n">
        <v>0.043804</v>
      </c>
    </row>
    <row r="2548">
      <c r="A2548" s="24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5" t="n">
        <v>0.045189</v>
      </c>
    </row>
    <row r="2549">
      <c r="A2549" s="24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5" t="n">
        <v>0.049475</v>
      </c>
    </row>
    <row r="2550">
      <c r="A2550" s="24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5" t="n">
        <v>0.046071</v>
      </c>
    </row>
    <row r="2551">
      <c r="A2551" s="24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5" t="n">
        <v>0.087422</v>
      </c>
    </row>
    <row r="2552">
      <c r="A2552" s="24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5" t="n">
        <v>0.086143</v>
      </c>
    </row>
    <row r="2553">
      <c r="A2553" s="24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5" t="n">
        <v>0.135103</v>
      </c>
    </row>
    <row r="2554">
      <c r="A2554" s="24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5" t="n">
        <v>0.169074</v>
      </c>
    </row>
    <row r="2555">
      <c r="A2555" s="24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5" t="n">
        <v>0.07166699999999999</v>
      </c>
    </row>
    <row r="2556">
      <c r="A2556" s="24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5" t="n">
        <v>0.036936</v>
      </c>
    </row>
    <row r="2557">
      <c r="A2557" s="24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5" t="n">
        <v>0.235571</v>
      </c>
    </row>
    <row r="2558">
      <c r="A2558" s="24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5" t="n">
        <v>0.067243</v>
      </c>
    </row>
    <row r="2559">
      <c r="A2559" s="24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5" t="n">
        <v>0.028704</v>
      </c>
    </row>
    <row r="2560">
      <c r="A2560" s="24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5" t="n">
        <v>0.034389</v>
      </c>
    </row>
    <row r="2561">
      <c r="A2561" s="24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5" t="n">
        <v>0.061976</v>
      </c>
    </row>
    <row r="2562">
      <c r="A2562" s="24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5" t="n">
        <v>0.296677</v>
      </c>
    </row>
    <row r="2563">
      <c r="A2563" s="24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5" t="n">
        <v>0.080515</v>
      </c>
    </row>
    <row r="2564">
      <c r="A2564" s="24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5" t="n">
        <v>0.122201</v>
      </c>
    </row>
    <row r="2565">
      <c r="A2565" s="24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5" t="n">
        <v>0.107563</v>
      </c>
    </row>
    <row r="2566">
      <c r="A2566" s="24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5" t="n">
        <v>0.18208</v>
      </c>
    </row>
    <row r="2567">
      <c r="A2567" s="24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5" t="n">
        <v>0.04761</v>
      </c>
    </row>
    <row r="2568">
      <c r="A2568" s="24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5" t="n">
        <v>0.040839</v>
      </c>
    </row>
    <row r="2569">
      <c r="A2569" s="24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5" t="n">
        <v>0.053496</v>
      </c>
    </row>
    <row r="2570">
      <c r="A2570" s="24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5" t="n">
        <v>0.026947</v>
      </c>
    </row>
    <row r="2571">
      <c r="A2571" s="24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5" t="n">
        <v>0.01799</v>
      </c>
    </row>
    <row r="2572">
      <c r="A2572" s="24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5" t="n">
        <v>0.013474</v>
      </c>
    </row>
    <row r="2573">
      <c r="A2573" s="24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5" t="n">
        <v>0.053454</v>
      </c>
    </row>
    <row r="2574">
      <c r="A2574" s="24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5" t="n">
        <v>0.016422</v>
      </c>
    </row>
    <row r="2575">
      <c r="A2575" s="24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5" t="n">
        <v>0.114988</v>
      </c>
    </row>
    <row r="2576">
      <c r="A2576" s="24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5" t="n">
        <v>0.022355</v>
      </c>
    </row>
    <row r="2577">
      <c r="A2577" s="24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5" t="n">
        <v>0.013937</v>
      </c>
    </row>
    <row r="2578">
      <c r="A2578" s="24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5" t="n">
        <v>0.011619</v>
      </c>
    </row>
    <row r="2579">
      <c r="A2579" s="24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5" t="n">
        <v>0.186305</v>
      </c>
    </row>
    <row r="2580">
      <c r="A2580" s="24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5" t="n">
        <v>0.125678</v>
      </c>
    </row>
    <row r="2581">
      <c r="A2581" s="24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5" t="n">
        <v>0.032648</v>
      </c>
    </row>
    <row r="2582">
      <c r="A2582" s="24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5" t="n">
        <v>0.030356</v>
      </c>
    </row>
    <row r="2583">
      <c r="A2583" s="24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5" t="n">
        <v>0.018632</v>
      </c>
    </row>
    <row r="2584">
      <c r="A2584" s="24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5" t="n">
        <v>0.028702</v>
      </c>
    </row>
    <row r="2585">
      <c r="A2585" s="24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5" t="n">
        <v>0.018847</v>
      </c>
    </row>
    <row r="2586">
      <c r="A2586" s="24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5" t="n">
        <v>0.027651</v>
      </c>
    </row>
    <row r="2587">
      <c r="A2587" s="24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5" t="n">
        <v>0.02365</v>
      </c>
    </row>
    <row r="2588">
      <c r="A2588" s="24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5" t="n">
        <v>0.02048</v>
      </c>
    </row>
    <row r="2589">
      <c r="A2589" s="24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5" t="n">
        <v>0.014204</v>
      </c>
    </row>
    <row r="2590">
      <c r="A2590" s="24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5" t="n">
        <v>0.104474</v>
      </c>
    </row>
    <row r="2591">
      <c r="A2591" s="24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5" t="n">
        <v>0.034901</v>
      </c>
    </row>
    <row r="2592">
      <c r="A2592" s="24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5" t="n">
        <v>0.024181</v>
      </c>
    </row>
    <row r="2593">
      <c r="A2593" s="24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5" t="n">
        <v>0.022909</v>
      </c>
    </row>
    <row r="2594">
      <c r="A2594" s="24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5" t="n">
        <v>0.044532</v>
      </c>
    </row>
    <row r="2595">
      <c r="A2595" s="24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5" t="n">
        <v>0.160391</v>
      </c>
    </row>
    <row r="2596">
      <c r="A2596" s="24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5" t="n">
        <v>0.229015</v>
      </c>
    </row>
    <row r="2597">
      <c r="A2597" s="24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5" t="n">
        <v>0.108266</v>
      </c>
    </row>
    <row r="2598">
      <c r="A2598" s="24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5" t="n">
        <v>0.051283</v>
      </c>
    </row>
    <row r="2599">
      <c r="A2599" s="24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5" t="n">
        <v>0.045889</v>
      </c>
    </row>
    <row r="2600">
      <c r="A2600" s="24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5" t="n">
        <v>0.106601</v>
      </c>
    </row>
    <row r="2601">
      <c r="A2601" s="24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5" t="n">
        <v>0.039913</v>
      </c>
    </row>
    <row r="2602">
      <c r="A2602" s="24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5" t="n">
        <v>0.041317</v>
      </c>
    </row>
    <row r="2603">
      <c r="A2603" s="24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5" t="n">
        <v>0.024226</v>
      </c>
    </row>
    <row r="2604">
      <c r="A2604" s="24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5" t="n">
        <v>0.220414</v>
      </c>
    </row>
    <row r="2605">
      <c r="A2605" s="24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5" t="n">
        <v>0.046605</v>
      </c>
    </row>
    <row r="2606">
      <c r="A2606" s="24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5" t="n">
        <v>0.036049</v>
      </c>
    </row>
    <row r="2607">
      <c r="A2607" s="24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5" t="n">
        <v>0.021394</v>
      </c>
    </row>
    <row r="2608">
      <c r="A2608" s="24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5" t="n">
        <v>0.035216</v>
      </c>
    </row>
    <row r="2609">
      <c r="A2609" s="24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5" t="n">
        <v>0.153905</v>
      </c>
    </row>
    <row r="2610">
      <c r="A2610" s="24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5" t="n">
        <v>0.10367</v>
      </c>
    </row>
    <row r="2611">
      <c r="A2611" s="24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5" t="n">
        <v>0.069124</v>
      </c>
    </row>
    <row r="2612">
      <c r="A2612" s="24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5" t="n">
        <v>0.09074699999999999</v>
      </c>
    </row>
    <row r="2613">
      <c r="A2613" s="24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5" t="n">
        <v>0.03311</v>
      </c>
    </row>
    <row r="2614">
      <c r="A2614" s="24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5" t="n">
        <v>0.019388</v>
      </c>
    </row>
    <row r="2615">
      <c r="A2615" s="24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5" t="n">
        <v>0.010379</v>
      </c>
    </row>
    <row r="2616">
      <c r="A2616" s="24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5" t="n">
        <v>0.013699</v>
      </c>
    </row>
    <row r="2617">
      <c r="A2617" s="24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5" t="n">
        <v>0.02741</v>
      </c>
    </row>
    <row r="2618">
      <c r="A2618" s="24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5" t="n">
        <v>0.029775</v>
      </c>
    </row>
    <row r="2619">
      <c r="A2619" s="24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5" t="n">
        <v>0.021275</v>
      </c>
    </row>
    <row r="2620">
      <c r="A2620" s="24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5" t="n">
        <v>0.026252</v>
      </c>
    </row>
    <row r="2621">
      <c r="A2621" s="24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5" t="n">
        <v>0.030384</v>
      </c>
    </row>
    <row r="2622">
      <c r="A2622" s="24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5" t="n">
        <v>0.03535</v>
      </c>
    </row>
    <row r="2623">
      <c r="A2623" s="24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5" t="n">
        <v>0.334499</v>
      </c>
    </row>
    <row r="2624">
      <c r="A2624" s="24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5" t="n">
        <v>0.177481</v>
      </c>
    </row>
    <row r="2625">
      <c r="A2625" s="24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5" t="n">
        <v>0.05</v>
      </c>
    </row>
    <row r="2626">
      <c r="A2626" s="24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5" t="n">
        <v>0.067577</v>
      </c>
    </row>
    <row r="2627">
      <c r="A2627" s="24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5" t="n">
        <v>0.217789</v>
      </c>
    </row>
    <row r="2628">
      <c r="A2628" s="24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5" t="n">
        <v>0.077905</v>
      </c>
    </row>
    <row r="2629">
      <c r="A2629" s="24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5" t="n">
        <v>0.06421499999999999</v>
      </c>
    </row>
    <row r="2630">
      <c r="A2630" s="24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5" t="n">
        <v>0.236505</v>
      </c>
    </row>
    <row r="2631">
      <c r="A2631" s="24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5" t="n">
        <v>0.101207</v>
      </c>
    </row>
    <row r="2632">
      <c r="A2632" s="24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5" t="n">
        <v>0.0456</v>
      </c>
    </row>
    <row r="2633">
      <c r="A2633" s="24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5" t="n">
        <v>0.075989</v>
      </c>
    </row>
    <row r="2634">
      <c r="A2634" s="24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5" t="n">
        <v>0.061004</v>
      </c>
    </row>
    <row r="2635">
      <c r="A2635" s="24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5" t="n">
        <v>0.028396</v>
      </c>
    </row>
    <row r="2636">
      <c r="A2636" s="24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5" t="n">
        <v>0.08914</v>
      </c>
    </row>
    <row r="2637">
      <c r="A2637" s="24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5" t="n">
        <v>0.124525</v>
      </c>
    </row>
    <row r="2638">
      <c r="A2638" s="24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5" t="n">
        <v>0.099956</v>
      </c>
    </row>
    <row r="2639">
      <c r="A2639" s="24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5" t="n">
        <v>0.038088</v>
      </c>
    </row>
    <row r="2640">
      <c r="A2640" s="24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5" t="n">
        <v>0.036145</v>
      </c>
    </row>
    <row r="2641">
      <c r="A2641" s="24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5" t="n">
        <v>0.06516</v>
      </c>
    </row>
    <row r="2642">
      <c r="A2642" s="24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5" t="n">
        <v>0.343341</v>
      </c>
    </row>
    <row r="2643">
      <c r="A2643" s="24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5" t="n">
        <v>0.378433</v>
      </c>
    </row>
    <row r="2644">
      <c r="A2644" s="24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5" t="n">
        <v>0.127603</v>
      </c>
    </row>
    <row r="2645">
      <c r="A2645" s="24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5" t="n">
        <v>0.257717</v>
      </c>
    </row>
    <row r="2646">
      <c r="A2646" s="24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5" t="n">
        <v>0.110587</v>
      </c>
    </row>
    <row r="2647">
      <c r="A2647" s="24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5" t="n">
        <v>0.11183</v>
      </c>
    </row>
    <row r="2648">
      <c r="A2648" s="24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5" t="n">
        <v>0.121842</v>
      </c>
    </row>
    <row r="2649">
      <c r="A2649" s="24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5" t="n">
        <v>0.26293</v>
      </c>
    </row>
    <row r="2650">
      <c r="A2650" s="24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5" t="n">
        <v>0.376716</v>
      </c>
    </row>
    <row r="2651">
      <c r="A2651" s="24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5" t="n">
        <v>0.394411</v>
      </c>
    </row>
    <row r="2652">
      <c r="A2652" s="24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5" t="n">
        <v>0.181392</v>
      </c>
    </row>
    <row r="2653">
      <c r="A2653" s="24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5" t="n">
        <v>0.207926</v>
      </c>
    </row>
    <row r="2654">
      <c r="A2654" s="24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5" t="n">
        <v>0.216367</v>
      </c>
    </row>
    <row r="2655">
      <c r="A2655" s="24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5" t="n">
        <v>0.09281</v>
      </c>
    </row>
    <row r="2656">
      <c r="A2656" s="24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5" t="n">
        <v>0.052483</v>
      </c>
    </row>
    <row r="2657">
      <c r="A2657" s="24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5" t="n">
        <v>0.225736</v>
      </c>
    </row>
    <row r="2658">
      <c r="A2658" s="24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5" t="n">
        <v>0.058561</v>
      </c>
    </row>
    <row r="2659">
      <c r="A2659" s="24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5" t="n">
        <v>0.063081</v>
      </c>
    </row>
    <row r="2660">
      <c r="A2660" s="24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5" t="n">
        <v>0.032562</v>
      </c>
    </row>
    <row r="2661">
      <c r="A2661" s="24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5" t="n">
        <v>0.068379</v>
      </c>
    </row>
    <row r="2662">
      <c r="A2662" s="24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5" t="n">
        <v>0.03577</v>
      </c>
    </row>
    <row r="2663">
      <c r="A2663" s="24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5" t="n">
        <v>0.025042</v>
      </c>
    </row>
    <row r="2664">
      <c r="A2664" s="24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5" t="n">
        <v>0.262517</v>
      </c>
    </row>
    <row r="2665">
      <c r="A2665" s="24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5" t="n">
        <v>0.187579</v>
      </c>
    </row>
    <row r="2666">
      <c r="A2666" s="24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5" t="n">
        <v>0.309649</v>
      </c>
    </row>
    <row r="2667">
      <c r="A2667" s="24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5" t="n">
        <v>0.266966</v>
      </c>
    </row>
    <row r="2668">
      <c r="A2668" s="24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5" t="n">
        <v>0.34799</v>
      </c>
    </row>
    <row r="2669">
      <c r="A2669" s="24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5" t="n">
        <v>0.091016</v>
      </c>
    </row>
    <row r="2670">
      <c r="A2670" s="24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5" t="n">
        <v>0.264991</v>
      </c>
    </row>
    <row r="2671">
      <c r="A2671" s="24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5" t="n">
        <v>0.074129</v>
      </c>
    </row>
    <row r="2672">
      <c r="A2672" s="24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5" t="n">
        <v>0.035175</v>
      </c>
    </row>
    <row r="2673">
      <c r="A2673" s="24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5" t="n">
        <v>0.021101</v>
      </c>
    </row>
    <row r="2674">
      <c r="A2674" s="24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5" t="n">
        <v>0.017151</v>
      </c>
    </row>
    <row r="2675">
      <c r="A2675" s="24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5" t="n">
        <v>0.018862</v>
      </c>
    </row>
    <row r="2676">
      <c r="A2676" s="24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5" t="n">
        <v>0.07446899999999999</v>
      </c>
    </row>
    <row r="2677">
      <c r="A2677" s="24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5" t="n">
        <v>0.12916</v>
      </c>
    </row>
    <row r="2678">
      <c r="A2678" s="24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5" t="n">
        <v>0.070634</v>
      </c>
    </row>
    <row r="2679">
      <c r="A2679" s="24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5" t="n">
        <v>0.164343</v>
      </c>
    </row>
    <row r="2680">
      <c r="A2680" s="24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5" t="n">
        <v>0.138187</v>
      </c>
    </row>
    <row r="2681">
      <c r="A2681" s="24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5" t="n">
        <v>0.049267</v>
      </c>
    </row>
    <row r="2682">
      <c r="A2682" s="24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5" t="n">
        <v>0.292847</v>
      </c>
    </row>
    <row r="2683">
      <c r="A2683" s="24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5" t="n">
        <v>0.189746</v>
      </c>
    </row>
    <row r="2684">
      <c r="A2684" s="24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5" t="n">
        <v>0.316251</v>
      </c>
    </row>
    <row r="2685">
      <c r="A2685" s="24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5" t="n">
        <v>0.313099</v>
      </c>
    </row>
    <row r="2686">
      <c r="A2686" s="24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5" t="n">
        <v>0.39546</v>
      </c>
    </row>
    <row r="2687">
      <c r="A2687" s="24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5" t="n">
        <v>0.403696</v>
      </c>
    </row>
    <row r="2688">
      <c r="A2688" s="24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5" t="n">
        <v>0.15865</v>
      </c>
    </row>
    <row r="2689">
      <c r="A2689" s="24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5" t="n">
        <v>0.067076</v>
      </c>
    </row>
    <row r="2690">
      <c r="A2690" s="24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5" t="n">
        <v>0.047983</v>
      </c>
    </row>
    <row r="2691">
      <c r="A2691" s="24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5" t="n">
        <v>0.03049</v>
      </c>
    </row>
    <row r="2692">
      <c r="A2692" s="24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5" t="n">
        <v>0.037538</v>
      </c>
    </row>
    <row r="2693">
      <c r="A2693" s="24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5" t="n">
        <v>0.15285</v>
      </c>
    </row>
    <row r="2694">
      <c r="A2694" s="24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5" t="n">
        <v>0.358737</v>
      </c>
    </row>
    <row r="2695">
      <c r="A2695" s="24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5" t="n">
        <v>0.390498</v>
      </c>
    </row>
    <row r="2696">
      <c r="A2696" s="24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5" t="n">
        <v>0.394993</v>
      </c>
    </row>
    <row r="2697">
      <c r="A2697" s="24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5" t="n">
        <v>0.402129</v>
      </c>
    </row>
    <row r="2698">
      <c r="A2698" s="24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5" t="n">
        <v>0.413724</v>
      </c>
    </row>
    <row r="2699">
      <c r="A2699" s="24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5" t="n">
        <v>0.415354</v>
      </c>
    </row>
    <row r="2700">
      <c r="A2700" s="24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5" t="n">
        <v>0.408391</v>
      </c>
    </row>
    <row r="2701">
      <c r="A2701" s="24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5" t="n">
        <v>0.205408</v>
      </c>
    </row>
    <row r="2702">
      <c r="A2702" s="24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5" t="n">
        <v>0.199647</v>
      </c>
    </row>
    <row r="2703">
      <c r="A2703" s="24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5" t="n">
        <v>0.123053</v>
      </c>
    </row>
    <row r="2704">
      <c r="A2704" s="24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5" t="n">
        <v>0.169424</v>
      </c>
    </row>
    <row r="2705">
      <c r="A2705" s="24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5" t="n">
        <v>0.044839</v>
      </c>
    </row>
    <row r="2706">
      <c r="A2706" s="24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5" t="n">
        <v>0.06883499999999999</v>
      </c>
    </row>
    <row r="2707">
      <c r="A2707" s="24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5" t="n">
        <v>0.103604</v>
      </c>
    </row>
    <row r="2708">
      <c r="A2708" s="24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5" t="n">
        <v>0.065708</v>
      </c>
    </row>
    <row r="2709">
      <c r="A2709" s="24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5" t="n">
        <v>0.134005</v>
      </c>
    </row>
    <row r="2710">
      <c r="A2710" s="24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5" t="n">
        <v>0.149496</v>
      </c>
    </row>
    <row r="2711">
      <c r="A2711" s="24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5" t="n">
        <v>0.223044</v>
      </c>
    </row>
    <row r="2712">
      <c r="A2712" s="24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5" t="n">
        <v>0.246232</v>
      </c>
    </row>
    <row r="2713">
      <c r="A2713" s="24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5" t="n">
        <v>0.112424</v>
      </c>
    </row>
    <row r="2714">
      <c r="A2714" s="24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5" t="n">
        <v>0.3595</v>
      </c>
    </row>
    <row r="2715">
      <c r="A2715" s="24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5" t="n">
        <v>0.395376</v>
      </c>
    </row>
    <row r="2716">
      <c r="A2716" s="24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5" t="n">
        <v>0.411088</v>
      </c>
    </row>
    <row r="2717">
      <c r="A2717" s="24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5" t="n">
        <v>0.408971</v>
      </c>
    </row>
    <row r="2718">
      <c r="A2718" s="24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5" t="n">
        <v>0.407946</v>
      </c>
    </row>
    <row r="2719">
      <c r="A2719" s="24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5" t="n">
        <v>0.409786</v>
      </c>
    </row>
    <row r="2720">
      <c r="A2720" s="24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5" t="n">
        <v>1.255955</v>
      </c>
    </row>
    <row r="2721">
      <c r="A2721" s="24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5" t="n">
        <v>2.139907</v>
      </c>
    </row>
    <row r="2722">
      <c r="A2722" s="24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5" t="n">
        <v>1.292521</v>
      </c>
    </row>
    <row r="2723">
      <c r="A2723" s="24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5" t="n">
        <v>0.726791</v>
      </c>
    </row>
    <row r="2724">
      <c r="A2724" s="24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5" t="n">
        <v>0.805975</v>
      </c>
    </row>
    <row r="2725">
      <c r="A2725" s="24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5" t="n">
        <v>0.557989</v>
      </c>
    </row>
    <row r="2726">
      <c r="A2726" s="24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5" t="n">
        <v>0.936761</v>
      </c>
    </row>
    <row r="2727">
      <c r="A2727" s="24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5" t="n">
        <v>0.871613</v>
      </c>
    </row>
    <row r="2728">
      <c r="A2728" s="24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5" t="n">
        <v>0.413045</v>
      </c>
    </row>
    <row r="2729">
      <c r="A2729" s="24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5" t="n">
        <v>0.40632</v>
      </c>
    </row>
    <row r="2730">
      <c r="A2730" s="24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5" t="n">
        <v>0.293398</v>
      </c>
    </row>
    <row r="2731">
      <c r="A2731" s="24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5" t="n">
        <v>0.093613</v>
      </c>
    </row>
    <row r="2732">
      <c r="A2732" s="24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5" t="n">
        <v>0.07871</v>
      </c>
    </row>
    <row r="2733">
      <c r="A2733" s="24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5" t="n">
        <v>0.054172</v>
      </c>
    </row>
    <row r="2734">
      <c r="A2734" s="24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5" t="n">
        <v>0.34602</v>
      </c>
    </row>
    <row r="2735">
      <c r="A2735" s="24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5" t="n">
        <v>0.39097</v>
      </c>
    </row>
    <row r="2736">
      <c r="A2736" s="24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5" t="n">
        <v>0.587256</v>
      </c>
    </row>
    <row r="2737">
      <c r="A2737" s="24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5" t="n">
        <v>1.04174</v>
      </c>
    </row>
    <row r="2738">
      <c r="A2738" s="24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5" t="n">
        <v>1.569702</v>
      </c>
    </row>
    <row r="2739">
      <c r="A2739" s="24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5" t="n">
        <v>1.113852</v>
      </c>
    </row>
    <row r="2740">
      <c r="A2740" s="24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5" t="n">
        <v>0.405309</v>
      </c>
    </row>
    <row r="2741">
      <c r="A2741" s="24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5" t="n">
        <v>0.308364</v>
      </c>
    </row>
    <row r="2742">
      <c r="A2742" s="24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5" t="n">
        <v>0.398713</v>
      </c>
    </row>
    <row r="2743">
      <c r="A2743" s="24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5" t="n">
        <v>0.411465</v>
      </c>
    </row>
    <row r="2744">
      <c r="A2744" s="24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5" t="n">
        <v>0.776674</v>
      </c>
    </row>
    <row r="2745">
      <c r="A2745" s="24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5" t="n">
        <v>0.771696</v>
      </c>
    </row>
    <row r="2746">
      <c r="A2746" s="24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5" t="n">
        <v>0.784972</v>
      </c>
    </row>
    <row r="2747">
      <c r="A2747" s="24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5" t="n">
        <v>0.7875760000000001</v>
      </c>
    </row>
    <row r="2748">
      <c r="A2748" s="24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5" t="n">
        <v>0.411977</v>
      </c>
    </row>
    <row r="2749">
      <c r="A2749" s="24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5" t="n">
        <v>0.413877</v>
      </c>
    </row>
    <row r="2750">
      <c r="A2750" s="24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5" t="n">
        <v>0.554053</v>
      </c>
    </row>
    <row r="2751">
      <c r="A2751" s="24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5" t="n">
        <v>0.554007</v>
      </c>
    </row>
    <row r="2752">
      <c r="A2752" s="24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5" t="n">
        <v>0.410559</v>
      </c>
    </row>
    <row r="2753">
      <c r="A2753" s="24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5" t="n">
        <v>0.407462</v>
      </c>
    </row>
    <row r="2754">
      <c r="A2754" s="24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5" t="n">
        <v>0.408811</v>
      </c>
    </row>
    <row r="2755">
      <c r="A2755" s="24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5" t="n">
        <v>0.411772</v>
      </c>
    </row>
    <row r="2756">
      <c r="A2756" s="24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5" t="n">
        <v>0.256993</v>
      </c>
    </row>
    <row r="2757">
      <c r="A2757" s="24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5" t="n">
        <v>0.097784</v>
      </c>
    </row>
    <row r="2758">
      <c r="A2758" s="24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5" t="n">
        <v>0.04976</v>
      </c>
    </row>
    <row r="2759">
      <c r="A2759" s="24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5" t="n">
        <v>0.14441</v>
      </c>
    </row>
    <row r="2760">
      <c r="A2760" s="24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5" t="n">
        <v>0.261909</v>
      </c>
    </row>
    <row r="2761">
      <c r="A2761" s="24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5" t="n">
        <v>0.377161</v>
      </c>
    </row>
    <row r="2762">
      <c r="A2762" s="24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5" t="n">
        <v>0.3974</v>
      </c>
    </row>
    <row r="2763">
      <c r="A2763" s="24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5" t="n">
        <v>0.342923</v>
      </c>
    </row>
    <row r="2764">
      <c r="A2764" s="24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5" t="n">
        <v>0.323066</v>
      </c>
    </row>
    <row r="2765">
      <c r="A2765" s="24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5" t="n">
        <v>0.149223</v>
      </c>
    </row>
    <row r="2766">
      <c r="A2766" s="24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5" t="n">
        <v>0.374547</v>
      </c>
    </row>
    <row r="2767">
      <c r="A2767" s="24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5" t="n">
        <v>0.395971</v>
      </c>
    </row>
    <row r="2768">
      <c r="A2768" s="24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5" t="n">
        <v>0.409187</v>
      </c>
    </row>
    <row r="2769">
      <c r="A2769" s="24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5" t="n">
        <v>0.410871</v>
      </c>
    </row>
    <row r="2770">
      <c r="A2770" s="24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5" t="n">
        <v>0.258963</v>
      </c>
    </row>
    <row r="2771">
      <c r="A2771" s="24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5" t="n">
        <v>0.110237</v>
      </c>
    </row>
    <row r="2772">
      <c r="A2772" s="24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5" t="n">
        <v>0.091289</v>
      </c>
    </row>
    <row r="2773">
      <c r="A2773" s="24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5" t="n">
        <v>0.030626</v>
      </c>
    </row>
    <row r="2774">
      <c r="A2774" s="24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5" t="n">
        <v>0.122068</v>
      </c>
    </row>
    <row r="2775">
      <c r="A2775" s="24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5" t="n">
        <v>0.349238</v>
      </c>
    </row>
    <row r="2776">
      <c r="A2776" s="24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5" t="n">
        <v>0.389182</v>
      </c>
    </row>
    <row r="2777">
      <c r="A2777" s="24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5" t="n">
        <v>0.403048</v>
      </c>
    </row>
    <row r="2778">
      <c r="A2778" s="24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5" t="n">
        <v>0.666247</v>
      </c>
    </row>
    <row r="2779">
      <c r="A2779" s="24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5" t="n">
        <v>0.773675</v>
      </c>
    </row>
    <row r="2780">
      <c r="A2780" s="24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5" t="n">
        <v>0.511356</v>
      </c>
    </row>
    <row r="2781">
      <c r="A2781" s="24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5" t="n">
        <v>0.407039</v>
      </c>
    </row>
    <row r="2782">
      <c r="A2782" s="24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5" t="n">
        <v>0.542153</v>
      </c>
    </row>
    <row r="2783">
      <c r="A2783" s="24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5" t="n">
        <v>0.864805</v>
      </c>
    </row>
    <row r="2784">
      <c r="A2784" s="24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5" t="n">
        <v>1.215965</v>
      </c>
    </row>
    <row r="2785">
      <c r="A2785" s="24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5" t="n">
        <v>1.024095</v>
      </c>
    </row>
    <row r="2786">
      <c r="A2786" s="24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5" t="n">
        <v>0.623891</v>
      </c>
    </row>
    <row r="2787">
      <c r="A2787" s="24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5" t="n">
        <v>0.643794</v>
      </c>
    </row>
    <row r="2788">
      <c r="A2788" s="24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5" t="n">
        <v>2.014238</v>
      </c>
    </row>
    <row r="2789">
      <c r="A2789" s="24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5" t="n">
        <v>2.398317</v>
      </c>
    </row>
    <row r="2790">
      <c r="A2790" s="24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5" t="n">
        <v>0.945242</v>
      </c>
    </row>
    <row r="2791">
      <c r="A2791" s="24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5" t="n">
        <v>0.412436</v>
      </c>
    </row>
    <row r="2792">
      <c r="A2792" s="24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5" t="n">
        <v>0.409784</v>
      </c>
    </row>
    <row r="2793">
      <c r="A2793" s="24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5" t="n">
        <v>0.409323</v>
      </c>
    </row>
    <row r="2794">
      <c r="A2794" s="24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5" t="n">
        <v>0.411377</v>
      </c>
    </row>
    <row r="2795">
      <c r="A2795" s="24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5" t="n">
        <v>0.414201</v>
      </c>
    </row>
    <row r="2796">
      <c r="A2796" s="24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5" t="n">
        <v>0.423848</v>
      </c>
    </row>
    <row r="2797">
      <c r="A2797" s="24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5" t="n">
        <v>0.659935</v>
      </c>
    </row>
    <row r="2798">
      <c r="A2798" s="24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5" t="n">
        <v>0.648996</v>
      </c>
    </row>
    <row r="2799">
      <c r="A2799" s="24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5" t="n">
        <v>0.419202</v>
      </c>
    </row>
    <row r="2800">
      <c r="A2800" s="24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5" t="n">
        <v>0.7782019999999999</v>
      </c>
    </row>
    <row r="2801">
      <c r="A2801" s="24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5" t="n">
        <v>0.7677850000000001</v>
      </c>
    </row>
    <row r="2802">
      <c r="A2802" s="24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5" t="n">
        <v>0.406826</v>
      </c>
    </row>
    <row r="2803">
      <c r="A2803" s="24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5" t="n">
        <v>0.352828</v>
      </c>
    </row>
    <row r="2804">
      <c r="A2804" s="24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5" t="n">
        <v>0.157309</v>
      </c>
    </row>
    <row r="2805">
      <c r="A2805" s="24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5" t="n">
        <v>0.166332</v>
      </c>
    </row>
    <row r="2806">
      <c r="A2806" s="24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5" t="n">
        <v>0.153217</v>
      </c>
    </row>
    <row r="2807">
      <c r="A2807" s="24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5" t="n">
        <v>0.363387</v>
      </c>
    </row>
    <row r="2808">
      <c r="A2808" s="24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5" t="n">
        <v>0.391033</v>
      </c>
    </row>
    <row r="2809">
      <c r="A2809" s="24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5" t="n">
        <v>0.407511</v>
      </c>
    </row>
    <row r="2810">
      <c r="A2810" s="24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5" t="n">
        <v>0.417819</v>
      </c>
    </row>
    <row r="2811">
      <c r="A2811" s="24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5" t="n">
        <v>0.414299</v>
      </c>
    </row>
    <row r="2812">
      <c r="A2812" s="24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5" t="n">
        <v>0.409833</v>
      </c>
    </row>
    <row r="2813">
      <c r="A2813" s="24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5" t="n">
        <v>0.410069</v>
      </c>
    </row>
    <row r="2814">
      <c r="A2814" s="24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5" t="n">
        <v>0.5246729999999999</v>
      </c>
    </row>
    <row r="2815">
      <c r="A2815" s="24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5" t="n">
        <v>0.605914</v>
      </c>
    </row>
    <row r="2816">
      <c r="A2816" s="24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5" t="n">
        <v>0.48982</v>
      </c>
    </row>
    <row r="2817">
      <c r="A2817" s="24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5" t="n">
        <v>0.407208</v>
      </c>
    </row>
    <row r="2818">
      <c r="A2818" s="24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5" t="n">
        <v>0.411353</v>
      </c>
    </row>
    <row r="2819">
      <c r="A2819" s="24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5" t="n">
        <v>0.413303</v>
      </c>
    </row>
    <row r="2820">
      <c r="A2820" s="24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5" t="n">
        <v>0.313504</v>
      </c>
    </row>
    <row r="2821">
      <c r="A2821" s="24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5" t="n">
        <v>0.132473</v>
      </c>
    </row>
    <row r="2822">
      <c r="A2822" s="24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5" t="n">
        <v>0.376784</v>
      </c>
    </row>
    <row r="2823">
      <c r="A2823" s="24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5" t="n">
        <v>0.397606</v>
      </c>
    </row>
    <row r="2824">
      <c r="A2824" s="24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5" t="n">
        <v>0.400032</v>
      </c>
    </row>
    <row r="2825">
      <c r="A2825" s="24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5" t="n">
        <v>0.134236</v>
      </c>
    </row>
    <row r="2826">
      <c r="A2826" s="24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5" t="n">
        <v>0.079378</v>
      </c>
    </row>
    <row r="2827">
      <c r="A2827" s="24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5" t="n">
        <v>0.160911</v>
      </c>
    </row>
    <row r="2828">
      <c r="A2828" s="24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5" t="n">
        <v>0.360457</v>
      </c>
    </row>
    <row r="2829">
      <c r="A2829" s="24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5" t="n">
        <v>0.34421</v>
      </c>
    </row>
    <row r="2830">
      <c r="A2830" s="24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5" t="n">
        <v>0.298267</v>
      </c>
    </row>
    <row r="2831">
      <c r="A2831" s="24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5" t="n">
        <v>0.113696</v>
      </c>
    </row>
    <row r="2832">
      <c r="A2832" s="24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5" t="n">
        <v>0.100251</v>
      </c>
    </row>
    <row r="2833">
      <c r="A2833" s="24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5" t="n">
        <v>0.072237</v>
      </c>
    </row>
    <row r="2834">
      <c r="A2834" s="24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5" t="n">
        <v>0.043571</v>
      </c>
    </row>
    <row r="2835">
      <c r="A2835" s="24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5" t="n">
        <v>0.039959</v>
      </c>
    </row>
    <row r="2836">
      <c r="A2836" s="24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5" t="n">
        <v>0.027511</v>
      </c>
    </row>
    <row r="2837">
      <c r="A2837" s="24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5" t="n">
        <v>0.081426</v>
      </c>
    </row>
    <row r="2838">
      <c r="A2838" s="24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5" t="n">
        <v>0.055604</v>
      </c>
    </row>
    <row r="2839">
      <c r="A2839" s="24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5" t="n">
        <v>0.040581</v>
      </c>
    </row>
    <row r="2840">
      <c r="A2840" s="24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5" t="n">
        <v>0.056288</v>
      </c>
    </row>
    <row r="2841">
      <c r="A2841" s="24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5" t="n">
        <v>0.089862</v>
      </c>
    </row>
    <row r="2842">
      <c r="A2842" s="24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5" t="n">
        <v>0.07621699999999999</v>
      </c>
    </row>
    <row r="2843">
      <c r="A2843" s="24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5" t="n">
        <v>0.18215</v>
      </c>
    </row>
    <row r="2844">
      <c r="A2844" s="24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5" t="n">
        <v>0.35842</v>
      </c>
    </row>
    <row r="2845">
      <c r="A2845" s="24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5" t="n">
        <v>0.388541</v>
      </c>
    </row>
    <row r="2846">
      <c r="A2846" s="24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5" t="n">
        <v>0.272339</v>
      </c>
    </row>
    <row r="2847">
      <c r="A2847" s="24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5" t="n">
        <v>0.125692</v>
      </c>
    </row>
    <row r="2848">
      <c r="A2848" s="24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5" t="n">
        <v>0.241698</v>
      </c>
    </row>
    <row r="2849">
      <c r="A2849" s="24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5" t="n">
        <v>0.236407</v>
      </c>
    </row>
    <row r="2850">
      <c r="A2850" s="24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5" t="n">
        <v>0.078481</v>
      </c>
    </row>
    <row r="2851">
      <c r="A2851" s="24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5" t="n">
        <v>0.058006</v>
      </c>
    </row>
    <row r="2852">
      <c r="A2852" s="24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5" t="n">
        <v>0.110955</v>
      </c>
    </row>
    <row r="2853">
      <c r="A2853" s="24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5" t="n">
        <v>0.061672</v>
      </c>
    </row>
    <row r="2854">
      <c r="A2854" s="24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5" t="n">
        <v>0.095399</v>
      </c>
    </row>
    <row r="2855">
      <c r="A2855" s="24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5" t="n">
        <v>0.187005</v>
      </c>
    </row>
    <row r="2856">
      <c r="A2856" s="24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5" t="n">
        <v>0.304202</v>
      </c>
    </row>
    <row r="2857">
      <c r="A2857" s="24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5" t="n">
        <v>0.107944</v>
      </c>
    </row>
    <row r="2858">
      <c r="A2858" s="24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5" t="n">
        <v>0.168143</v>
      </c>
    </row>
    <row r="2859">
      <c r="A2859" s="24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5" t="n">
        <v>0.08563900000000001</v>
      </c>
    </row>
    <row r="2860">
      <c r="A2860" s="24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5" t="n">
        <v>0.131906</v>
      </c>
    </row>
    <row r="2861">
      <c r="A2861" s="24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5" t="n">
        <v>0.244507</v>
      </c>
    </row>
    <row r="2862">
      <c r="A2862" s="24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5" t="n">
        <v>0.141528</v>
      </c>
    </row>
    <row r="2863">
      <c r="A2863" s="24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5" t="n">
        <v>0.101218</v>
      </c>
    </row>
    <row r="2864">
      <c r="A2864" s="24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5" t="n">
        <v>0.28741</v>
      </c>
    </row>
    <row r="2865">
      <c r="A2865" s="24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5" t="n">
        <v>0.110353</v>
      </c>
    </row>
    <row r="2866">
      <c r="A2866" s="24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5" t="n">
        <v>0.06869699999999999</v>
      </c>
    </row>
    <row r="2867">
      <c r="A2867" s="24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5" t="n">
        <v>0.037519</v>
      </c>
    </row>
    <row r="2868">
      <c r="A2868" s="24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5" t="n">
        <v>0.049912</v>
      </c>
    </row>
    <row r="2869">
      <c r="A2869" s="24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5" t="n">
        <v>0.016077</v>
      </c>
    </row>
    <row r="2870">
      <c r="A2870" s="24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5" t="n">
        <v>0.007119</v>
      </c>
    </row>
    <row r="2871">
      <c r="A2871" s="24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5" t="n">
        <v>0.016001</v>
      </c>
    </row>
    <row r="2872">
      <c r="A2872" s="24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5" t="n">
        <v>0.045484</v>
      </c>
    </row>
    <row r="2873">
      <c r="A2873" s="24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5" t="n">
        <v>0.027041</v>
      </c>
    </row>
    <row r="2874">
      <c r="A2874" s="24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5" t="n">
        <v>0.019405</v>
      </c>
    </row>
    <row r="2875">
      <c r="A2875" s="24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5" t="n">
        <v>0.030706</v>
      </c>
    </row>
    <row r="2876">
      <c r="A2876" s="24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5" t="n">
        <v>0.059231</v>
      </c>
    </row>
    <row r="2877">
      <c r="A2877" s="24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5" t="n">
        <v>0.027759</v>
      </c>
    </row>
    <row r="2878">
      <c r="A2878" s="24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5" t="n">
        <v>0.010678</v>
      </c>
    </row>
    <row r="2879">
      <c r="A2879" s="24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5" t="n">
        <v>0.008543</v>
      </c>
    </row>
    <row r="2880">
      <c r="A2880" s="24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5" t="n">
        <v>0.008253</v>
      </c>
    </row>
    <row r="2881">
      <c r="A2881" s="24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5" t="n">
        <v>0.040033</v>
      </c>
    </row>
    <row r="2882">
      <c r="A2882" s="24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5" t="n">
        <v>0.03117</v>
      </c>
    </row>
    <row r="2883">
      <c r="A2883" s="24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5" t="n">
        <v>0.020815</v>
      </c>
    </row>
    <row r="2884">
      <c r="A2884" s="24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5" t="n">
        <v>0.008917</v>
      </c>
    </row>
    <row r="2885">
      <c r="A2885" s="24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5" t="n">
        <v>0.074559</v>
      </c>
    </row>
    <row r="2886">
      <c r="A2886" s="24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5" t="n">
        <v>0.09712800000000001</v>
      </c>
    </row>
    <row r="2887">
      <c r="A2887" s="24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5" t="n">
        <v>0.028985</v>
      </c>
    </row>
    <row r="2888">
      <c r="A2888" s="24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5" t="n">
        <v>0.021137</v>
      </c>
    </row>
    <row r="2889">
      <c r="A2889" s="24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5" t="n">
        <v>0.031187</v>
      </c>
    </row>
    <row r="2890">
      <c r="A2890" s="24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5" t="n">
        <v>0.10387</v>
      </c>
    </row>
    <row r="2891">
      <c r="A2891" s="24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5" t="n">
        <v>0.053999</v>
      </c>
    </row>
    <row r="2892">
      <c r="A2892" s="24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5" t="n">
        <v>0.180842</v>
      </c>
    </row>
    <row r="2893">
      <c r="A2893" s="24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5" t="n">
        <v>0.046173</v>
      </c>
    </row>
    <row r="2894">
      <c r="A2894" s="24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5" t="n">
        <v>0.06826500000000001</v>
      </c>
    </row>
    <row r="2895">
      <c r="A2895" s="24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5" t="n">
        <v>0.033906</v>
      </c>
    </row>
    <row r="2896">
      <c r="A2896" s="24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5" t="n">
        <v>0.065954</v>
      </c>
    </row>
    <row r="2897">
      <c r="A2897" s="24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5" t="n">
        <v>0.341515</v>
      </c>
    </row>
    <row r="2898">
      <c r="A2898" s="24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5" t="n">
        <v>0.378379</v>
      </c>
    </row>
    <row r="2899">
      <c r="A2899" s="24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5" t="n">
        <v>0.219452</v>
      </c>
    </row>
    <row r="2900">
      <c r="A2900" s="24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5" t="n">
        <v>0.076192</v>
      </c>
    </row>
    <row r="2901">
      <c r="A2901" s="24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5" t="n">
        <v>0.057392</v>
      </c>
    </row>
    <row r="2902">
      <c r="A2902" s="24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5" t="n">
        <v>0.337466</v>
      </c>
    </row>
    <row r="2903">
      <c r="A2903" s="24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5" t="n">
        <v>0.09492299999999999</v>
      </c>
    </row>
    <row r="2904">
      <c r="A2904" s="24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5" t="n">
        <v>0.05107</v>
      </c>
    </row>
    <row r="2905">
      <c r="A2905" s="24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5" t="n">
        <v>0.031193</v>
      </c>
    </row>
    <row r="2906">
      <c r="A2906" s="24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5" t="n">
        <v>0.058329</v>
      </c>
    </row>
    <row r="2907">
      <c r="A2907" s="24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5" t="n">
        <v>0.063399</v>
      </c>
    </row>
    <row r="2908">
      <c r="A2908" s="24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5" t="n">
        <v>0.138075</v>
      </c>
    </row>
    <row r="2909">
      <c r="A2909" s="24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5" t="n">
        <v>0.147048</v>
      </c>
    </row>
    <row r="2910">
      <c r="A2910" s="24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5" t="n">
        <v>0.06628299999999999</v>
      </c>
    </row>
    <row r="2911">
      <c r="A2911" s="24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5" t="n">
        <v>0.03282</v>
      </c>
    </row>
    <row r="2912">
      <c r="A2912" s="24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5" t="n">
        <v>0.027903</v>
      </c>
    </row>
    <row r="2913">
      <c r="A2913" s="24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5" t="n">
        <v>0.022383</v>
      </c>
    </row>
    <row r="2914">
      <c r="A2914" s="24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5" t="n">
        <v>0.057048</v>
      </c>
    </row>
    <row r="2915">
      <c r="A2915" s="24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5" t="n">
        <v>0.034738</v>
      </c>
    </row>
    <row r="2916">
      <c r="A2916" s="24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5" t="n">
        <v>0.02522</v>
      </c>
    </row>
    <row r="2917">
      <c r="A2917" s="24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5" t="n">
        <v>0.012257</v>
      </c>
    </row>
    <row r="2918">
      <c r="A2918" s="24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5" t="n">
        <v>0.017622</v>
      </c>
    </row>
    <row r="2919">
      <c r="A2919" s="24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5" t="n">
        <v>0.053618</v>
      </c>
    </row>
    <row r="2920">
      <c r="A2920" s="24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5" t="n">
        <v>0.09023399999999999</v>
      </c>
    </row>
    <row r="2921">
      <c r="A2921" s="24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5" t="n">
        <v>0.057493</v>
      </c>
    </row>
    <row r="2922">
      <c r="A2922" s="24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5" t="n">
        <v>0.34023</v>
      </c>
    </row>
    <row r="2923">
      <c r="A2923" s="24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5" t="n">
        <v>0.315936</v>
      </c>
    </row>
    <row r="2924">
      <c r="A2924" s="24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5" t="n">
        <v>0.081986</v>
      </c>
    </row>
    <row r="2925">
      <c r="A2925" s="24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5" t="n">
        <v>0.053291</v>
      </c>
    </row>
    <row r="2926">
      <c r="A2926" s="24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5" t="n">
        <v>0.031787</v>
      </c>
    </row>
    <row r="2927">
      <c r="A2927" s="24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5" t="n">
        <v>0.02125</v>
      </c>
    </row>
    <row r="2928">
      <c r="A2928" s="24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5" t="n">
        <v>0.215173</v>
      </c>
    </row>
    <row r="2929">
      <c r="A2929" s="24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5" t="n">
        <v>0.066362</v>
      </c>
    </row>
    <row r="2930">
      <c r="A2930" s="24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5" t="n">
        <v>0.026234</v>
      </c>
    </row>
    <row r="2931">
      <c r="A2931" s="24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5" t="n">
        <v>0.015203</v>
      </c>
    </row>
    <row r="2932">
      <c r="A2932" s="24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5" t="n">
        <v>0.010803</v>
      </c>
    </row>
    <row r="2933">
      <c r="A2933" s="24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5" t="n">
        <v>0.01568</v>
      </c>
    </row>
    <row r="2934">
      <c r="A2934" s="24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5" t="n">
        <v>0.083164</v>
      </c>
    </row>
    <row r="2935">
      <c r="A2935" s="24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5" t="n">
        <v>0.131884</v>
      </c>
    </row>
    <row r="2936">
      <c r="A2936" s="24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5" t="n">
        <v>0.08520999999999999</v>
      </c>
    </row>
    <row r="2937">
      <c r="A2937" s="24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5" t="n">
        <v>0.09722799999999999</v>
      </c>
    </row>
    <row r="2938">
      <c r="A2938" s="24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5" t="n">
        <v>0.044449</v>
      </c>
    </row>
    <row r="2939">
      <c r="A2939" s="24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5" t="n">
        <v>0.07679999999999999</v>
      </c>
    </row>
    <row r="2940">
      <c r="A2940" s="24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5" t="n">
        <v>0.059213</v>
      </c>
    </row>
    <row r="2941">
      <c r="A2941" s="24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5" t="n">
        <v>0.242956</v>
      </c>
    </row>
    <row r="2942">
      <c r="A2942" s="24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5" t="n">
        <v>0.139091</v>
      </c>
    </row>
    <row r="2943">
      <c r="A2943" s="24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5" t="n">
        <v>0.055924</v>
      </c>
    </row>
    <row r="2944">
      <c r="A2944" s="24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5" t="n">
        <v>0.031229</v>
      </c>
    </row>
    <row r="2945">
      <c r="A2945" s="24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5" t="n">
        <v>0.031119</v>
      </c>
    </row>
    <row r="2946">
      <c r="A2946" s="24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5" t="n">
        <v>0.07427300000000001</v>
      </c>
    </row>
    <row r="2947">
      <c r="A2947" s="24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5" t="n">
        <v>0.341259</v>
      </c>
    </row>
    <row r="2948">
      <c r="A2948" s="24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5" t="n">
        <v>0.165538</v>
      </c>
    </row>
    <row r="2949">
      <c r="A2949" s="24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5" t="n">
        <v>0.063013</v>
      </c>
    </row>
    <row r="2950">
      <c r="A2950" s="24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5" t="n">
        <v>0.037779</v>
      </c>
    </row>
    <row r="2951">
      <c r="A2951" s="24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5" t="n">
        <v>0.027805</v>
      </c>
    </row>
    <row r="2952">
      <c r="A2952" s="24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5" t="n">
        <v>0.030255</v>
      </c>
    </row>
    <row r="2953">
      <c r="A2953" s="24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5" t="n">
        <v>0.063195</v>
      </c>
    </row>
    <row r="2954">
      <c r="A2954" s="24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5" t="n">
        <v>0.099408</v>
      </c>
    </row>
    <row r="2955">
      <c r="A2955" s="24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5" t="n">
        <v>0.03889</v>
      </c>
    </row>
    <row r="2956">
      <c r="A2956" s="24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5" t="n">
        <v>0.030705</v>
      </c>
    </row>
    <row r="2957">
      <c r="A2957" s="24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5" t="n">
        <v>0.052096</v>
      </c>
    </row>
    <row r="2958">
      <c r="A2958" s="24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5" t="n">
        <v>0.161231</v>
      </c>
    </row>
    <row r="2959">
      <c r="A2959" s="24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5" t="n">
        <v>0.120225</v>
      </c>
    </row>
    <row r="2960">
      <c r="A2960" s="24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5" t="n">
        <v>0.04883</v>
      </c>
    </row>
    <row r="2961">
      <c r="A2961" s="24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5" t="n">
        <v>0.065931</v>
      </c>
    </row>
    <row r="2962">
      <c r="A2962" s="24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5" t="n">
        <v>0.045853</v>
      </c>
    </row>
    <row r="2963">
      <c r="A2963" s="24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5" t="n">
        <v>0.044415</v>
      </c>
    </row>
    <row r="2964">
      <c r="A2964" s="24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5" t="n">
        <v>0.056792</v>
      </c>
    </row>
    <row r="2965">
      <c r="A2965" s="24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5" t="n">
        <v>0.061186</v>
      </c>
    </row>
    <row r="2966">
      <c r="A2966" s="24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5" t="n">
        <v>0.032937</v>
      </c>
    </row>
    <row r="2967">
      <c r="A2967" s="24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5" t="n">
        <v>0.029471</v>
      </c>
    </row>
    <row r="2968">
      <c r="A2968" s="24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5" t="n">
        <v>0.015973</v>
      </c>
    </row>
    <row r="2969">
      <c r="A2969" s="24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5" t="n">
        <v>0.034094</v>
      </c>
    </row>
    <row r="2970">
      <c r="A2970" s="24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5" t="n">
        <v>0.058715</v>
      </c>
    </row>
    <row r="2971">
      <c r="A2971" s="24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5" t="n">
        <v>0.219853</v>
      </c>
    </row>
    <row r="2972">
      <c r="A2972" s="24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5" t="n">
        <v>0.052793</v>
      </c>
    </row>
    <row r="2973">
      <c r="A2973" s="24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5" t="n">
        <v>0.081946</v>
      </c>
    </row>
    <row r="2974">
      <c r="A2974" s="24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5" t="n">
        <v>0.045262</v>
      </c>
    </row>
    <row r="2975">
      <c r="A2975" s="24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5" t="n">
        <v>0.112055</v>
      </c>
    </row>
    <row r="2976">
      <c r="A2976" s="24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5" t="n">
        <v>0.025144</v>
      </c>
    </row>
    <row r="2977">
      <c r="A2977" s="24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5" t="n">
        <v>0.017298</v>
      </c>
    </row>
    <row r="2978">
      <c r="A2978" s="24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5" t="n">
        <v>0.013695</v>
      </c>
    </row>
    <row r="2979">
      <c r="A2979" s="24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5" t="n">
        <v>0.020272</v>
      </c>
    </row>
    <row r="2980">
      <c r="A2980" s="24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5" t="n">
        <v>0.040658</v>
      </c>
    </row>
    <row r="2981">
      <c r="A2981" s="24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5" t="n">
        <v>0.031958</v>
      </c>
    </row>
    <row r="2982">
      <c r="A2982" s="24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5" t="n">
        <v>0.03435</v>
      </c>
    </row>
    <row r="2983">
      <c r="A2983" s="24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5" t="n">
        <v>0.065053</v>
      </c>
    </row>
    <row r="2984">
      <c r="A2984" s="24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5" t="n">
        <v>0.092711</v>
      </c>
    </row>
    <row r="2985">
      <c r="A2985" s="24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5" t="n">
        <v>0.040776</v>
      </c>
    </row>
    <row r="2986">
      <c r="A2986" s="24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5" t="n">
        <v>0.049038</v>
      </c>
    </row>
    <row r="2987">
      <c r="A2987" s="24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5" t="n">
        <v>0.266025</v>
      </c>
    </row>
    <row r="2988">
      <c r="A2988" s="24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5" t="n">
        <v>0.372944</v>
      </c>
    </row>
    <row r="2989">
      <c r="A2989" s="24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5" t="n">
        <v>0.395711</v>
      </c>
    </row>
    <row r="2990">
      <c r="A2990" s="24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5" t="n">
        <v>0.399803</v>
      </c>
    </row>
    <row r="2991">
      <c r="A2991" s="24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5" t="n">
        <v>0.408525</v>
      </c>
    </row>
    <row r="2992">
      <c r="A2992" s="24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5" t="n">
        <v>0.409508</v>
      </c>
    </row>
    <row r="2993">
      <c r="A2993" s="24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5" t="n">
        <v>0.208239</v>
      </c>
    </row>
    <row r="2994">
      <c r="A2994" s="24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5" t="n">
        <v>0.16981</v>
      </c>
    </row>
    <row r="2995">
      <c r="A2995" s="24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5" t="n">
        <v>0.139092</v>
      </c>
    </row>
    <row r="2996">
      <c r="A2996" s="24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5" t="n">
        <v>0.16143</v>
      </c>
    </row>
    <row r="2997">
      <c r="A2997" s="24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5" t="n">
        <v>0.1473</v>
      </c>
    </row>
    <row r="2998">
      <c r="A2998" s="24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5" t="n">
        <v>0.120001</v>
      </c>
    </row>
    <row r="2999">
      <c r="A2999" s="24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5" t="n">
        <v>0.035444</v>
      </c>
    </row>
    <row r="3000">
      <c r="A3000" s="24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5" t="n">
        <v>0.026395</v>
      </c>
    </row>
    <row r="3001">
      <c r="A3001" s="24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5" t="n">
        <v>0.026103</v>
      </c>
    </row>
    <row r="3002">
      <c r="A3002" s="24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5" t="n">
        <v>0.072938</v>
      </c>
    </row>
    <row r="3003">
      <c r="A3003" s="24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5" t="n">
        <v>0.105339</v>
      </c>
    </row>
    <row r="3004">
      <c r="A3004" s="24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5" t="n">
        <v>0.145486</v>
      </c>
    </row>
    <row r="3005">
      <c r="A3005" s="24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5" t="n">
        <v>0.314241</v>
      </c>
    </row>
    <row r="3006">
      <c r="A3006" s="24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5" t="n">
        <v>0.067609</v>
      </c>
    </row>
    <row r="3007">
      <c r="A3007" s="24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5" t="n">
        <v>0.030935</v>
      </c>
    </row>
    <row r="3008">
      <c r="A3008" s="24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5" t="n">
        <v>0.018563</v>
      </c>
    </row>
    <row r="3009">
      <c r="A3009" s="24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5" t="n">
        <v>0.039839</v>
      </c>
    </row>
    <row r="3010">
      <c r="A3010" s="24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5" t="n">
        <v>0.015844</v>
      </c>
    </row>
    <row r="3011">
      <c r="A3011" s="24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5" t="n">
        <v>0.011893</v>
      </c>
    </row>
    <row r="3012">
      <c r="A3012" s="24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5" t="n">
        <v>0.007518</v>
      </c>
    </row>
    <row r="3013">
      <c r="A3013" s="24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5" t="n">
        <v>0.035818</v>
      </c>
    </row>
    <row r="3014">
      <c r="A3014" s="24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5" t="n">
        <v>0.016801</v>
      </c>
    </row>
    <row r="3015">
      <c r="A3015" s="24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5" t="n">
        <v>0.022703</v>
      </c>
    </row>
    <row r="3016">
      <c r="A3016" s="24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5" t="n">
        <v>0.019891</v>
      </c>
    </row>
    <row r="3017">
      <c r="A3017" s="24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5" t="n">
        <v>0.024446</v>
      </c>
    </row>
    <row r="3018">
      <c r="A3018" s="24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5" t="n">
        <v>0.018999</v>
      </c>
    </row>
    <row r="3019">
      <c r="A3019" s="24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5" t="n">
        <v>0.013706</v>
      </c>
    </row>
    <row r="3020">
      <c r="A3020" s="24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5" t="n">
        <v>0.069715</v>
      </c>
    </row>
    <row r="3021">
      <c r="A3021" s="24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5" t="n">
        <v>0.109123</v>
      </c>
    </row>
    <row r="3022">
      <c r="A3022" s="24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5" t="n">
        <v>0.164842</v>
      </c>
    </row>
    <row r="3023">
      <c r="A3023" s="24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5" t="n">
        <v>0.076876</v>
      </c>
    </row>
    <row r="3024">
      <c r="A3024" s="24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5" t="n">
        <v>0.035207</v>
      </c>
    </row>
    <row r="3025">
      <c r="A3025" s="24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5" t="n">
        <v>0.040691</v>
      </c>
    </row>
    <row r="3026">
      <c r="A3026" s="24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5" t="n">
        <v>0.025737</v>
      </c>
    </row>
    <row r="3027">
      <c r="A3027" s="24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5" t="n">
        <v>0.023731</v>
      </c>
    </row>
    <row r="3028">
      <c r="A3028" s="24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5" t="n">
        <v>0.017796</v>
      </c>
    </row>
    <row r="3029">
      <c r="A3029" s="24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5" t="n">
        <v>0.021348</v>
      </c>
    </row>
    <row r="3030">
      <c r="A3030" s="24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5" t="n">
        <v>0.039084</v>
      </c>
    </row>
    <row r="3031">
      <c r="A3031" s="24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5" t="n">
        <v>0.06431099999999999</v>
      </c>
    </row>
    <row r="3032">
      <c r="A3032" s="24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5" t="n">
        <v>0.25962</v>
      </c>
    </row>
    <row r="3033">
      <c r="A3033" s="24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5" t="n">
        <v>0.063277</v>
      </c>
    </row>
    <row r="3034">
      <c r="A3034" s="24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5" t="n">
        <v>0.05675</v>
      </c>
    </row>
    <row r="3035">
      <c r="A3035" s="24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5" t="n">
        <v>0.061273</v>
      </c>
    </row>
    <row r="3036">
      <c r="A3036" s="24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5" t="n">
        <v>0.341246</v>
      </c>
    </row>
    <row r="3037">
      <c r="A3037" s="24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5" t="n">
        <v>0.215642</v>
      </c>
    </row>
    <row r="3038">
      <c r="A3038" s="24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5" t="n">
        <v>0.112047</v>
      </c>
    </row>
    <row r="3039">
      <c r="A3039" s="24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5" t="n">
        <v>0.04985</v>
      </c>
    </row>
    <row r="3040">
      <c r="A3040" s="24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5" t="n">
        <v>0.121592</v>
      </c>
    </row>
    <row r="3041">
      <c r="A3041" s="24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5" t="n">
        <v>0.06945900000000001</v>
      </c>
    </row>
    <row r="3042">
      <c r="A3042" s="24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5" t="n">
        <v>0.02785</v>
      </c>
    </row>
    <row r="3043">
      <c r="A3043" s="24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5" t="n">
        <v>0.033905</v>
      </c>
    </row>
    <row r="3044">
      <c r="A3044" s="24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5" t="n">
        <v>0.026535</v>
      </c>
    </row>
    <row r="3045">
      <c r="A3045" s="24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5" t="n">
        <v>0.013549</v>
      </c>
    </row>
    <row r="3046">
      <c r="A3046" s="24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5" t="n">
        <v>0.011244</v>
      </c>
    </row>
    <row r="3047">
      <c r="A3047" s="24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5" t="n">
        <v>0.07643999999999999</v>
      </c>
    </row>
    <row r="3048">
      <c r="A3048" s="24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5" t="n">
        <v>0.051156</v>
      </c>
    </row>
    <row r="3049">
      <c r="A3049" s="24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5" t="n">
        <v>0.025413</v>
      </c>
    </row>
    <row r="3050">
      <c r="A3050" s="24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5" t="n">
        <v>0.021237</v>
      </c>
    </row>
    <row r="3051">
      <c r="A3051" s="24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5" t="n">
        <v>0.027667</v>
      </c>
    </row>
    <row r="3052">
      <c r="A3052" s="24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5" t="n">
        <v>0.337598</v>
      </c>
    </row>
    <row r="3053">
      <c r="A3053" s="24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5" t="n">
        <v>0.375532</v>
      </c>
    </row>
    <row r="3054">
      <c r="A3054" s="24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5" t="n">
        <v>0.142181</v>
      </c>
    </row>
    <row r="3055">
      <c r="A3055" s="24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5" t="n">
        <v>0.050968</v>
      </c>
    </row>
    <row r="3056">
      <c r="A3056" s="24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5" t="n">
        <v>0.025481</v>
      </c>
    </row>
    <row r="3057">
      <c r="A3057" s="24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5" t="n">
        <v>0.047364</v>
      </c>
    </row>
    <row r="3058">
      <c r="A3058" s="24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5" t="n">
        <v>0.160297</v>
      </c>
    </row>
    <row r="3059">
      <c r="A3059" s="24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5" t="n">
        <v>0.250351</v>
      </c>
    </row>
    <row r="3060">
      <c r="A3060" s="24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5" t="n">
        <v>0.370838</v>
      </c>
    </row>
    <row r="3061">
      <c r="A3061" s="24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5" t="n">
        <v>0.394733</v>
      </c>
    </row>
    <row r="3062">
      <c r="A3062" s="24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5" t="n">
        <v>0.358577</v>
      </c>
    </row>
    <row r="3063">
      <c r="A3063" s="24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5" t="n">
        <v>0.193108</v>
      </c>
    </row>
    <row r="3064">
      <c r="A3064" s="24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5" t="n">
        <v>0.143392</v>
      </c>
    </row>
    <row r="3065">
      <c r="A3065" s="24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5" t="n">
        <v>0.341893</v>
      </c>
    </row>
    <row r="3066">
      <c r="A3066" s="24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5" t="n">
        <v>0.149323</v>
      </c>
    </row>
    <row r="3067">
      <c r="A3067" s="24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5" t="n">
        <v>0.345286</v>
      </c>
    </row>
    <row r="3068">
      <c r="A3068" s="24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5" t="n">
        <v>0.129851</v>
      </c>
    </row>
    <row r="3069">
      <c r="A3069" s="24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5" t="n">
        <v>0.097132</v>
      </c>
    </row>
    <row r="3070">
      <c r="A3070" s="24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5" t="n">
        <v>0.09017799999999999</v>
      </c>
    </row>
    <row r="3071">
      <c r="A3071" s="24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5" t="n">
        <v>0.055597</v>
      </c>
    </row>
    <row r="3072">
      <c r="A3072" s="24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5" t="n">
        <v>0.09778000000000001</v>
      </c>
    </row>
    <row r="3073">
      <c r="A3073" s="24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5" t="n">
        <v>0.033727</v>
      </c>
    </row>
    <row r="3074">
      <c r="A3074" s="24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5" t="n">
        <v>0.251661</v>
      </c>
    </row>
    <row r="3075">
      <c r="A3075" s="24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5" t="n">
        <v>0.104611</v>
      </c>
    </row>
    <row r="3076">
      <c r="A3076" s="24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5" t="n">
        <v>0.354278</v>
      </c>
    </row>
    <row r="3077">
      <c r="A3077" s="24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5" t="n">
        <v>0.129565</v>
      </c>
    </row>
    <row r="3078">
      <c r="A3078" s="24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5" t="n">
        <v>0.366344</v>
      </c>
    </row>
    <row r="3079">
      <c r="A3079" s="24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5" t="n">
        <v>0.391942</v>
      </c>
    </row>
    <row r="3080">
      <c r="A3080" s="24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5" t="n">
        <v>0.407837</v>
      </c>
    </row>
    <row r="3081">
      <c r="A3081" s="24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5" t="n">
        <v>0.416124</v>
      </c>
    </row>
    <row r="3082">
      <c r="A3082" s="24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5" t="n">
        <v>0.41137</v>
      </c>
    </row>
    <row r="3083">
      <c r="A3083" s="24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5" t="n">
        <v>0.41058</v>
      </c>
    </row>
    <row r="3084">
      <c r="A3084" s="24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5" t="n">
        <v>0.415134</v>
      </c>
    </row>
    <row r="3085">
      <c r="A3085" s="24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5" t="n">
        <v>0.412467</v>
      </c>
    </row>
    <row r="3086">
      <c r="A3086" s="24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5" t="n">
        <v>0.41183</v>
      </c>
    </row>
    <row r="3087">
      <c r="A3087" s="24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5" t="n">
        <v>0.413496</v>
      </c>
    </row>
    <row r="3088">
      <c r="A3088" s="24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5" t="n">
        <v>0.29647</v>
      </c>
    </row>
    <row r="3089">
      <c r="A3089" s="24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5" t="n">
        <v>0.102838</v>
      </c>
    </row>
    <row r="3090">
      <c r="A3090" s="24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5" t="n">
        <v>0.049954</v>
      </c>
    </row>
    <row r="3091">
      <c r="A3091" s="24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5" t="n">
        <v>0.02937</v>
      </c>
    </row>
    <row r="3092">
      <c r="A3092" s="24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5" t="n">
        <v>0.013614</v>
      </c>
    </row>
    <row r="3093">
      <c r="A3093" s="24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5" t="n">
        <v>0.011818</v>
      </c>
    </row>
    <row r="3094">
      <c r="A3094" s="24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5" t="n">
        <v>0.035991</v>
      </c>
    </row>
    <row r="3095">
      <c r="A3095" s="24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5" t="n">
        <v>1.248438</v>
      </c>
    </row>
    <row r="3096">
      <c r="A3096" s="24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5" t="n">
        <v>1.39562</v>
      </c>
    </row>
    <row r="3097">
      <c r="A3097" s="24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5" t="n">
        <v>0.495213</v>
      </c>
    </row>
    <row r="3098">
      <c r="A3098" s="24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5" t="n">
        <v>0.395321</v>
      </c>
    </row>
    <row r="3099">
      <c r="A3099" s="24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5" t="n">
        <v>0.255666</v>
      </c>
    </row>
    <row r="3100">
      <c r="A3100" s="24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5" t="n">
        <v>0.104407</v>
      </c>
    </row>
    <row r="3101">
      <c r="A3101" s="24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5" t="n">
        <v>0.057235</v>
      </c>
    </row>
    <row r="3102">
      <c r="A3102" s="24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5" t="n">
        <v>0.060045</v>
      </c>
    </row>
    <row r="3103">
      <c r="A3103" s="24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5" t="n">
        <v>0.343337</v>
      </c>
    </row>
    <row r="3104">
      <c r="A3104" s="24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5" t="n">
        <v>0.1226</v>
      </c>
    </row>
    <row r="3105">
      <c r="A3105" s="24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5" t="n">
        <v>0.045287</v>
      </c>
    </row>
    <row r="3106">
      <c r="A3106" s="24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5" t="n">
        <v>0.074624</v>
      </c>
    </row>
    <row r="3107">
      <c r="A3107" s="24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5" t="n">
        <v>0.088958</v>
      </c>
    </row>
    <row r="3108">
      <c r="A3108" s="24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5" t="n">
        <v>0.193019</v>
      </c>
    </row>
    <row r="3109">
      <c r="A3109" s="24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5" t="n">
        <v>0.361796</v>
      </c>
    </row>
    <row r="3110">
      <c r="A3110" s="24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5" t="n">
        <v>0.393709</v>
      </c>
    </row>
    <row r="3111">
      <c r="A3111" s="24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5" t="n">
        <v>0.401074</v>
      </c>
    </row>
    <row r="3112">
      <c r="A3112" s="24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5" t="n">
        <v>0.235912</v>
      </c>
    </row>
    <row r="3113">
      <c r="A3113" s="24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5" t="n">
        <v>0.06754599999999999</v>
      </c>
    </row>
    <row r="3114">
      <c r="A3114" s="24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5" t="n">
        <v>0.048924</v>
      </c>
    </row>
    <row r="3115">
      <c r="A3115" s="24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5" t="n">
        <v>0.027533</v>
      </c>
    </row>
    <row r="3116">
      <c r="A3116" s="24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5" t="n">
        <v>0.022868</v>
      </c>
    </row>
    <row r="3117">
      <c r="A3117" s="24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5" t="n">
        <v>0.010658</v>
      </c>
    </row>
    <row r="3118">
      <c r="A3118" s="24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5" t="n">
        <v>0.05171</v>
      </c>
    </row>
    <row r="3119">
      <c r="A3119" s="24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5" t="n">
        <v>0.167329</v>
      </c>
    </row>
    <row r="3120">
      <c r="A3120" s="24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5" t="n">
        <v>0.237902</v>
      </c>
    </row>
    <row r="3121">
      <c r="A3121" s="24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5" t="n">
        <v>0.070701</v>
      </c>
    </row>
    <row r="3122">
      <c r="A3122" s="24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5" t="n">
        <v>0.027468</v>
      </c>
    </row>
    <row r="3123">
      <c r="A3123" s="24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5" t="n">
        <v>0.034945</v>
      </c>
    </row>
    <row r="3124">
      <c r="A3124" s="24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5" t="n">
        <v>0.342439</v>
      </c>
    </row>
    <row r="3125">
      <c r="A3125" s="24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5" t="n">
        <v>0.382654</v>
      </c>
    </row>
    <row r="3126">
      <c r="A3126" s="24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5" t="n">
        <v>0.39601</v>
      </c>
    </row>
    <row r="3127">
      <c r="A3127" s="24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5" t="n">
        <v>0.402073</v>
      </c>
    </row>
    <row r="3128">
      <c r="A3128" s="24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5" t="n">
        <v>0.374831</v>
      </c>
    </row>
    <row r="3129">
      <c r="A3129" s="24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5" t="n">
        <v>0.405495</v>
      </c>
    </row>
    <row r="3130">
      <c r="A3130" s="24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5" t="n">
        <v>0.148113</v>
      </c>
    </row>
    <row r="3131">
      <c r="A3131" s="24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5" t="n">
        <v>0.230702</v>
      </c>
    </row>
    <row r="3132">
      <c r="A3132" s="24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5" t="n">
        <v>0.301758</v>
      </c>
    </row>
    <row r="3133">
      <c r="A3133" s="24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5" t="n">
        <v>0.131975</v>
      </c>
    </row>
    <row r="3134">
      <c r="A3134" s="24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5" t="n">
        <v>0.042178</v>
      </c>
    </row>
    <row r="3135">
      <c r="A3135" s="24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5" t="n">
        <v>0.041574</v>
      </c>
    </row>
    <row r="3136">
      <c r="A3136" s="24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5" t="n">
        <v>0.066248</v>
      </c>
    </row>
    <row r="3137">
      <c r="A3137" s="24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5" t="n">
        <v>0.051875</v>
      </c>
    </row>
    <row r="3138">
      <c r="A3138" s="24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5" t="n">
        <v>0.043786</v>
      </c>
    </row>
    <row r="3139">
      <c r="A3139" s="24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5" t="n">
        <v>0.03961</v>
      </c>
    </row>
    <row r="3140">
      <c r="A3140" s="24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5" t="n">
        <v>0.018014</v>
      </c>
    </row>
    <row r="3141">
      <c r="A3141" s="24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5" t="n">
        <v>0.009289</v>
      </c>
    </row>
    <row r="3142">
      <c r="A3142" s="24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5" t="n">
        <v>0.011718</v>
      </c>
    </row>
    <row r="3143">
      <c r="A3143" s="24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5" t="n">
        <v>0.047729</v>
      </c>
    </row>
    <row r="3144">
      <c r="A3144" s="24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5" t="n">
        <v>0.03222</v>
      </c>
    </row>
    <row r="3145">
      <c r="A3145" s="24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5" t="n">
        <v>0.009702000000000001</v>
      </c>
    </row>
    <row r="3146">
      <c r="A3146" s="24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5" t="n">
        <v>0.025496</v>
      </c>
    </row>
    <row r="3147">
      <c r="A3147" s="24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5" t="n">
        <v>0.034784</v>
      </c>
    </row>
    <row r="3148">
      <c r="A3148" s="24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5" t="n">
        <v>0.022404</v>
      </c>
    </row>
    <row r="3149">
      <c r="A3149" s="24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5" t="n">
        <v>0.010039</v>
      </c>
    </row>
    <row r="3150">
      <c r="A3150" s="24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5" t="n">
        <v>0.027155</v>
      </c>
    </row>
    <row r="3151">
      <c r="A3151" s="24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5" t="n">
        <v>0.021366</v>
      </c>
    </row>
    <row r="3152">
      <c r="A3152" s="24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5" t="n">
        <v>0.008574999999999999</v>
      </c>
    </row>
    <row r="3153">
      <c r="A3153" s="24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5" t="n">
        <v>0.023327</v>
      </c>
    </row>
    <row r="3154">
      <c r="A3154" s="24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5" t="n">
        <v>0.014241</v>
      </c>
    </row>
    <row r="3155">
      <c r="A3155" s="24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5" t="n">
        <v>0.042541</v>
      </c>
    </row>
    <row r="3156">
      <c r="A3156" s="24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5" t="n">
        <v>0.126069</v>
      </c>
    </row>
    <row r="3157">
      <c r="A3157" s="24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5" t="n">
        <v>0.032196</v>
      </c>
    </row>
    <row r="3158">
      <c r="A3158" s="24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5" t="n">
        <v>0.060928</v>
      </c>
    </row>
    <row r="3159">
      <c r="A3159" s="24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5" t="n">
        <v>0.019023</v>
      </c>
    </row>
    <row r="3160">
      <c r="A3160" s="24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5" t="n">
        <v>0.023591</v>
      </c>
    </row>
    <row r="3161">
      <c r="A3161" s="24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5" t="n">
        <v>0.013249</v>
      </c>
    </row>
    <row r="3162">
      <c r="A3162" s="24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5" t="n">
        <v>0.020872</v>
      </c>
    </row>
    <row r="3163">
      <c r="A3163" s="24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5" t="n">
        <v>0.131244</v>
      </c>
    </row>
    <row r="3164">
      <c r="A3164" s="24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5" t="n">
        <v>0.0561</v>
      </c>
    </row>
    <row r="3165">
      <c r="A3165" s="24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5" t="n">
        <v>0.036621</v>
      </c>
    </row>
    <row r="3166">
      <c r="A3166" s="24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5" t="n">
        <v>0.03387</v>
      </c>
    </row>
    <row r="3167">
      <c r="A3167" s="24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5" t="n">
        <v>0.011212</v>
      </c>
    </row>
    <row r="3168">
      <c r="A3168" s="24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5" t="n">
        <v>0.008201</v>
      </c>
    </row>
    <row r="3169">
      <c r="A3169" s="24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5" t="n">
        <v>0.057649</v>
      </c>
    </row>
    <row r="3170">
      <c r="A3170" s="24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5" t="n">
        <v>0.121835</v>
      </c>
    </row>
    <row r="3171">
      <c r="A3171" s="24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5" t="n">
        <v>0.03008</v>
      </c>
    </row>
    <row r="3172">
      <c r="A3172" s="24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5" t="n">
        <v>0.017425</v>
      </c>
    </row>
    <row r="3173">
      <c r="A3173" s="24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5" t="n">
        <v>0.009450999999999999</v>
      </c>
    </row>
    <row r="3174">
      <c r="A3174" s="24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5" t="n">
        <v>0.336435</v>
      </c>
    </row>
    <row r="3175">
      <c r="A3175" s="24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5" t="n">
        <v>0.379151</v>
      </c>
    </row>
    <row r="3176">
      <c r="A3176" s="24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5" t="n">
        <v>0.388792</v>
      </c>
    </row>
    <row r="3177">
      <c r="A3177" s="24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5" t="n">
        <v>0.158559</v>
      </c>
    </row>
    <row r="3178">
      <c r="A3178" s="24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5" t="n">
        <v>0.059066</v>
      </c>
    </row>
    <row r="3179">
      <c r="A3179" s="24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5" t="n">
        <v>0.02991</v>
      </c>
    </row>
    <row r="3180">
      <c r="A3180" s="24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5" t="n">
        <v>0.019438</v>
      </c>
    </row>
    <row r="3181">
      <c r="A3181" s="24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5" t="n">
        <v>0.013165</v>
      </c>
    </row>
    <row r="3182">
      <c r="A3182" s="24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5" t="n">
        <v>0.315812</v>
      </c>
    </row>
    <row r="3183">
      <c r="A3183" s="24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5" t="n">
        <v>0.101392</v>
      </c>
    </row>
    <row r="3184">
      <c r="A3184" s="24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5" t="n">
        <v>0.036117</v>
      </c>
    </row>
    <row r="3185">
      <c r="A3185" s="24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5" t="n">
        <v>0.018535</v>
      </c>
    </row>
    <row r="3186">
      <c r="A3186" s="24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5" t="n">
        <v>0.016458</v>
      </c>
    </row>
    <row r="3187">
      <c r="A3187" s="24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5" t="n">
        <v>0.008411</v>
      </c>
    </row>
    <row r="3188">
      <c r="A3188" s="24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5" t="n">
        <v>0.292923</v>
      </c>
    </row>
    <row r="3189">
      <c r="A3189" s="24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5" t="n">
        <v>0.254123</v>
      </c>
    </row>
    <row r="3190">
      <c r="A3190" s="24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5" t="n">
        <v>0.08157399999999999</v>
      </c>
    </row>
    <row r="3191">
      <c r="A3191" s="24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5" t="n">
        <v>0.04351</v>
      </c>
    </row>
    <row r="3192">
      <c r="A3192" s="24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5" t="n">
        <v>0.034098</v>
      </c>
    </row>
    <row r="3193">
      <c r="A3193" s="24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5" t="n">
        <v>0.011267</v>
      </c>
    </row>
    <row r="3194">
      <c r="A3194" s="24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5" t="n">
        <v>0.013067</v>
      </c>
    </row>
    <row r="3195">
      <c r="A3195" s="24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5" t="n">
        <v>0.01381</v>
      </c>
    </row>
    <row r="3196">
      <c r="A3196" s="24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5" t="n">
        <v>0.036634</v>
      </c>
    </row>
    <row r="3197">
      <c r="A3197" s="24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5" t="n">
        <v>0.01003</v>
      </c>
    </row>
    <row r="3198">
      <c r="A3198" s="24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5" t="n">
        <v>0.018711</v>
      </c>
    </row>
    <row r="3199">
      <c r="A3199" s="24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5" t="n">
        <v>0.015495</v>
      </c>
    </row>
    <row r="3200">
      <c r="A3200" s="24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5" t="n">
        <v>0.019398</v>
      </c>
    </row>
    <row r="3201">
      <c r="A3201" s="24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5" t="n">
        <v>0.013121</v>
      </c>
    </row>
    <row r="3202">
      <c r="A3202" s="24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5" t="n">
        <v>0.013048</v>
      </c>
    </row>
    <row r="3203">
      <c r="A3203" s="24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5" t="n">
        <v>0.035623</v>
      </c>
    </row>
    <row r="3204">
      <c r="A3204" s="24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5" t="n">
        <v>0.294562</v>
      </c>
    </row>
    <row r="3205">
      <c r="A3205" s="24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5" t="n">
        <v>0.172101</v>
      </c>
    </row>
    <row r="3206">
      <c r="A3206" s="24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5" t="n">
        <v>0.073811</v>
      </c>
    </row>
    <row r="3207">
      <c r="A3207" s="24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5" t="n">
        <v>0.105251</v>
      </c>
    </row>
    <row r="3208">
      <c r="A3208" s="24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5" t="n">
        <v>0.08654299999999999</v>
      </c>
    </row>
    <row r="3209">
      <c r="A3209" s="24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5" t="n">
        <v>0.032081</v>
      </c>
    </row>
    <row r="3210">
      <c r="A3210" s="24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5" t="n">
        <v>0.02405</v>
      </c>
    </row>
    <row r="3211">
      <c r="A3211" s="24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5" t="n">
        <v>0.20114</v>
      </c>
    </row>
    <row r="3212">
      <c r="A3212" s="24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5" t="n">
        <v>0.058176</v>
      </c>
    </row>
    <row r="3213">
      <c r="A3213" s="24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5" t="n">
        <v>0.018586</v>
      </c>
    </row>
    <row r="3214">
      <c r="A3214" s="24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5" t="n">
        <v>0.011435</v>
      </c>
    </row>
    <row r="3215">
      <c r="A3215" s="24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5" t="n">
        <v>0.009835</v>
      </c>
    </row>
    <row r="3216">
      <c r="A3216" s="24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5" t="n">
        <v>0.021365</v>
      </c>
    </row>
    <row r="3217">
      <c r="A3217" s="24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5" t="n">
        <v>0.046732</v>
      </c>
    </row>
    <row r="3218">
      <c r="A3218" s="24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5" t="n">
        <v>0.254662</v>
      </c>
    </row>
    <row r="3219">
      <c r="A3219" s="24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5" t="n">
        <v>0.37458</v>
      </c>
    </row>
    <row r="3220">
      <c r="A3220" s="24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5" t="n">
        <v>0.397896</v>
      </c>
    </row>
    <row r="3221">
      <c r="A3221" s="24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5" t="n">
        <v>0.396072</v>
      </c>
    </row>
    <row r="3222">
      <c r="A3222" s="24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5" t="n">
        <v>0.373394</v>
      </c>
    </row>
    <row r="3223">
      <c r="A3223" s="24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5" t="n">
        <v>0.078926</v>
      </c>
    </row>
    <row r="3224">
      <c r="A3224" s="24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5" t="n">
        <v>0.049899</v>
      </c>
    </row>
    <row r="3225">
      <c r="A3225" s="24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5" t="n">
        <v>0.032736</v>
      </c>
    </row>
    <row r="3226">
      <c r="A3226" s="24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5" t="n">
        <v>0.01625</v>
      </c>
    </row>
    <row r="3227">
      <c r="A3227" s="24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5" t="n">
        <v>0.012015</v>
      </c>
    </row>
    <row r="3228">
      <c r="A3228" s="24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5" t="n">
        <v>0.004591</v>
      </c>
    </row>
    <row r="3229">
      <c r="A3229" s="24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5" t="n">
        <v>0.002215</v>
      </c>
    </row>
    <row r="3230">
      <c r="A3230" s="24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5" t="n">
        <v>0.001141</v>
      </c>
    </row>
    <row r="3231">
      <c r="A3231" s="24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5" t="n">
        <v>0.000589</v>
      </c>
    </row>
    <row r="3232">
      <c r="A3232" s="24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5" t="n">
        <v>0.000304</v>
      </c>
    </row>
    <row r="3233">
      <c r="A3233" s="24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5" t="n">
        <v>0.000157</v>
      </c>
    </row>
    <row r="3234">
      <c r="A3234" s="24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5" t="n">
        <v>8.1e-05</v>
      </c>
    </row>
    <row r="3235">
      <c r="A3235" s="24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5" t="n">
        <v>4.2e-05</v>
      </c>
    </row>
    <row r="3236">
      <c r="A3236" s="24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5" t="n">
        <v>0.075338</v>
      </c>
    </row>
    <row r="3237">
      <c r="A3237" s="24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5" t="n">
        <v>0.07086199999999999</v>
      </c>
    </row>
    <row r="3238">
      <c r="A3238" s="24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5" t="n">
        <v>0.024673</v>
      </c>
    </row>
    <row r="3239">
      <c r="A3239" s="24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5" t="n">
        <v>0.072398</v>
      </c>
    </row>
    <row r="3240">
      <c r="A3240" s="24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5" t="n">
        <v>0.13659</v>
      </c>
    </row>
    <row r="3241">
      <c r="A3241" s="24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5" t="n">
        <v>0.13115</v>
      </c>
    </row>
    <row r="3242">
      <c r="A3242" s="24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5" t="n">
        <v>0.06711300000000001</v>
      </c>
    </row>
    <row r="3243">
      <c r="A3243" s="24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5" t="n">
        <v>0.073639</v>
      </c>
    </row>
    <row r="3244">
      <c r="A3244" s="24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5" t="n">
        <v>0.083455</v>
      </c>
    </row>
    <row r="3245">
      <c r="A3245" s="24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5" t="n">
        <v>0.067402</v>
      </c>
    </row>
    <row r="3246">
      <c r="A3246" s="24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5" t="n">
        <v>0.046543</v>
      </c>
    </row>
    <row r="3247">
      <c r="A3247" s="24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5" t="n">
        <v>0.018751</v>
      </c>
    </row>
    <row r="3248">
      <c r="A3248" s="24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5" t="n">
        <v>0.01152</v>
      </c>
    </row>
    <row r="3249">
      <c r="A3249" s="24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5" t="n">
        <v>0.004136</v>
      </c>
    </row>
    <row r="3250">
      <c r="A3250" s="24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5" t="n">
        <v>0.002101</v>
      </c>
    </row>
    <row r="3251">
      <c r="A3251" s="24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5" t="n">
        <v>0.001084</v>
      </c>
    </row>
    <row r="3252">
      <c r="A3252" s="24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5" t="n">
        <v>0.00056</v>
      </c>
    </row>
    <row r="3253">
      <c r="A3253" s="24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5" t="n">
        <v>0.000289</v>
      </c>
    </row>
    <row r="3254">
      <c r="A3254" s="24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5" t="n">
        <v>0.000149</v>
      </c>
    </row>
    <row r="3255">
      <c r="A3255" s="24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5" t="n">
        <v>7.7e-05</v>
      </c>
    </row>
    <row r="3256">
      <c r="A3256" s="24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5" t="n">
        <v>4e-05</v>
      </c>
    </row>
    <row r="3257">
      <c r="A3257" s="24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5" t="n">
        <v>2e-05</v>
      </c>
    </row>
    <row r="3258">
      <c r="A3258" s="24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5" t="n">
        <v>0.015707</v>
      </c>
    </row>
    <row r="3259">
      <c r="A3259" s="24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5" t="n">
        <v>0.025725</v>
      </c>
    </row>
    <row r="3260">
      <c r="A3260" s="24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5" t="n">
        <v>0.019401</v>
      </c>
    </row>
    <row r="3261">
      <c r="A3261" s="24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5" t="n">
        <v>0.0271</v>
      </c>
    </row>
    <row r="3262">
      <c r="A3262" s="24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5" t="n">
        <v>0.018316</v>
      </c>
    </row>
    <row r="3263">
      <c r="A3263" s="24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5" t="n">
        <v>0.013093</v>
      </c>
    </row>
    <row r="3264">
      <c r="A3264" s="24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5" t="n">
        <v>0.00599</v>
      </c>
    </row>
    <row r="3265">
      <c r="A3265" s="24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5" t="n">
        <v>0.007543</v>
      </c>
    </row>
    <row r="3266">
      <c r="A3266" s="24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5" t="n">
        <v>0.004527</v>
      </c>
    </row>
    <row r="3267">
      <c r="A3267" s="24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5" t="n">
        <v>0.01674</v>
      </c>
    </row>
    <row r="3268">
      <c r="A3268" s="24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5" t="n">
        <v>0.013838</v>
      </c>
    </row>
    <row r="3269">
      <c r="A3269" s="24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5" t="n">
        <v>0.014636</v>
      </c>
    </row>
    <row r="3270">
      <c r="A3270" s="24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5" t="n">
        <v>0.00958</v>
      </c>
    </row>
    <row r="3271">
      <c r="A3271" s="24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5" t="n">
        <v>0.022799</v>
      </c>
    </row>
    <row r="3272">
      <c r="A3272" s="24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5" t="n">
        <v>0.015219</v>
      </c>
    </row>
    <row r="3273">
      <c r="A3273" s="24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5" t="n">
        <v>0.007048</v>
      </c>
    </row>
    <row r="3274">
      <c r="A3274" s="24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5" t="n">
        <v>0.005906</v>
      </c>
    </row>
    <row r="3275">
      <c r="A3275" s="24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5" t="n">
        <v>0.004032</v>
      </c>
    </row>
    <row r="3276">
      <c r="A3276" s="24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5" t="n">
        <v>0.039152</v>
      </c>
    </row>
    <row r="3277">
      <c r="A3277" s="24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5" t="n">
        <v>0.056589</v>
      </c>
    </row>
    <row r="3278">
      <c r="A3278" s="24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5" t="n">
        <v>0.07989400000000001</v>
      </c>
    </row>
    <row r="3279">
      <c r="A3279" s="24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5" t="n">
        <v>0.014682</v>
      </c>
    </row>
    <row r="3280">
      <c r="A3280" s="24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5" t="n">
        <v>0.019727</v>
      </c>
    </row>
    <row r="3281">
      <c r="A3281" s="24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5" t="n">
        <v>0.256227</v>
      </c>
    </row>
    <row r="3282">
      <c r="A3282" s="24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5" t="n">
        <v>0.142172</v>
      </c>
    </row>
    <row r="3283">
      <c r="A3283" s="24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5" t="n">
        <v>0.300429</v>
      </c>
    </row>
    <row r="3284">
      <c r="A3284" s="24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5" t="n">
        <v>0.057547</v>
      </c>
    </row>
    <row r="3285">
      <c r="A3285" s="24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5" t="n">
        <v>0.052485</v>
      </c>
    </row>
    <row r="3286">
      <c r="A3286" s="24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5" t="n">
        <v>0.086433</v>
      </c>
    </row>
    <row r="3287">
      <c r="A3287" s="24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5" t="n">
        <v>0.046014</v>
      </c>
    </row>
    <row r="3288">
      <c r="A3288" s="24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5" t="n">
        <v>0.03274</v>
      </c>
    </row>
    <row r="3289">
      <c r="A3289" s="24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5" t="n">
        <v>0.017069</v>
      </c>
    </row>
    <row r="3290">
      <c r="A3290" s="24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5" t="n">
        <v>0.015154</v>
      </c>
    </row>
    <row r="3291">
      <c r="A3291" s="24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5" t="n">
        <v>0.009880999999999999</v>
      </c>
    </row>
    <row r="3292">
      <c r="A3292" s="24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5" t="n">
        <v>0.151859</v>
      </c>
    </row>
    <row r="3293">
      <c r="A3293" s="24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5" t="n">
        <v>0.116289</v>
      </c>
    </row>
    <row r="3294">
      <c r="A3294" s="24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5" t="n">
        <v>0.045503</v>
      </c>
    </row>
    <row r="3295">
      <c r="A3295" s="24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5" t="n">
        <v>0.122762</v>
      </c>
    </row>
    <row r="3296">
      <c r="A3296" s="24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5" t="n">
        <v>0.048511</v>
      </c>
    </row>
    <row r="3297">
      <c r="A3297" s="24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5" t="n">
        <v>0.021895</v>
      </c>
    </row>
    <row r="3298">
      <c r="A3298" s="24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5" t="n">
        <v>0.095238</v>
      </c>
    </row>
    <row r="3299">
      <c r="A3299" s="24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5" t="n">
        <v>0.190827</v>
      </c>
    </row>
    <row r="3300">
      <c r="A3300" s="24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5" t="n">
        <v>0.087548</v>
      </c>
    </row>
    <row r="3301">
      <c r="A3301" s="24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5" t="n">
        <v>0.050237</v>
      </c>
    </row>
    <row r="3302">
      <c r="A3302" s="24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5" t="n">
        <v>0.130297</v>
      </c>
    </row>
    <row r="3303">
      <c r="A3303" s="24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5" t="n">
        <v>0.05619</v>
      </c>
    </row>
    <row r="3304">
      <c r="A3304" s="24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5" t="n">
        <v>0.226288</v>
      </c>
    </row>
    <row r="3305">
      <c r="A3305" s="24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5" t="n">
        <v>0.104373</v>
      </c>
    </row>
    <row r="3306">
      <c r="A3306" s="24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5" t="n">
        <v>0.125362</v>
      </c>
    </row>
    <row r="3307">
      <c r="A3307" s="24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5" t="n">
        <v>0.338983</v>
      </c>
    </row>
    <row r="3308">
      <c r="A3308" s="24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5" t="n">
        <v>0.309442</v>
      </c>
    </row>
    <row r="3309">
      <c r="A3309" s="24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5" t="n">
        <v>0.161161</v>
      </c>
    </row>
    <row r="3310">
      <c r="A3310" s="24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5" t="n">
        <v>0.08092000000000001</v>
      </c>
    </row>
    <row r="3311">
      <c r="A3311" s="24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5" t="n">
        <v>0.167973</v>
      </c>
    </row>
    <row r="3312">
      <c r="A3312" s="24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5" t="n">
        <v>0.07869900000000001</v>
      </c>
    </row>
    <row r="3313">
      <c r="A3313" s="24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5" t="n">
        <v>0.040186</v>
      </c>
    </row>
    <row r="3314">
      <c r="A3314" s="24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5" t="n">
        <v>0.023332</v>
      </c>
    </row>
    <row r="3315">
      <c r="A3315" s="24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5" t="n">
        <v>0.026439</v>
      </c>
    </row>
    <row r="3316">
      <c r="A3316" s="24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5" t="n">
        <v>0.011731</v>
      </c>
    </row>
    <row r="3317">
      <c r="A3317" s="24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5" t="n">
        <v>0.111351</v>
      </c>
    </row>
    <row r="3318">
      <c r="A3318" s="24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5" t="n">
        <v>0.02764</v>
      </c>
    </row>
    <row r="3319">
      <c r="A3319" s="24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5" t="n">
        <v>0.017217</v>
      </c>
    </row>
    <row r="3320">
      <c r="A3320" s="24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5" t="n">
        <v>0.059265</v>
      </c>
    </row>
    <row r="3321">
      <c r="A3321" s="24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5" t="n">
        <v>0.06285399999999999</v>
      </c>
    </row>
    <row r="3322">
      <c r="A3322" s="24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5" t="n">
        <v>0.030546</v>
      </c>
    </row>
    <row r="3323">
      <c r="A3323" s="24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5" t="n">
        <v>0.021509</v>
      </c>
    </row>
    <row r="3324">
      <c r="A3324" s="24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5" t="n">
        <v>0.033342</v>
      </c>
    </row>
    <row r="3325">
      <c r="A3325" s="24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5" t="n">
        <v>0.011149</v>
      </c>
    </row>
    <row r="3326">
      <c r="A3326" s="24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5" t="n">
        <v>0.006496</v>
      </c>
    </row>
    <row r="3327">
      <c r="A3327" s="24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5" t="n">
        <v>0.002466</v>
      </c>
    </row>
    <row r="3328">
      <c r="A3328" s="24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5" t="n">
        <v>0.0086</v>
      </c>
    </row>
    <row r="3329">
      <c r="A3329" s="24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5" t="n">
        <v>0.006068</v>
      </c>
    </row>
    <row r="3330">
      <c r="A3330" s="24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5" t="n">
        <v>0.023187</v>
      </c>
    </row>
    <row r="3331">
      <c r="A3331" s="24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5" t="n">
        <v>0.004166</v>
      </c>
    </row>
    <row r="3332">
      <c r="A3332" s="24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5" t="n">
        <v>0.00439</v>
      </c>
    </row>
    <row r="3333">
      <c r="A3333" s="24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5" t="n">
        <v>0.007144</v>
      </c>
    </row>
    <row r="3334">
      <c r="A3334" s="24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5" t="n">
        <v>0.007432</v>
      </c>
    </row>
    <row r="3335">
      <c r="A3335" s="24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5" t="n">
        <v>0.008913000000000001</v>
      </c>
    </row>
    <row r="3336">
      <c r="A3336" s="24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5" t="n">
        <v>0.008071</v>
      </c>
    </row>
    <row r="3337">
      <c r="A3337" s="24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5" t="n">
        <v>0.004834</v>
      </c>
    </row>
    <row r="3338">
      <c r="A3338" s="24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5" t="n">
        <v>0.001902</v>
      </c>
    </row>
    <row r="3339">
      <c r="A3339" s="24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5" t="n">
        <v>0.002098</v>
      </c>
    </row>
    <row r="3340">
      <c r="A3340" s="24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5" t="n">
        <v>0.013015</v>
      </c>
    </row>
    <row r="3341">
      <c r="A3341" s="24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5" t="n">
        <v>0.023018</v>
      </c>
    </row>
    <row r="3342">
      <c r="A3342" s="24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5" t="n">
        <v>0.014437</v>
      </c>
    </row>
    <row r="3343">
      <c r="A3343" s="24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5" t="n">
        <v>0.073173</v>
      </c>
    </row>
    <row r="3344">
      <c r="A3344" s="24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5" t="n">
        <v>0.126871</v>
      </c>
    </row>
    <row r="3345">
      <c r="A3345" s="24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5" t="n">
        <v>0.039461</v>
      </c>
    </row>
    <row r="3346">
      <c r="A3346" s="24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5" t="n">
        <v>0.035924</v>
      </c>
    </row>
    <row r="3347">
      <c r="A3347" s="24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5" t="n">
        <v>0.019704</v>
      </c>
    </row>
    <row r="3348">
      <c r="A3348" s="24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5" t="n">
        <v>0.011212</v>
      </c>
    </row>
    <row r="3349">
      <c r="A3349" s="24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5" t="n">
        <v>0.004509</v>
      </c>
    </row>
    <row r="3350">
      <c r="A3350" s="24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5" t="n">
        <v>0.003893</v>
      </c>
    </row>
    <row r="3351">
      <c r="A3351" s="24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5" t="n">
        <v>0.002824</v>
      </c>
    </row>
    <row r="3352">
      <c r="A3352" s="24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5" t="n">
        <v>0.001235</v>
      </c>
    </row>
    <row r="3353">
      <c r="A3353" s="24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5" t="n">
        <v>0.010276</v>
      </c>
    </row>
    <row r="3354">
      <c r="A3354" s="24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5" t="n">
        <v>0.01192</v>
      </c>
    </row>
    <row r="3355">
      <c r="A3355" s="24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5" t="n">
        <v>0.037603</v>
      </c>
    </row>
    <row r="3356">
      <c r="A3356" s="24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5" t="n">
        <v>0.096093</v>
      </c>
    </row>
    <row r="3357">
      <c r="A3357" s="24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5" t="n">
        <v>0.059525</v>
      </c>
    </row>
    <row r="3358">
      <c r="A3358" s="24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5" t="n">
        <v>0.34546</v>
      </c>
    </row>
    <row r="3359">
      <c r="A3359" s="24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5" t="n">
        <v>0.379366</v>
      </c>
    </row>
    <row r="3360">
      <c r="A3360" s="24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5" t="n">
        <v>0.176456</v>
      </c>
    </row>
    <row r="3361">
      <c r="A3361" s="24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5" t="n">
        <v>0.08151</v>
      </c>
    </row>
    <row r="3362">
      <c r="A3362" s="24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5" t="n">
        <v>0.041951</v>
      </c>
    </row>
    <row r="3363">
      <c r="A3363" s="24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5" t="n">
        <v>0.03802</v>
      </c>
    </row>
    <row r="3364">
      <c r="A3364" s="24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5" t="n">
        <v>0.049697</v>
      </c>
    </row>
    <row r="3365">
      <c r="A3365" s="24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5" t="n">
        <v>0.094162</v>
      </c>
    </row>
    <row r="3366">
      <c r="A3366" s="24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5" t="n">
        <v>0.020427</v>
      </c>
    </row>
    <row r="3367">
      <c r="A3367" s="24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5" t="n">
        <v>0.012459</v>
      </c>
    </row>
    <row r="3368">
      <c r="A3368" s="24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5" t="n">
        <v>0.275608</v>
      </c>
    </row>
    <row r="3369">
      <c r="A3369" s="24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5" t="n">
        <v>0.164176</v>
      </c>
    </row>
    <row r="3370">
      <c r="A3370" s="24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5" t="n">
        <v>0.157745</v>
      </c>
    </row>
    <row r="3371">
      <c r="A3371" s="24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5" t="n">
        <v>0.216277</v>
      </c>
    </row>
    <row r="3372">
      <c r="A3372" s="24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5" t="n">
        <v>0.170591</v>
      </c>
    </row>
    <row r="3373">
      <c r="A3373" s="24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5" t="n">
        <v>0.110717</v>
      </c>
    </row>
    <row r="3374">
      <c r="A3374" s="24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5" t="n">
        <v>0.053934</v>
      </c>
    </row>
    <row r="3375">
      <c r="A3375" s="24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5" t="n">
        <v>0.025194</v>
      </c>
    </row>
    <row r="3376">
      <c r="A3376" s="24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5" t="n">
        <v>0.01343</v>
      </c>
    </row>
    <row r="3377">
      <c r="A3377" s="24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5" t="n">
        <v>0.02058</v>
      </c>
    </row>
    <row r="3378">
      <c r="A3378" s="24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5" t="n">
        <v>0.039742</v>
      </c>
    </row>
    <row r="3379">
      <c r="A3379" s="24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5" t="n">
        <v>0.05827</v>
      </c>
    </row>
    <row r="3380">
      <c r="A3380" s="24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5" t="n">
        <v>0.106553</v>
      </c>
    </row>
    <row r="3381">
      <c r="A3381" s="24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5" t="n">
        <v>0.074001</v>
      </c>
    </row>
    <row r="3382">
      <c r="A3382" s="24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5" t="n">
        <v>0.162583</v>
      </c>
    </row>
    <row r="3383">
      <c r="A3383" s="24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5" t="n">
        <v>0.327557</v>
      </c>
    </row>
    <row r="3384">
      <c r="A3384" s="24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5" t="n">
        <v>0.131072</v>
      </c>
    </row>
    <row r="3385">
      <c r="A3385" s="24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5" t="n">
        <v>0.216911</v>
      </c>
    </row>
    <row r="3386">
      <c r="A3386" s="24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5" t="n">
        <v>0.07341200000000001</v>
      </c>
    </row>
    <row r="3387">
      <c r="A3387" s="24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5" t="n">
        <v>0.055484</v>
      </c>
    </row>
    <row r="3388">
      <c r="A3388" s="24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5" t="n">
        <v>0.034586</v>
      </c>
    </row>
    <row r="3389">
      <c r="A3389" s="24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5" t="n">
        <v>0.025063</v>
      </c>
    </row>
    <row r="3390">
      <c r="A3390" s="24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5" t="n">
        <v>0.04722</v>
      </c>
    </row>
    <row r="3391">
      <c r="A3391" s="24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5" t="n">
        <v>0.046007</v>
      </c>
    </row>
    <row r="3392">
      <c r="A3392" s="24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5" t="n">
        <v>0.017978</v>
      </c>
    </row>
    <row r="3393">
      <c r="A3393" s="24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5" t="n">
        <v>0.012734</v>
      </c>
    </row>
    <row r="3394">
      <c r="A3394" s="24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5" t="n">
        <v>0.08193400000000001</v>
      </c>
    </row>
    <row r="3395">
      <c r="A3395" s="24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5" t="n">
        <v>0.024087</v>
      </c>
    </row>
    <row r="3396">
      <c r="A3396" s="24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5" t="n">
        <v>0.022758</v>
      </c>
    </row>
    <row r="3397">
      <c r="A3397" s="24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5" t="n">
        <v>0.026742</v>
      </c>
    </row>
    <row r="3398">
      <c r="A3398" s="24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5" t="n">
        <v>0.015096</v>
      </c>
    </row>
    <row r="3399">
      <c r="A3399" s="24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5" t="n">
        <v>0.030288</v>
      </c>
    </row>
    <row r="3400">
      <c r="A3400" s="24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5" t="n">
        <v>0.079901</v>
      </c>
    </row>
    <row r="3401">
      <c r="A3401" s="24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5" t="n">
        <v>0.019002</v>
      </c>
    </row>
    <row r="3402">
      <c r="A3402" s="24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5" t="n">
        <v>0.177791</v>
      </c>
    </row>
    <row r="3403">
      <c r="A3403" s="24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5" t="n">
        <v>0.03866</v>
      </c>
    </row>
    <row r="3404">
      <c r="A3404" s="24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5" t="n">
        <v>0.07224</v>
      </c>
    </row>
    <row r="3405">
      <c r="A3405" s="24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5" t="n">
        <v>0.037506</v>
      </c>
    </row>
    <row r="3406">
      <c r="A3406" s="24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5" t="n">
        <v>0.020521</v>
      </c>
    </row>
    <row r="3407">
      <c r="A3407" s="24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5" t="n">
        <v>0.007794</v>
      </c>
    </row>
    <row r="3408">
      <c r="A3408" s="24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5" t="n">
        <v>0.003932</v>
      </c>
    </row>
    <row r="3409">
      <c r="A3409" s="24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5" t="n">
        <v>0.016528</v>
      </c>
    </row>
    <row r="3410">
      <c r="A3410" s="24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5" t="n">
        <v>0.189134</v>
      </c>
    </row>
    <row r="3411">
      <c r="A3411" s="24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5" t="n">
        <v>0.131068</v>
      </c>
    </row>
    <row r="3412">
      <c r="A3412" s="24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5" t="n">
        <v>0.08945500000000001</v>
      </c>
    </row>
    <row r="3413">
      <c r="A3413" s="24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5" t="n">
        <v>0.117018</v>
      </c>
    </row>
    <row r="3414">
      <c r="A3414" s="24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5" t="n">
        <v>0.054961</v>
      </c>
    </row>
    <row r="3415">
      <c r="A3415" s="24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5" t="n">
        <v>0.271536</v>
      </c>
    </row>
    <row r="3416">
      <c r="A3416" s="24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5" t="n">
        <v>0.240477</v>
      </c>
    </row>
    <row r="3417">
      <c r="A3417" s="24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5" t="n">
        <v>0.347732</v>
      </c>
    </row>
    <row r="3418">
      <c r="A3418" s="24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5" t="n">
        <v>0.370489</v>
      </c>
    </row>
    <row r="3419">
      <c r="A3419" s="24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5" t="n">
        <v>0.350475</v>
      </c>
    </row>
    <row r="3420">
      <c r="A3420" s="24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5" t="n">
        <v>0.410523</v>
      </c>
    </row>
    <row r="3421">
      <c r="A3421" s="24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5" t="n">
        <v>0.416627</v>
      </c>
    </row>
    <row r="3422">
      <c r="A3422" s="24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5" t="n">
        <v>0.407213</v>
      </c>
    </row>
    <row r="3423">
      <c r="A3423" s="24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5" t="n">
        <v>0.413719</v>
      </c>
    </row>
    <row r="3424">
      <c r="A3424" s="24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5" t="n">
        <v>0.413792</v>
      </c>
    </row>
    <row r="3425">
      <c r="A3425" s="24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5" t="n">
        <v>0.408709</v>
      </c>
    </row>
    <row r="3426">
      <c r="A3426" s="24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5" t="n">
        <v>0.417293</v>
      </c>
    </row>
    <row r="3427">
      <c r="A3427" s="24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5" t="n">
        <v>0.415451</v>
      </c>
    </row>
    <row r="3428">
      <c r="A3428" s="24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5" t="n">
        <v>0.411233</v>
      </c>
    </row>
    <row r="3429">
      <c r="A3429" s="24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5" t="n">
        <v>0.413337</v>
      </c>
    </row>
    <row r="3430">
      <c r="A3430" s="24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5" t="n">
        <v>0.259703</v>
      </c>
    </row>
    <row r="3431">
      <c r="A3431" s="24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5" t="n">
        <v>0.098505</v>
      </c>
    </row>
    <row r="3432">
      <c r="A3432" s="24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5" t="n">
        <v>0.09236900000000001</v>
      </c>
    </row>
    <row r="3433">
      <c r="A3433" s="24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5" t="n">
        <v>0.069871</v>
      </c>
    </row>
    <row r="3434">
      <c r="A3434" s="24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5" t="n">
        <v>0.061174</v>
      </c>
    </row>
    <row r="3435">
      <c r="A3435" s="24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5" t="n">
        <v>0.102558</v>
      </c>
    </row>
    <row r="3436">
      <c r="A3436" s="24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5" t="n">
        <v>0.132848</v>
      </c>
    </row>
    <row r="3437">
      <c r="A3437" s="24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5" t="n">
        <v>0.036601</v>
      </c>
    </row>
    <row r="3438">
      <c r="A3438" s="24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5" t="n">
        <v>0.019742</v>
      </c>
    </row>
    <row r="3439">
      <c r="A3439" s="24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5" t="n">
        <v>0.035736</v>
      </c>
    </row>
    <row r="3440">
      <c r="A3440" s="24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5" t="n">
        <v>0.185335</v>
      </c>
    </row>
    <row r="3441">
      <c r="A3441" s="24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5" t="n">
        <v>0.053318</v>
      </c>
    </row>
    <row r="3442">
      <c r="A3442" s="24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5" t="n">
        <v>0.052335</v>
      </c>
    </row>
    <row r="3443">
      <c r="A3443" s="24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5" t="n">
        <v>0.231936</v>
      </c>
    </row>
    <row r="3444">
      <c r="A3444" s="24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5" t="n">
        <v>0.317196</v>
      </c>
    </row>
    <row r="3445">
      <c r="A3445" s="24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5" t="n">
        <v>0.383614</v>
      </c>
    </row>
    <row r="3446">
      <c r="A3446" s="24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5" t="n">
        <v>0.242939</v>
      </c>
    </row>
    <row r="3447">
      <c r="A3447" s="24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5" t="n">
        <v>0.201335</v>
      </c>
    </row>
    <row r="3448">
      <c r="A3448" s="24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5" t="n">
        <v>0.379607</v>
      </c>
    </row>
    <row r="3449">
      <c r="A3449" s="24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5" t="n">
        <v>0.399044</v>
      </c>
    </row>
    <row r="3450">
      <c r="A3450" s="24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5" t="n">
        <v>0.403063</v>
      </c>
    </row>
    <row r="3451">
      <c r="A3451" s="24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5" t="n">
        <v>0.408442</v>
      </c>
    </row>
    <row r="3452">
      <c r="A3452" s="24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5" t="n">
        <v>0.411158</v>
      </c>
    </row>
    <row r="3453">
      <c r="A3453" s="24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5" t="n">
        <v>0.318286</v>
      </c>
    </row>
    <row r="3454">
      <c r="A3454" s="24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5" t="n">
        <v>0.403851</v>
      </c>
    </row>
    <row r="3455">
      <c r="A3455" s="24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5" t="n">
        <v>0.7994019999999999</v>
      </c>
    </row>
    <row r="3456">
      <c r="A3456" s="24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5" t="n">
        <v>0.796335</v>
      </c>
    </row>
    <row r="3457">
      <c r="A3457" s="24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5" t="n">
        <v>0.406182</v>
      </c>
    </row>
    <row r="3458">
      <c r="A3458" s="24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5" t="n">
        <v>0.408228</v>
      </c>
    </row>
    <row r="3459">
      <c r="A3459" s="24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5" t="n">
        <v>0.602232</v>
      </c>
    </row>
    <row r="3460">
      <c r="A3460" s="24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5" t="n">
        <v>0.601123</v>
      </c>
    </row>
    <row r="3461">
      <c r="A3461" s="24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5" t="n">
        <v>0.412244</v>
      </c>
    </row>
    <row r="3462">
      <c r="A3462" s="24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5" t="n">
        <v>0.412659</v>
      </c>
    </row>
    <row r="3463">
      <c r="A3463" s="24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5" t="n">
        <v>0.408184</v>
      </c>
    </row>
    <row r="3464">
      <c r="A3464" s="24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5" t="n">
        <v>0.413922</v>
      </c>
    </row>
    <row r="3465">
      <c r="A3465" s="24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5" t="n">
        <v>0.417273</v>
      </c>
    </row>
    <row r="3466">
      <c r="A3466" s="24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5" t="n">
        <v>0.410576</v>
      </c>
    </row>
    <row r="3467">
      <c r="A3467" s="24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5" t="n">
        <v>0.106442</v>
      </c>
    </row>
    <row r="3468">
      <c r="A3468" s="24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5" t="n">
        <v>0.07328</v>
      </c>
    </row>
    <row r="3469">
      <c r="A3469" s="24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5" t="n">
        <v>0.360967</v>
      </c>
    </row>
    <row r="3470">
      <c r="A3470" s="24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5" t="n">
        <v>0.394246</v>
      </c>
    </row>
    <row r="3471">
      <c r="A3471" s="24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5" t="n">
        <v>0.399478</v>
      </c>
    </row>
    <row r="3472">
      <c r="A3472" s="24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5" t="n">
        <v>0.401042</v>
      </c>
    </row>
    <row r="3473">
      <c r="A3473" s="24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5" t="n">
        <v>0.306105</v>
      </c>
    </row>
    <row r="3474">
      <c r="A3474" s="24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5" t="n">
        <v>0.088796</v>
      </c>
    </row>
    <row r="3475">
      <c r="A3475" s="24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5" t="n">
        <v>0.094079</v>
      </c>
    </row>
    <row r="3476">
      <c r="A3476" s="24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5" t="n">
        <v>0.128041</v>
      </c>
    </row>
    <row r="3477">
      <c r="A3477" s="24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5" t="n">
        <v>0.180974</v>
      </c>
    </row>
    <row r="3478">
      <c r="A3478" s="24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5" t="n">
        <v>0.114549</v>
      </c>
    </row>
    <row r="3479">
      <c r="A3479" s="24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5" t="n">
        <v>0.039613</v>
      </c>
    </row>
    <row r="3480">
      <c r="A3480" s="24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5" t="n">
        <v>0.064096</v>
      </c>
    </row>
    <row r="3481">
      <c r="A3481" s="24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5" t="n">
        <v>0.05232</v>
      </c>
    </row>
    <row r="3482">
      <c r="A3482" s="24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5" t="n">
        <v>0.049217</v>
      </c>
    </row>
    <row r="3483">
      <c r="A3483" s="24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5" t="n">
        <v>0.282292</v>
      </c>
    </row>
    <row r="3484">
      <c r="A3484" s="24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5" t="n">
        <v>0.25766</v>
      </c>
    </row>
    <row r="3485">
      <c r="A3485" s="24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5" t="n">
        <v>0.108975</v>
      </c>
    </row>
    <row r="3486">
      <c r="A3486" s="24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5" t="n">
        <v>0.185623</v>
      </c>
    </row>
    <row r="3487">
      <c r="A3487" s="24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5" t="n">
        <v>0.364215</v>
      </c>
    </row>
    <row r="3488">
      <c r="A3488" s="24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5" t="n">
        <v>0.390266</v>
      </c>
    </row>
    <row r="3489">
      <c r="A3489" s="24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5" t="n">
        <v>0.146832</v>
      </c>
    </row>
    <row r="3490">
      <c r="A3490" s="24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5" t="n">
        <v>0.08569</v>
      </c>
    </row>
    <row r="3491">
      <c r="A3491" s="24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5" t="n">
        <v>0.114899</v>
      </c>
    </row>
    <row r="3492">
      <c r="A3492" s="24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5" t="n">
        <v>0.276441</v>
      </c>
    </row>
    <row r="3493">
      <c r="A3493" s="24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5" t="n">
        <v>0.382611</v>
      </c>
    </row>
    <row r="3494">
      <c r="A3494" s="24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5" t="n">
        <v>0.40528</v>
      </c>
    </row>
    <row r="3495">
      <c r="A3495" s="24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5" t="n">
        <v>0.436373</v>
      </c>
    </row>
    <row r="3496">
      <c r="A3496" s="24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5" t="n">
        <v>0.546522</v>
      </c>
    </row>
    <row r="3497">
      <c r="A3497" s="24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5" t="n">
        <v>0.516124</v>
      </c>
    </row>
    <row r="3498">
      <c r="A3498" s="24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5" t="n">
        <v>0.406031</v>
      </c>
    </row>
    <row r="3499">
      <c r="A3499" s="24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5" t="n">
        <v>0.368751</v>
      </c>
    </row>
    <row r="3500">
      <c r="A3500" s="24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5" t="n">
        <v>0.112922</v>
      </c>
    </row>
    <row r="3501">
      <c r="A3501" s="24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5" t="n">
        <v>0.354233</v>
      </c>
    </row>
    <row r="3502">
      <c r="A3502" s="24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5" t="n">
        <v>0.20393</v>
      </c>
    </row>
    <row r="3503">
      <c r="A3503" s="24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5" t="n">
        <v>0.079516</v>
      </c>
    </row>
    <row r="3504">
      <c r="A3504" s="24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5" t="n">
        <v>0.106638</v>
      </c>
    </row>
    <row r="3505">
      <c r="A3505" s="24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5" t="n">
        <v>0.199102</v>
      </c>
    </row>
    <row r="3506">
      <c r="A3506" s="24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5" t="n">
        <v>0.302819</v>
      </c>
    </row>
    <row r="3507">
      <c r="A3507" s="24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5" t="n">
        <v>0.549613</v>
      </c>
    </row>
    <row r="3508">
      <c r="A3508" s="24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5" t="n">
        <v>1.941035</v>
      </c>
    </row>
    <row r="3509">
      <c r="A3509" s="24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5" t="n">
        <v>1.786259</v>
      </c>
    </row>
    <row r="3510">
      <c r="A3510" s="24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5" t="n">
        <v>0.413118</v>
      </c>
    </row>
    <row r="3511">
      <c r="A3511" s="24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5" t="n">
        <v>0.687787</v>
      </c>
    </row>
    <row r="3512">
      <c r="A3512" s="24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5" t="n">
        <v>0.696334</v>
      </c>
    </row>
    <row r="3513">
      <c r="A3513" s="24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5" t="n">
        <v>0.417018</v>
      </c>
    </row>
    <row r="3514">
      <c r="A3514" s="24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5" t="n">
        <v>0.410032</v>
      </c>
    </row>
    <row r="3515">
      <c r="A3515" s="24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5" t="n">
        <v>0.6815059999999999</v>
      </c>
    </row>
    <row r="3516">
      <c r="A3516" s="24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5" t="n">
        <v>1.48473</v>
      </c>
    </row>
    <row r="3517">
      <c r="A3517" s="24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5" t="n">
        <v>1.211398</v>
      </c>
    </row>
    <row r="3518">
      <c r="A3518" s="24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5" t="n">
        <v>0.408212</v>
      </c>
    </row>
    <row r="3519">
      <c r="A3519" s="24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5" t="n">
        <v>0.408899</v>
      </c>
    </row>
    <row r="3520">
      <c r="A3520" s="24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5" t="n">
        <v>0.253856</v>
      </c>
    </row>
    <row r="3521">
      <c r="A3521" s="24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5" t="n">
        <v>0.142821</v>
      </c>
    </row>
    <row r="3522">
      <c r="A3522" s="24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5" t="n">
        <v>0.307776</v>
      </c>
    </row>
    <row r="3523">
      <c r="A3523" s="24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5" t="n">
        <v>0.390622</v>
      </c>
    </row>
    <row r="3524">
      <c r="A3524" s="24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5" t="n">
        <v>0.40304</v>
      </c>
    </row>
    <row r="3525">
      <c r="A3525" s="24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5" t="n">
        <v>0.329803</v>
      </c>
    </row>
    <row r="3526">
      <c r="A3526" s="24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5" t="n">
        <v>0.09325600000000001</v>
      </c>
    </row>
    <row r="3527">
      <c r="A3527" s="24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5" t="n">
        <v>0.257256</v>
      </c>
    </row>
    <row r="3528">
      <c r="A3528" s="24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5" t="n">
        <v>0.208437</v>
      </c>
    </row>
    <row r="3529">
      <c r="A3529" s="24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5" t="n">
        <v>0.141053</v>
      </c>
    </row>
    <row r="3530">
      <c r="A3530" s="24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5" t="n">
        <v>0.063431</v>
      </c>
    </row>
    <row r="3531">
      <c r="A3531" s="24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5" t="n">
        <v>0.051932</v>
      </c>
    </row>
    <row r="3532">
      <c r="A3532" s="24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5" t="n">
        <v>0.343144</v>
      </c>
    </row>
    <row r="3533">
      <c r="A3533" s="24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5" t="n">
        <v>0.382983</v>
      </c>
    </row>
    <row r="3534">
      <c r="A3534" s="24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5" t="n">
        <v>0.399003</v>
      </c>
    </row>
    <row r="3535">
      <c r="A3535" s="24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5" t="n">
        <v>0.405289</v>
      </c>
    </row>
    <row r="3536">
      <c r="A3536" s="24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5" t="n">
        <v>0.410269</v>
      </c>
    </row>
    <row r="3537">
      <c r="A3537" s="24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5" t="n">
        <v>0.409751</v>
      </c>
    </row>
    <row r="3538">
      <c r="A3538" s="24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5" t="n">
        <v>0.411839</v>
      </c>
    </row>
    <row r="3539">
      <c r="A3539" s="24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5" t="n">
        <v>0.414826</v>
      </c>
    </row>
    <row r="3540">
      <c r="A3540" s="24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5" t="n">
        <v>0.21051</v>
      </c>
    </row>
    <row r="3541">
      <c r="A3541" s="24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5" t="n">
        <v>0.16862</v>
      </c>
    </row>
    <row r="3542">
      <c r="A3542" s="24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5" t="n">
        <v>0.323421</v>
      </c>
    </row>
    <row r="3543">
      <c r="A3543" s="24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5" t="n">
        <v>0.29024</v>
      </c>
    </row>
    <row r="3544">
      <c r="A3544" s="24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5" t="n">
        <v>0.197195</v>
      </c>
    </row>
    <row r="3545">
      <c r="A3545" s="24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5" t="n">
        <v>0.170355</v>
      </c>
    </row>
    <row r="3546">
      <c r="A3546" s="24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5" t="n">
        <v>0.357083</v>
      </c>
    </row>
    <row r="3547">
      <c r="A3547" s="24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5" t="n">
        <v>0.2614</v>
      </c>
    </row>
    <row r="3548">
      <c r="A3548" s="24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5" t="n">
        <v>0.261673</v>
      </c>
    </row>
    <row r="3549">
      <c r="A3549" s="24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5" t="n">
        <v>0.164514</v>
      </c>
    </row>
    <row r="3550">
      <c r="A3550" s="24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5" t="n">
        <v>0.095944</v>
      </c>
    </row>
    <row r="3551">
      <c r="A3551" s="24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5" t="n">
        <v>0.074666</v>
      </c>
    </row>
    <row r="3552">
      <c r="A3552" s="24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5" t="n">
        <v>0.13313</v>
      </c>
    </row>
    <row r="3553">
      <c r="A3553" s="24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5" t="n">
        <v>0.05551</v>
      </c>
    </row>
    <row r="3554">
      <c r="A3554" s="24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5" t="n">
        <v>0.34571</v>
      </c>
    </row>
    <row r="3555">
      <c r="A3555" s="24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5" t="n">
        <v>0.348863</v>
      </c>
    </row>
    <row r="3556">
      <c r="A3556" s="24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5" t="n">
        <v>0.140562</v>
      </c>
    </row>
    <row r="3557">
      <c r="A3557" s="24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5" t="n">
        <v>0.124646</v>
      </c>
    </row>
    <row r="3558">
      <c r="A3558" s="24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5" t="n">
        <v>0.08726299999999999</v>
      </c>
    </row>
    <row r="3559">
      <c r="A3559" s="24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5" t="n">
        <v>0.08751200000000001</v>
      </c>
    </row>
    <row r="3560">
      <c r="A3560" s="24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5" t="n">
        <v>0.126224</v>
      </c>
    </row>
    <row r="3561">
      <c r="A3561" s="24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5" t="n">
        <v>0.161429</v>
      </c>
    </row>
    <row r="3562">
      <c r="A3562" s="24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5" t="n">
        <v>0.289895</v>
      </c>
    </row>
    <row r="3563">
      <c r="A3563" s="24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5" t="n">
        <v>0.108881</v>
      </c>
    </row>
    <row r="3564">
      <c r="A3564" s="24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5" t="n">
        <v>0.09347</v>
      </c>
    </row>
    <row r="3565">
      <c r="A3565" s="24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5" t="n">
        <v>0.135722</v>
      </c>
    </row>
    <row r="3566">
      <c r="A3566" s="24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5" t="n">
        <v>0.08325</v>
      </c>
    </row>
    <row r="3567">
      <c r="A3567" s="24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5" t="n">
        <v>0.095028</v>
      </c>
    </row>
    <row r="3568">
      <c r="A3568" s="24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5" t="n">
        <v>0.230093</v>
      </c>
    </row>
    <row r="3569">
      <c r="A3569" s="24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5" t="n">
        <v>0.368005</v>
      </c>
    </row>
    <row r="3570">
      <c r="A3570" s="24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5" t="n">
        <v>0.346129</v>
      </c>
    </row>
    <row r="3571">
      <c r="A3571" s="24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5" t="n">
        <v>0.121325</v>
      </c>
    </row>
    <row r="3572">
      <c r="A3572" s="24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5" t="n">
        <v>0.124203</v>
      </c>
    </row>
    <row r="3573">
      <c r="A3573" s="24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5" t="n">
        <v>0.093699</v>
      </c>
    </row>
    <row r="3574">
      <c r="A3574" s="24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5" t="n">
        <v>0.353026</v>
      </c>
    </row>
    <row r="3575">
      <c r="A3575" s="24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5" t="n">
        <v>0.315051</v>
      </c>
    </row>
    <row r="3576">
      <c r="A3576" s="24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5" t="n">
        <v>0.104354</v>
      </c>
    </row>
    <row r="3577">
      <c r="A3577" s="24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5" t="n">
        <v>0.264931</v>
      </c>
    </row>
    <row r="3578">
      <c r="A3578" s="24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5" t="n">
        <v>0.057676</v>
      </c>
    </row>
    <row r="3579">
      <c r="A3579" s="24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5" t="n">
        <v>0.027413</v>
      </c>
    </row>
    <row r="3580">
      <c r="A3580" s="24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5" t="n">
        <v>0.021811</v>
      </c>
    </row>
    <row r="3581">
      <c r="A3581" s="24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5" t="n">
        <v>0.01956</v>
      </c>
    </row>
    <row r="3582">
      <c r="A3582" s="24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5" t="n">
        <v>0.058122</v>
      </c>
    </row>
    <row r="3583">
      <c r="A3583" s="24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5" t="n">
        <v>0.035044</v>
      </c>
    </row>
    <row r="3584">
      <c r="A3584" s="24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5" t="n">
        <v>0.08161</v>
      </c>
    </row>
    <row r="3585">
      <c r="A3585" s="24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5" t="n">
        <v>0.091479</v>
      </c>
    </row>
    <row r="3586">
      <c r="A3586" s="24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5" t="n">
        <v>0.083727</v>
      </c>
    </row>
    <row r="3587">
      <c r="A3587" s="24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5" t="n">
        <v>0.06923799999999999</v>
      </c>
    </row>
    <row r="3588">
      <c r="A3588" s="24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5" t="n">
        <v>0.07108299999999999</v>
      </c>
    </row>
    <row r="3589">
      <c r="A3589" s="24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5" t="n">
        <v>0.108254</v>
      </c>
    </row>
    <row r="3590">
      <c r="A3590" s="24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5" t="n">
        <v>0.054574</v>
      </c>
    </row>
    <row r="3591">
      <c r="A3591" s="24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5" t="n">
        <v>0.06429799999999999</v>
      </c>
    </row>
    <row r="3592">
      <c r="A3592" s="24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5" t="n">
        <v>0.287129</v>
      </c>
    </row>
    <row r="3593">
      <c r="A3593" s="24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5" t="n">
        <v>0.130657</v>
      </c>
    </row>
    <row r="3594">
      <c r="A3594" s="24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5" t="n">
        <v>0.150979</v>
      </c>
    </row>
    <row r="3595">
      <c r="A3595" s="24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5" t="n">
        <v>0.184249</v>
      </c>
    </row>
    <row r="3596">
      <c r="A3596" s="24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5" t="n">
        <v>0.115998</v>
      </c>
    </row>
    <row r="3597">
      <c r="A3597" s="24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5" t="n">
        <v>0.060766</v>
      </c>
    </row>
    <row r="3598">
      <c r="A3598" s="24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5" t="n">
        <v>0.10591</v>
      </c>
    </row>
    <row r="3599">
      <c r="A3599" s="24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5" t="n">
        <v>0.162018</v>
      </c>
    </row>
    <row r="3600">
      <c r="A3600" s="24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5" t="n">
        <v>0.357375</v>
      </c>
    </row>
    <row r="3601">
      <c r="A3601" s="24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5" t="n">
        <v>0.362715</v>
      </c>
    </row>
    <row r="3602">
      <c r="A3602" s="24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5" t="n">
        <v>0.279378</v>
      </c>
    </row>
    <row r="3603">
      <c r="A3603" s="24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5" t="n">
        <v>0.093177</v>
      </c>
    </row>
    <row r="3604">
      <c r="A3604" s="24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5" t="n">
        <v>0.04835</v>
      </c>
    </row>
    <row r="3605">
      <c r="A3605" s="24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5" t="n">
        <v>0.039963</v>
      </c>
    </row>
    <row r="3606">
      <c r="A3606" s="24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5" t="n">
        <v>0.022601</v>
      </c>
    </row>
    <row r="3607">
      <c r="A3607" s="24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5" t="n">
        <v>0.057443</v>
      </c>
    </row>
    <row r="3608">
      <c r="A3608" s="24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5" t="n">
        <v>0.060849</v>
      </c>
    </row>
    <row r="3609">
      <c r="A3609" s="24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5" t="n">
        <v>0.021863</v>
      </c>
    </row>
    <row r="3610">
      <c r="A3610" s="24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5" t="n">
        <v>0.024427</v>
      </c>
    </row>
    <row r="3611">
      <c r="A3611" s="24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5" t="n">
        <v>0.15986</v>
      </c>
    </row>
    <row r="3612">
      <c r="A3612" s="24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5" t="n">
        <v>0.034256</v>
      </c>
    </row>
    <row r="3613">
      <c r="A3613" s="24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5" t="n">
        <v>0.186977</v>
      </c>
    </row>
    <row r="3614">
      <c r="A3614" s="24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5" t="n">
        <v>0.044305</v>
      </c>
    </row>
    <row r="3615">
      <c r="A3615" s="24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5" t="n">
        <v>0.035751</v>
      </c>
    </row>
    <row r="3616">
      <c r="A3616" s="24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5" t="n">
        <v>0.018194</v>
      </c>
    </row>
    <row r="3617">
      <c r="A3617" s="24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5" t="n">
        <v>0.027595</v>
      </c>
    </row>
    <row r="3618">
      <c r="A3618" s="24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5" t="n">
        <v>0.15036</v>
      </c>
    </row>
    <row r="3619">
      <c r="A3619" s="24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5" t="n">
        <v>0.046805</v>
      </c>
    </row>
    <row r="3620">
      <c r="A3620" s="24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5" t="n">
        <v>0.016598</v>
      </c>
    </row>
    <row r="3621">
      <c r="A3621" s="24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5" t="n">
        <v>0.031493</v>
      </c>
    </row>
    <row r="3622">
      <c r="A3622" s="24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5" t="n">
        <v>0.286876</v>
      </c>
    </row>
    <row r="3623">
      <c r="A3623" s="24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5" t="n">
        <v>0.06403300000000001</v>
      </c>
    </row>
    <row r="3624">
      <c r="A3624" s="24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5" t="n">
        <v>0.052323</v>
      </c>
    </row>
    <row r="3625">
      <c r="A3625" s="24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5" t="n">
        <v>0.028931</v>
      </c>
    </row>
    <row r="3626">
      <c r="A3626" s="24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5" t="n">
        <v>0.054916</v>
      </c>
    </row>
    <row r="3627">
      <c r="A3627" s="24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5" t="n">
        <v>0.048937</v>
      </c>
    </row>
    <row r="3628">
      <c r="A3628" s="24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5" t="n">
        <v>0.101071</v>
      </c>
    </row>
    <row r="3629">
      <c r="A3629" s="24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5" t="n">
        <v>0.059293</v>
      </c>
    </row>
    <row r="3630">
      <c r="A3630" s="24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5" t="n">
        <v>0.185883</v>
      </c>
    </row>
    <row r="3631">
      <c r="A3631" s="24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5" t="n">
        <v>0.044296</v>
      </c>
    </row>
    <row r="3632">
      <c r="A3632" s="24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5" t="n">
        <v>0.093947</v>
      </c>
    </row>
    <row r="3633">
      <c r="A3633" s="24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5" t="n">
        <v>0.279978</v>
      </c>
    </row>
    <row r="3634">
      <c r="A3634" s="24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5" t="n">
        <v>0.094143</v>
      </c>
    </row>
    <row r="3635">
      <c r="A3635" s="24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5" t="n">
        <v>0.051371</v>
      </c>
    </row>
    <row r="3636">
      <c r="A3636" s="24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5" t="n">
        <v>0.05162</v>
      </c>
    </row>
    <row r="3637">
      <c r="A3637" s="24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5" t="n">
        <v>0.030635</v>
      </c>
    </row>
    <row r="3638">
      <c r="A3638" s="24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5" t="n">
        <v>0.201992</v>
      </c>
    </row>
    <row r="3639">
      <c r="A3639" s="24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5" t="n">
        <v>0.056973</v>
      </c>
    </row>
    <row r="3640">
      <c r="A3640" s="24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5" t="n">
        <v>0.30512</v>
      </c>
    </row>
    <row r="3641">
      <c r="A3641" s="24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5" t="n">
        <v>0.066785</v>
      </c>
    </row>
    <row r="3642">
      <c r="A3642" s="24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5" t="n">
        <v>0.033666</v>
      </c>
    </row>
    <row r="3643">
      <c r="A3643" s="24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5" t="n">
        <v>0.019092</v>
      </c>
    </row>
    <row r="3644">
      <c r="A3644" s="24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5" t="n">
        <v>0.046542</v>
      </c>
    </row>
    <row r="3645">
      <c r="A3645" s="24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5" t="n">
        <v>0.166878</v>
      </c>
    </row>
    <row r="3646">
      <c r="A3646" s="24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5" t="n">
        <v>0.052498</v>
      </c>
    </row>
    <row r="3647">
      <c r="A3647" s="24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5" t="n">
        <v>0.052206</v>
      </c>
    </row>
    <row r="3648">
      <c r="A3648" s="24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5" t="n">
        <v>0.192845</v>
      </c>
    </row>
    <row r="3649">
      <c r="A3649" s="24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5" t="n">
        <v>0.114676</v>
      </c>
    </row>
    <row r="3650">
      <c r="A3650" s="24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5" t="n">
        <v>0.06793200000000001</v>
      </c>
    </row>
    <row r="3651">
      <c r="A3651" s="24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5" t="n">
        <v>0.191302</v>
      </c>
    </row>
    <row r="3652">
      <c r="A3652" s="24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5" t="n">
        <v>0.109497</v>
      </c>
    </row>
    <row r="3653">
      <c r="A3653" s="24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5" t="n">
        <v>0.037841</v>
      </c>
    </row>
    <row r="3654">
      <c r="A3654" s="24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5" t="n">
        <v>0.058024</v>
      </c>
    </row>
    <row r="3655">
      <c r="A3655" s="24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5" t="n">
        <v>0.15021</v>
      </c>
    </row>
    <row r="3656">
      <c r="A3656" s="24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5" t="n">
        <v>0.130018</v>
      </c>
    </row>
    <row r="3657">
      <c r="A3657" s="24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5" t="n">
        <v>0.354359</v>
      </c>
    </row>
    <row r="3658">
      <c r="A3658" s="24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5" t="n">
        <v>0.201166</v>
      </c>
    </row>
    <row r="3659">
      <c r="A3659" s="24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5" t="n">
        <v>0.048939</v>
      </c>
    </row>
    <row r="3660">
      <c r="A3660" s="24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5" t="n">
        <v>0.032394</v>
      </c>
    </row>
    <row r="3661">
      <c r="A3661" s="24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5" t="n">
        <v>0.01712</v>
      </c>
    </row>
    <row r="3662">
      <c r="A3662" s="24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5" t="n">
        <v>0.112737</v>
      </c>
    </row>
    <row r="3663">
      <c r="A3663" s="24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5" t="n">
        <v>0.041799</v>
      </c>
    </row>
    <row r="3664">
      <c r="A3664" s="24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5" t="n">
        <v>0.017715</v>
      </c>
    </row>
    <row r="3665">
      <c r="A3665" s="24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5" t="n">
        <v>0.018485</v>
      </c>
    </row>
    <row r="3666">
      <c r="A3666" s="24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5" t="n">
        <v>0.0226</v>
      </c>
    </row>
    <row r="3667">
      <c r="A3667" s="24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5" t="n">
        <v>0.00975</v>
      </c>
    </row>
    <row r="3668">
      <c r="A3668" s="24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5" t="n">
        <v>0.013739</v>
      </c>
    </row>
    <row r="3669">
      <c r="A3669" s="24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5" t="n">
        <v>0.234023</v>
      </c>
    </row>
    <row r="3670">
      <c r="A3670" s="24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5" t="n">
        <v>0.309145</v>
      </c>
    </row>
    <row r="3671">
      <c r="A3671" s="24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5" t="n">
        <v>0.066125</v>
      </c>
    </row>
    <row r="3672">
      <c r="A3672" s="24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5" t="n">
        <v>0.098452</v>
      </c>
    </row>
    <row r="3673">
      <c r="A3673" s="24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5" t="n">
        <v>0.140161</v>
      </c>
    </row>
    <row r="3674">
      <c r="A3674" s="24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5" t="n">
        <v>0.219374</v>
      </c>
    </row>
    <row r="3675">
      <c r="A3675" s="24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5" t="n">
        <v>0.053061</v>
      </c>
    </row>
    <row r="3676">
      <c r="A3676" s="24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5" t="n">
        <v>0.138299</v>
      </c>
    </row>
    <row r="3677">
      <c r="A3677" s="24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5" t="n">
        <v>0.040195</v>
      </c>
    </row>
    <row r="3678">
      <c r="A3678" s="24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5" t="n">
        <v>0.029532</v>
      </c>
    </row>
    <row r="3679">
      <c r="A3679" s="24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5" t="n">
        <v>0.054131</v>
      </c>
    </row>
    <row r="3680">
      <c r="A3680" s="24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5" t="n">
        <v>0.014126</v>
      </c>
    </row>
    <row r="3681">
      <c r="A3681" s="24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5" t="n">
        <v>0.051884</v>
      </c>
    </row>
    <row r="3682">
      <c r="A3682" s="24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5" t="n">
        <v>0.035799</v>
      </c>
    </row>
    <row r="3683">
      <c r="A3683" s="24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5" t="n">
        <v>0.142939</v>
      </c>
    </row>
    <row r="3684">
      <c r="A3684" s="24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5" t="n">
        <v>0.079377</v>
      </c>
    </row>
    <row r="3685">
      <c r="A3685" s="24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5" t="n">
        <v>0.04912</v>
      </c>
    </row>
    <row r="3686">
      <c r="A3686" s="24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5" t="n">
        <v>0.047214</v>
      </c>
    </row>
    <row r="3687">
      <c r="A3687" s="24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5" t="n">
        <v>0.06891799999999999</v>
      </c>
    </row>
    <row r="3688">
      <c r="A3688" s="24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5" t="n">
        <v>0.06780700000000001</v>
      </c>
    </row>
    <row r="3689">
      <c r="A3689" s="24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5" t="n">
        <v>0.049108</v>
      </c>
    </row>
    <row r="3690">
      <c r="A3690" s="24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5" t="n">
        <v>0.195888</v>
      </c>
    </row>
    <row r="3691">
      <c r="A3691" s="24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5" t="n">
        <v>0.181383</v>
      </c>
    </row>
    <row r="3692">
      <c r="A3692" s="24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5" t="n">
        <v>0.08084</v>
      </c>
    </row>
    <row r="3693">
      <c r="A3693" s="24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5" t="n">
        <v>0.045727</v>
      </c>
    </row>
    <row r="3694">
      <c r="A3694" s="24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5" t="n">
        <v>0.118894</v>
      </c>
    </row>
    <row r="3695">
      <c r="A3695" s="24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5" t="n">
        <v>0.235088</v>
      </c>
    </row>
    <row r="3696">
      <c r="A3696" s="24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5" t="n">
        <v>0.05909</v>
      </c>
    </row>
    <row r="3697">
      <c r="A3697" s="24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5" t="n">
        <v>0.025507</v>
      </c>
    </row>
    <row r="3698">
      <c r="A3698" s="24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5" t="n">
        <v>0.024642</v>
      </c>
    </row>
    <row r="3699">
      <c r="A3699" s="24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5" t="n">
        <v>0.028346</v>
      </c>
    </row>
    <row r="3700">
      <c r="A3700" s="24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5" t="n">
        <v>0.057819</v>
      </c>
    </row>
    <row r="3701">
      <c r="A3701" s="24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5" t="n">
        <v>0.016234</v>
      </c>
    </row>
    <row r="3702">
      <c r="A3702" s="24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5" t="n">
        <v>0.008591</v>
      </c>
    </row>
    <row r="3703">
      <c r="A3703" s="24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5" t="n">
        <v>0.010484</v>
      </c>
    </row>
    <row r="3704">
      <c r="A3704" s="24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5" t="n">
        <v>0.058572</v>
      </c>
    </row>
    <row r="3705">
      <c r="A3705" s="24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5" t="n">
        <v>0.016886</v>
      </c>
    </row>
    <row r="3706">
      <c r="A3706" s="24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5" t="n">
        <v>0.026588</v>
      </c>
    </row>
    <row r="3707">
      <c r="A3707" s="24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5" t="n">
        <v>0.007069</v>
      </c>
    </row>
    <row r="3708">
      <c r="A3708" s="24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5" t="n">
        <v>0.031896</v>
      </c>
    </row>
    <row r="3709">
      <c r="A3709" s="24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5" t="n">
        <v>0.009475000000000001</v>
      </c>
    </row>
    <row r="3710">
      <c r="A3710" s="24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5" t="n">
        <v>0.21525</v>
      </c>
    </row>
    <row r="3711">
      <c r="A3711" s="24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5" t="n">
        <v>0.104717</v>
      </c>
    </row>
    <row r="3712">
      <c r="A3712" s="24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5" t="n">
        <v>0.059806</v>
      </c>
    </row>
    <row r="3713">
      <c r="A3713" s="24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5" t="n">
        <v>0.028154</v>
      </c>
    </row>
    <row r="3714">
      <c r="A3714" s="24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5" t="n">
        <v>0.029294</v>
      </c>
    </row>
    <row r="3715">
      <c r="A3715" s="24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5" t="n">
        <v>0.019699</v>
      </c>
    </row>
    <row r="3716">
      <c r="A3716" s="24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5" t="n">
        <v>0.062832</v>
      </c>
    </row>
    <row r="3717">
      <c r="A3717" s="24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5" t="n">
        <v>0.339192</v>
      </c>
    </row>
    <row r="3718">
      <c r="A3718" s="24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5" t="n">
        <v>0.328487</v>
      </c>
    </row>
    <row r="3719">
      <c r="A3719" s="24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5" t="n">
        <v>0.198379</v>
      </c>
    </row>
    <row r="3720">
      <c r="A3720" s="24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5" t="n">
        <v>0.076234</v>
      </c>
    </row>
    <row r="3721">
      <c r="A3721" s="24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5" t="n">
        <v>0.059103</v>
      </c>
    </row>
    <row r="3722">
      <c r="A3722" s="24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5" t="n">
        <v>0.081802</v>
      </c>
    </row>
    <row r="3723">
      <c r="A3723" s="24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5" t="n">
        <v>0.036139</v>
      </c>
    </row>
    <row r="3724">
      <c r="A3724" s="24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5" t="n">
        <v>0.143928</v>
      </c>
    </row>
    <row r="3725">
      <c r="A3725" s="24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5" t="n">
        <v>0.052509</v>
      </c>
    </row>
    <row r="3726">
      <c r="A3726" s="24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5" t="n">
        <v>0.07370500000000001</v>
      </c>
    </row>
    <row r="3727">
      <c r="A3727" s="24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5" t="n">
        <v>0.242046</v>
      </c>
    </row>
    <row r="3728">
      <c r="A3728" s="24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5" t="n">
        <v>0.10401</v>
      </c>
    </row>
    <row r="3729">
      <c r="A3729" s="24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5" t="n">
        <v>0.057606</v>
      </c>
    </row>
    <row r="3730">
      <c r="A3730" s="24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5" t="n">
        <v>0.034763</v>
      </c>
    </row>
    <row r="3731">
      <c r="A3731" s="24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5" t="n">
        <v>0.145633</v>
      </c>
    </row>
    <row r="3732">
      <c r="A3732" s="24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5" t="n">
        <v>0.15006</v>
      </c>
    </row>
    <row r="3733">
      <c r="A3733" s="24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5" t="n">
        <v>0.124097</v>
      </c>
    </row>
    <row r="3734">
      <c r="A3734" s="24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5" t="n">
        <v>0.07716099999999999</v>
      </c>
    </row>
    <row r="3735">
      <c r="A3735" s="24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5" t="n">
        <v>0.103173</v>
      </c>
    </row>
    <row r="3736">
      <c r="A3736" s="24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5" t="n">
        <v>0.061553</v>
      </c>
    </row>
    <row r="3737">
      <c r="A3737" s="24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5" t="n">
        <v>0.066279</v>
      </c>
    </row>
    <row r="3738">
      <c r="A3738" s="24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5" t="n">
        <v>0.185929</v>
      </c>
    </row>
    <row r="3739">
      <c r="A3739" s="24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5" t="n">
        <v>0.242209</v>
      </c>
    </row>
    <row r="3740">
      <c r="A3740" s="24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5" t="n">
        <v>0.343453</v>
      </c>
    </row>
    <row r="3741">
      <c r="A3741" s="24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5" t="n">
        <v>0.389908</v>
      </c>
    </row>
    <row r="3742">
      <c r="A3742" s="24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5" t="n">
        <v>0.191177</v>
      </c>
    </row>
    <row r="3743">
      <c r="A3743" s="24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5" t="n">
        <v>0.266439</v>
      </c>
    </row>
    <row r="3744">
      <c r="A3744" s="24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5" t="n">
        <v>0.178205</v>
      </c>
    </row>
    <row r="3745">
      <c r="A3745" s="24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5" t="n">
        <v>0.156708</v>
      </c>
    </row>
    <row r="3746">
      <c r="A3746" s="24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5" t="n">
        <v>0.101616</v>
      </c>
    </row>
    <row r="3747">
      <c r="A3747" s="24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5" t="n">
        <v>0.152192</v>
      </c>
    </row>
    <row r="3748">
      <c r="A3748" s="24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5" t="n">
        <v>0.046571</v>
      </c>
    </row>
    <row r="3749">
      <c r="A3749" s="24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5" t="n">
        <v>0.03732</v>
      </c>
    </row>
    <row r="3750">
      <c r="A3750" s="24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5" t="n">
        <v>0.037142</v>
      </c>
    </row>
    <row r="3751">
      <c r="A3751" s="24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5" t="n">
        <v>0.08777699999999999</v>
      </c>
    </row>
    <row r="3752">
      <c r="A3752" s="24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5" t="n">
        <v>0.026668</v>
      </c>
    </row>
    <row r="3753">
      <c r="A3753" s="24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5" t="n">
        <v>0.02733</v>
      </c>
    </row>
    <row r="3754">
      <c r="A3754" s="24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5" t="n">
        <v>0.024182</v>
      </c>
    </row>
    <row r="3755">
      <c r="A3755" s="24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5" t="n">
        <v>0.125709</v>
      </c>
    </row>
    <row r="3756">
      <c r="A3756" s="24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5" t="n">
        <v>0.049421</v>
      </c>
    </row>
    <row r="3757">
      <c r="A3757" s="24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5" t="n">
        <v>0.147776</v>
      </c>
    </row>
    <row r="3758">
      <c r="A3758" s="24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5" t="n">
        <v>0.059556</v>
      </c>
    </row>
    <row r="3759">
      <c r="A3759" s="24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5" t="n">
        <v>0.066262</v>
      </c>
    </row>
    <row r="3760">
      <c r="A3760" s="24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5" t="n">
        <v>0.019746</v>
      </c>
    </row>
    <row r="3761">
      <c r="A3761" s="24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5" t="n">
        <v>0.045734</v>
      </c>
    </row>
    <row r="3762">
      <c r="A3762" s="24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5" t="n">
        <v>0.08727</v>
      </c>
    </row>
    <row r="3763">
      <c r="A3763" s="24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5" t="n">
        <v>0.05336</v>
      </c>
    </row>
    <row r="3764">
      <c r="A3764" s="24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5" t="n">
        <v>0.045299</v>
      </c>
    </row>
    <row r="3765">
      <c r="A3765" s="24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5" t="n">
        <v>0.028279</v>
      </c>
    </row>
    <row r="3766">
      <c r="A3766" s="24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5" t="n">
        <v>0.031323</v>
      </c>
    </row>
    <row r="3767">
      <c r="A3767" s="24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5" t="n">
        <v>0.2699</v>
      </c>
    </row>
    <row r="3768">
      <c r="A3768" s="24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5" t="n">
        <v>0.08851199999999999</v>
      </c>
    </row>
    <row r="3769">
      <c r="A3769" s="24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5" t="n">
        <v>0.107241</v>
      </c>
    </row>
    <row r="3770">
      <c r="A3770" s="24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5" t="n">
        <v>0.121852</v>
      </c>
    </row>
    <row r="3771">
      <c r="A3771" s="24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5" t="n">
        <v>0.050288</v>
      </c>
    </row>
    <row r="3772">
      <c r="A3772" s="24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5" t="n">
        <v>0.141845</v>
      </c>
    </row>
    <row r="3773">
      <c r="A3773" s="24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5" t="n">
        <v>0.192677</v>
      </c>
    </row>
    <row r="3774">
      <c r="A3774" s="24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5" t="n">
        <v>0.08692999999999999</v>
      </c>
    </row>
    <row r="3775">
      <c r="A3775" s="24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5" t="n">
        <v>0.177087</v>
      </c>
    </row>
    <row r="3776">
      <c r="A3776" s="24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5" t="n">
        <v>0.171804</v>
      </c>
    </row>
    <row r="3777">
      <c r="A3777" s="24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5" t="n">
        <v>0.365549</v>
      </c>
    </row>
    <row r="3778">
      <c r="A3778" s="24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5" t="n">
        <v>1.029017</v>
      </c>
    </row>
    <row r="3779">
      <c r="A3779" s="24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5" t="n">
        <v>1.035148</v>
      </c>
    </row>
    <row r="3780">
      <c r="A3780" s="24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5" t="n">
        <v>0.403808</v>
      </c>
    </row>
    <row r="3781">
      <c r="A3781" s="24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5" t="n">
        <v>0.405826</v>
      </c>
    </row>
    <row r="3782">
      <c r="A3782" s="24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5" t="n">
        <v>0.407167</v>
      </c>
    </row>
    <row r="3783">
      <c r="A3783" s="24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5" t="n">
        <v>0.266682</v>
      </c>
    </row>
    <row r="3784">
      <c r="A3784" s="24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5" t="n">
        <v>0.241067</v>
      </c>
    </row>
    <row r="3785">
      <c r="A3785" s="24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5" t="n">
        <v>0.063239</v>
      </c>
    </row>
    <row r="3786">
      <c r="A3786" s="24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5" t="n">
        <v>0.037462</v>
      </c>
    </row>
    <row r="3787">
      <c r="A3787" s="24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5" t="n">
        <v>0.034148</v>
      </c>
    </row>
    <row r="3788">
      <c r="A3788" s="24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5" t="n">
        <v>0.07903300000000001</v>
      </c>
    </row>
    <row r="3789">
      <c r="A3789" s="24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5" t="n">
        <v>0.309664</v>
      </c>
    </row>
    <row r="3790">
      <c r="A3790" s="24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5" t="n">
        <v>0.381642</v>
      </c>
    </row>
    <row r="3791">
      <c r="A3791" s="24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5" t="n">
        <v>0.469993</v>
      </c>
    </row>
    <row r="3792">
      <c r="A3792" s="24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5" t="n">
        <v>0.470447</v>
      </c>
    </row>
    <row r="3793">
      <c r="A3793" s="24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5" t="n">
        <v>0.407701</v>
      </c>
    </row>
    <row r="3794">
      <c r="A3794" s="24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5" t="n">
        <v>0.409996</v>
      </c>
    </row>
    <row r="3795">
      <c r="A3795" s="24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5" t="n">
        <v>0.819057</v>
      </c>
    </row>
    <row r="3796">
      <c r="A3796" s="24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5" t="n">
        <v>1.247687</v>
      </c>
    </row>
    <row r="3797">
      <c r="A3797" s="24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5" t="n">
        <v>0.848971</v>
      </c>
    </row>
    <row r="3798">
      <c r="A3798" s="24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5" t="n">
        <v>0.577499</v>
      </c>
    </row>
    <row r="3799">
      <c r="A3799" s="24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5" t="n">
        <v>1.516278</v>
      </c>
    </row>
    <row r="3800">
      <c r="A3800" s="24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5" t="n">
        <v>1.424518</v>
      </c>
    </row>
    <row r="3801">
      <c r="A3801" s="24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5" t="n">
        <v>1.28259</v>
      </c>
    </row>
    <row r="3802">
      <c r="A3802" s="24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5" t="n">
        <v>1.216941</v>
      </c>
    </row>
    <row r="3803">
      <c r="A3803" s="24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5" t="n">
        <v>0.649682</v>
      </c>
    </row>
    <row r="3804">
      <c r="A3804" s="24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5" t="n">
        <v>1.214885</v>
      </c>
    </row>
    <row r="3805">
      <c r="A3805" s="24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5" t="n">
        <v>0.971966</v>
      </c>
    </row>
    <row r="3806">
      <c r="A3806" s="24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5" t="n">
        <v>0.407236</v>
      </c>
    </row>
    <row r="3807">
      <c r="A3807" s="24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5" t="n">
        <v>0.417481</v>
      </c>
    </row>
    <row r="3808">
      <c r="A3808" s="24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5" t="n">
        <v>0.422518</v>
      </c>
    </row>
    <row r="3809">
      <c r="A3809" s="24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5" t="n">
        <v>0.771832</v>
      </c>
    </row>
    <row r="3810">
      <c r="A3810" s="24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5" t="n">
        <v>0.766368</v>
      </c>
    </row>
    <row r="3811">
      <c r="A3811" s="24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5" t="n">
        <v>0.882822</v>
      </c>
    </row>
    <row r="3812">
      <c r="A3812" s="24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5" t="n">
        <v>1.809359</v>
      </c>
    </row>
    <row r="3813">
      <c r="A3813" s="24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5" t="n">
        <v>1.33605</v>
      </c>
    </row>
    <row r="3814">
      <c r="A3814" s="24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5" t="n">
        <v>0.411743</v>
      </c>
    </row>
    <row r="3815">
      <c r="A3815" s="24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5" t="n">
        <v>0.971517</v>
      </c>
    </row>
    <row r="3816">
      <c r="A3816" s="24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5" t="n">
        <v>0.973179</v>
      </c>
    </row>
    <row r="3817">
      <c r="A3817" s="24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5" t="n">
        <v>0.411155</v>
      </c>
    </row>
    <row r="3818">
      <c r="A3818" s="24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5" t="n">
        <v>0.407805</v>
      </c>
    </row>
    <row r="3819">
      <c r="A3819" s="24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5" t="n">
        <v>0.684044</v>
      </c>
    </row>
    <row r="3820">
      <c r="A3820" s="24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5" t="n">
        <v>0.686283</v>
      </c>
    </row>
    <row r="3821">
      <c r="A3821" s="24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5" t="n">
        <v>0.409734</v>
      </c>
    </row>
    <row r="3822">
      <c r="A3822" s="24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5" t="n">
        <v>0.406618</v>
      </c>
    </row>
    <row r="3823">
      <c r="A3823" s="24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5" t="n">
        <v>0.220684</v>
      </c>
    </row>
    <row r="3824">
      <c r="A3824" s="24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5" t="n">
        <v>0.062331</v>
      </c>
    </row>
    <row r="3825">
      <c r="A3825" s="24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5" t="n">
        <v>0.116119</v>
      </c>
    </row>
    <row r="3826">
      <c r="A3826" s="24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5" t="n">
        <v>0.067727</v>
      </c>
    </row>
    <row r="3827">
      <c r="A3827" s="24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5" t="n">
        <v>0.072301</v>
      </c>
    </row>
    <row r="3828">
      <c r="A3828" s="24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5" t="n">
        <v>0.168726</v>
      </c>
    </row>
    <row r="3829">
      <c r="A3829" s="24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5" t="n">
        <v>0.350776</v>
      </c>
    </row>
    <row r="3830">
      <c r="A3830" s="24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5" t="n">
        <v>0.295281</v>
      </c>
    </row>
    <row r="3831">
      <c r="A3831" s="24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5" t="n">
        <v>0.389621</v>
      </c>
    </row>
    <row r="3832">
      <c r="A3832" s="24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5" t="n">
        <v>0.411068</v>
      </c>
    </row>
    <row r="3833">
      <c r="A3833" s="24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5" t="n">
        <v>0.41561</v>
      </c>
    </row>
    <row r="3834">
      <c r="A3834" s="24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5" t="n">
        <v>0.412961</v>
      </c>
    </row>
    <row r="3835">
      <c r="A3835" s="24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5" t="n">
        <v>0.410009</v>
      </c>
    </row>
    <row r="3836">
      <c r="A3836" s="24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5" t="n">
        <v>0.40522</v>
      </c>
    </row>
    <row r="3837">
      <c r="A3837" s="24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5" t="n">
        <v>0.269587</v>
      </c>
    </row>
    <row r="3838">
      <c r="A3838" s="24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5" t="n">
        <v>0.345691</v>
      </c>
    </row>
    <row r="3839">
      <c r="A3839" s="24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5" t="n">
        <v>0.104434</v>
      </c>
    </row>
    <row r="3840">
      <c r="A3840" s="24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5" t="n">
        <v>0.06666900000000001</v>
      </c>
    </row>
    <row r="3841">
      <c r="A3841" s="24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5" t="n">
        <v>0.041304</v>
      </c>
    </row>
    <row r="3842">
      <c r="A3842" s="24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5" t="n">
        <v>0.048848</v>
      </c>
    </row>
    <row r="3843">
      <c r="A3843" s="24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5" t="n">
        <v>0.149586</v>
      </c>
    </row>
    <row r="3844">
      <c r="A3844" s="24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5" t="n">
        <v>0.353472</v>
      </c>
    </row>
    <row r="3845">
      <c r="A3845" s="24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5" t="n">
        <v>0.455718</v>
      </c>
    </row>
    <row r="3846">
      <c r="A3846" s="24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5" t="n">
        <v>0.468935</v>
      </c>
    </row>
    <row r="3847">
      <c r="A3847" s="24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5" t="n">
        <v>0.402229</v>
      </c>
    </row>
    <row r="3848">
      <c r="A3848" s="24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5" t="n">
        <v>0.497052</v>
      </c>
    </row>
    <row r="3849">
      <c r="A3849" s="24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5" t="n">
        <v>0.500282</v>
      </c>
    </row>
    <row r="3850">
      <c r="A3850" s="24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5" t="n">
        <v>0.406267</v>
      </c>
    </row>
    <row r="3851">
      <c r="A3851" s="24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5" t="n">
        <v>0.393371</v>
      </c>
    </row>
    <row r="3852">
      <c r="A3852" s="24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5" t="n">
        <v>0.110913</v>
      </c>
    </row>
    <row r="3853">
      <c r="A3853" s="24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5" t="n">
        <v>0.08602700000000001</v>
      </c>
    </row>
    <row r="3854">
      <c r="A3854" s="24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5" t="n">
        <v>0.044306</v>
      </c>
    </row>
    <row r="3855">
      <c r="A3855" s="24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5" t="n">
        <v>0.062152</v>
      </c>
    </row>
    <row r="3856">
      <c r="A3856" s="24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5" t="n">
        <v>0.101616</v>
      </c>
    </row>
    <row r="3857">
      <c r="A3857" s="24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5" t="n">
        <v>0.2422</v>
      </c>
    </row>
    <row r="3858">
      <c r="A3858" s="24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5" t="n">
        <v>0.371988</v>
      </c>
    </row>
    <row r="3859">
      <c r="A3859" s="24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5" t="n">
        <v>0.394112</v>
      </c>
    </row>
    <row r="3860">
      <c r="A3860" s="24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5" t="n">
        <v>0.298639</v>
      </c>
    </row>
    <row r="3861">
      <c r="A3861" s="24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5" t="n">
        <v>0.071133</v>
      </c>
    </row>
    <row r="3862">
      <c r="A3862" s="24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5" t="n">
        <v>0.08262799999999999</v>
      </c>
    </row>
    <row r="3863">
      <c r="A3863" s="24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5" t="n">
        <v>0.06359099999999999</v>
      </c>
    </row>
    <row r="3864">
      <c r="A3864" s="24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5" t="n">
        <v>0.030123</v>
      </c>
    </row>
    <row r="3865">
      <c r="A3865" s="24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5" t="n">
        <v>0.020705</v>
      </c>
    </row>
    <row r="3866">
      <c r="A3866" s="24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5" t="n">
        <v>0.032827</v>
      </c>
    </row>
    <row r="3867">
      <c r="A3867" s="24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5" t="n">
        <v>0.333745</v>
      </c>
    </row>
    <row r="3868">
      <c r="A3868" s="24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5" t="n">
        <v>0.698827</v>
      </c>
    </row>
    <row r="3869">
      <c r="A3869" s="24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5" t="n">
        <v>0.803341</v>
      </c>
    </row>
    <row r="3870">
      <c r="A3870" s="24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5" t="n">
        <v>0.668416</v>
      </c>
    </row>
    <row r="3871">
      <c r="A3871" s="24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5" t="n">
        <v>0.584176</v>
      </c>
    </row>
    <row r="3872">
      <c r="A3872" s="24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5" t="n">
        <v>0.404211</v>
      </c>
    </row>
    <row r="3873">
      <c r="A3873" s="24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5" t="n">
        <v>0.359223</v>
      </c>
    </row>
    <row r="3874">
      <c r="A3874" s="24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5" t="n">
        <v>0.091237</v>
      </c>
    </row>
    <row r="3875">
      <c r="A3875" s="24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5" t="n">
        <v>0.049272</v>
      </c>
    </row>
    <row r="3876">
      <c r="A3876" s="24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5" t="n">
        <v>0.03869</v>
      </c>
    </row>
    <row r="3877">
      <c r="A3877" s="24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5" t="n">
        <v>0.234975</v>
      </c>
    </row>
    <row r="3878">
      <c r="A3878" s="24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5" t="n">
        <v>0.206259</v>
      </c>
    </row>
    <row r="3879">
      <c r="A3879" s="24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5" t="n">
        <v>0.050241</v>
      </c>
    </row>
    <row r="3880">
      <c r="A3880" s="24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5" t="n">
        <v>0.02589</v>
      </c>
    </row>
    <row r="3881">
      <c r="A3881" s="24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5" t="n">
        <v>0.019206</v>
      </c>
    </row>
    <row r="3882">
      <c r="A3882" s="24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5" t="n">
        <v>0.027252</v>
      </c>
    </row>
    <row r="3883">
      <c r="A3883" s="24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5" t="n">
        <v>0.045678</v>
      </c>
    </row>
    <row r="3884">
      <c r="A3884" s="24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5" t="n">
        <v>0.198783</v>
      </c>
    </row>
    <row r="3885">
      <c r="A3885" s="24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5" t="n">
        <v>0.044524</v>
      </c>
    </row>
    <row r="3886">
      <c r="A3886" s="24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5" t="n">
        <v>0.018759</v>
      </c>
    </row>
    <row r="3887">
      <c r="A3887" s="24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5" t="n">
        <v>0.011021</v>
      </c>
    </row>
    <row r="3888">
      <c r="A3888" s="24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5" t="n">
        <v>0.06310200000000001</v>
      </c>
    </row>
    <row r="3889">
      <c r="A3889" s="24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5" t="n">
        <v>0.025003</v>
      </c>
    </row>
    <row r="3890">
      <c r="A3890" s="24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5" t="n">
        <v>0.030485</v>
      </c>
    </row>
    <row r="3891">
      <c r="A3891" s="24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5" t="n">
        <v>0.018148</v>
      </c>
    </row>
    <row r="3892">
      <c r="A3892" s="24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5" t="n">
        <v>0.022015</v>
      </c>
    </row>
    <row r="3893">
      <c r="A3893" s="24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5" t="n">
        <v>0.067292</v>
      </c>
    </row>
    <row r="3894">
      <c r="A3894" s="24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5" t="n">
        <v>0.136833</v>
      </c>
    </row>
    <row r="3895">
      <c r="A3895" s="24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5" t="n">
        <v>0.052436</v>
      </c>
    </row>
    <row r="3896">
      <c r="A3896" s="24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5" t="n">
        <v>0.018879</v>
      </c>
    </row>
    <row r="3897">
      <c r="A3897" s="24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5" t="n">
        <v>0.07049999999999999</v>
      </c>
    </row>
    <row r="3898">
      <c r="A3898" s="24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5" t="n">
        <v>0.201177</v>
      </c>
    </row>
    <row r="3899">
      <c r="A3899" s="24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5" t="n">
        <v>0.093789</v>
      </c>
    </row>
    <row r="3900">
      <c r="A3900" s="24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5" t="n">
        <v>0.353583</v>
      </c>
    </row>
    <row r="3901">
      <c r="A3901" s="24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5" t="n">
        <v>0.385638</v>
      </c>
    </row>
    <row r="3902">
      <c r="A3902" s="24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5" t="n">
        <v>0.399989</v>
      </c>
    </row>
    <row r="3903">
      <c r="A3903" s="24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5" t="n">
        <v>0.405136</v>
      </c>
    </row>
    <row r="3904">
      <c r="A3904" s="24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5" t="n">
        <v>0.109186</v>
      </c>
    </row>
    <row r="3905">
      <c r="A3905" s="24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5" t="n">
        <v>1.147949</v>
      </c>
    </row>
    <row r="3906">
      <c r="A3906" s="24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5" t="n">
        <v>1.946415</v>
      </c>
    </row>
    <row r="3907">
      <c r="A3907" s="24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5" t="n">
        <v>1.175745</v>
      </c>
    </row>
    <row r="3908">
      <c r="A3908" s="24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5" t="n">
        <v>0.402588</v>
      </c>
    </row>
    <row r="3909">
      <c r="A3909" s="24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5" t="n">
        <v>0.40714</v>
      </c>
    </row>
    <row r="3910">
      <c r="A3910" s="24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5" t="n">
        <v>0.376302</v>
      </c>
    </row>
    <row r="3911">
      <c r="A3911" s="24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5" t="n">
        <v>0.130113</v>
      </c>
    </row>
    <row r="3912">
      <c r="A3912" s="24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5" t="n">
        <v>0.162093</v>
      </c>
    </row>
    <row r="3913">
      <c r="A3913" s="24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5" t="n">
        <v>0.129325</v>
      </c>
    </row>
    <row r="3914">
      <c r="A3914" s="24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5" t="n">
        <v>0.140513</v>
      </c>
    </row>
    <row r="3915">
      <c r="A3915" s="24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5" t="n">
        <v>0.084616</v>
      </c>
    </row>
    <row r="3916">
      <c r="A3916" s="24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5" t="n">
        <v>0.134549</v>
      </c>
    </row>
    <row r="3917">
      <c r="A3917" s="24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5" t="n">
        <v>0.089281</v>
      </c>
    </row>
    <row r="3918">
      <c r="A3918" s="24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5" t="n">
        <v>0.028207</v>
      </c>
    </row>
    <row r="3919">
      <c r="A3919" s="24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5" t="n">
        <v>0.267589</v>
      </c>
    </row>
    <row r="3920">
      <c r="A3920" s="24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5" t="n">
        <v>0.112872</v>
      </c>
    </row>
    <row r="3921">
      <c r="A3921" s="24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5" t="n">
        <v>0.035113</v>
      </c>
    </row>
    <row r="3922">
      <c r="A3922" s="24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5" t="n">
        <v>0.024834</v>
      </c>
    </row>
    <row r="3923">
      <c r="A3923" s="24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5" t="n">
        <v>0.011929</v>
      </c>
    </row>
    <row r="3924">
      <c r="A3924" s="24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5" t="n">
        <v>0.02087</v>
      </c>
    </row>
    <row r="3925">
      <c r="A3925" s="24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5" t="n">
        <v>0.021741</v>
      </c>
    </row>
    <row r="3926">
      <c r="A3926" s="24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5" t="n">
        <v>0.010699</v>
      </c>
    </row>
    <row r="3927">
      <c r="A3927" s="24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5" t="n">
        <v>0.014742</v>
      </c>
    </row>
    <row r="3928">
      <c r="A3928" s="24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5" t="n">
        <v>0.07794</v>
      </c>
    </row>
    <row r="3929">
      <c r="A3929" s="24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5" t="n">
        <v>0.026834</v>
      </c>
    </row>
    <row r="3930">
      <c r="A3930" s="24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5" t="n">
        <v>0.015798</v>
      </c>
    </row>
    <row r="3931">
      <c r="A3931" s="24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5" t="n">
        <v>0.008481000000000001</v>
      </c>
    </row>
    <row r="3932">
      <c r="A3932" s="24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5" t="n">
        <v>0.016223</v>
      </c>
    </row>
    <row r="3933">
      <c r="A3933" s="24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5" t="n">
        <v>0.055703</v>
      </c>
    </row>
    <row r="3934">
      <c r="A3934" s="24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5" t="n">
        <v>0.092629</v>
      </c>
    </row>
    <row r="3935">
      <c r="A3935" s="24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5" t="n">
        <v>0.036327</v>
      </c>
    </row>
    <row r="3936">
      <c r="A3936" s="24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5" t="n">
        <v>0.033882</v>
      </c>
    </row>
    <row r="3937">
      <c r="A3937" s="24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5" t="n">
        <v>0.015736</v>
      </c>
    </row>
    <row r="3938">
      <c r="A3938" s="24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5" t="n">
        <v>0.01063</v>
      </c>
    </row>
    <row r="3939">
      <c r="A3939" s="24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5" t="n">
        <v>0.13935</v>
      </c>
    </row>
    <row r="3940">
      <c r="A3940" s="24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5" t="n">
        <v>0.08458599999999999</v>
      </c>
    </row>
    <row r="3941">
      <c r="A3941" s="24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5" t="n">
        <v>0.032251</v>
      </c>
    </row>
    <row r="3942">
      <c r="A3942" s="24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5" t="n">
        <v>0.023297</v>
      </c>
    </row>
    <row r="3943">
      <c r="A3943" s="24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5" t="n">
        <v>0.105605</v>
      </c>
    </row>
    <row r="3944">
      <c r="A3944" s="24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5" t="n">
        <v>0.185549</v>
      </c>
    </row>
    <row r="3945">
      <c r="A3945" s="24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5" t="n">
        <v>0.054561</v>
      </c>
    </row>
    <row r="3946">
      <c r="A3946" s="24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5" t="n">
        <v>0.073145</v>
      </c>
    </row>
    <row r="3947">
      <c r="A3947" s="24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5" t="n">
        <v>0.088697</v>
      </c>
    </row>
    <row r="3948">
      <c r="A3948" s="24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5" t="n">
        <v>0.040499</v>
      </c>
    </row>
    <row r="3949">
      <c r="A3949" s="24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5" t="n">
        <v>0.054881</v>
      </c>
    </row>
    <row r="3950">
      <c r="A3950" s="24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5" t="n">
        <v>0.116069</v>
      </c>
    </row>
    <row r="3951">
      <c r="A3951" s="24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5" t="n">
        <v>0.050639</v>
      </c>
    </row>
    <row r="3952">
      <c r="A3952" s="24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5" t="n">
        <v>0.098498</v>
      </c>
    </row>
    <row r="3953">
      <c r="A3953" s="24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5" t="n">
        <v>0.224595</v>
      </c>
    </row>
    <row r="3954">
      <c r="A3954" s="24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5" t="n">
        <v>0.236125</v>
      </c>
    </row>
    <row r="3955">
      <c r="A3955" s="24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5" t="n">
        <v>0.077094</v>
      </c>
    </row>
    <row r="3956">
      <c r="A3956" s="24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5" t="n">
        <v>0.076112</v>
      </c>
    </row>
    <row r="3957">
      <c r="A3957" s="24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5" t="n">
        <v>0.116919</v>
      </c>
    </row>
    <row r="3958">
      <c r="A3958" s="24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5" t="n">
        <v>0.149312</v>
      </c>
    </row>
    <row r="3959">
      <c r="A3959" s="24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5" t="n">
        <v>0.352583</v>
      </c>
    </row>
    <row r="3960">
      <c r="A3960" s="24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5" t="n">
        <v>0.100659</v>
      </c>
    </row>
    <row r="3961">
      <c r="A3961" s="24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5" t="n">
        <v>0.068004</v>
      </c>
    </row>
    <row r="3962">
      <c r="A3962" s="24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5" t="n">
        <v>0.057456</v>
      </c>
    </row>
    <row r="3963">
      <c r="A3963" s="24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5" t="n">
        <v>0.08956699999999999</v>
      </c>
    </row>
    <row r="3964">
      <c r="A3964" s="24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5" t="n">
        <v>0.058386</v>
      </c>
    </row>
    <row r="3965">
      <c r="A3965" s="24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5" t="n">
        <v>0.102142</v>
      </c>
    </row>
    <row r="3966">
      <c r="A3966" s="24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5" t="n">
        <v>0.209303</v>
      </c>
    </row>
    <row r="3967">
      <c r="A3967" s="24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5" t="n">
        <v>0.111255</v>
      </c>
    </row>
    <row r="3968">
      <c r="A3968" s="24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5" t="n">
        <v>0.031546</v>
      </c>
    </row>
    <row r="3969">
      <c r="A3969" s="24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5" t="n">
        <v>0.047082</v>
      </c>
    </row>
    <row r="3970">
      <c r="A3970" s="24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5" t="n">
        <v>0.017212</v>
      </c>
    </row>
    <row r="3971">
      <c r="A3971" s="24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5" t="n">
        <v>0.007157</v>
      </c>
    </row>
    <row r="3972">
      <c r="A3972" s="24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5" t="n">
        <v>0.03009</v>
      </c>
    </row>
    <row r="3973">
      <c r="A3973" s="24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5" t="n">
        <v>0.018853</v>
      </c>
    </row>
    <row r="3974">
      <c r="A3974" s="24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5" t="n">
        <v>0.009483999999999999</v>
      </c>
    </row>
    <row r="3975">
      <c r="A3975" s="24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5" t="n">
        <v>0.008241</v>
      </c>
    </row>
    <row r="3976">
      <c r="A3976" s="24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5" t="n">
        <v>0.006039</v>
      </c>
    </row>
    <row r="3977">
      <c r="A3977" s="24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5" t="n">
        <v>0.158329</v>
      </c>
    </row>
    <row r="3978">
      <c r="A3978" s="24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5" t="n">
        <v>0.05895</v>
      </c>
    </row>
    <row r="3979">
      <c r="A3979" s="24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5" t="n">
        <v>0.025069</v>
      </c>
    </row>
    <row r="3980">
      <c r="A3980" s="24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5" t="n">
        <v>0.016544</v>
      </c>
    </row>
    <row r="3981">
      <c r="A3981" s="24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5" t="n">
        <v>0.0342</v>
      </c>
    </row>
    <row r="3982">
      <c r="A3982" s="24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5" t="n">
        <v>0.009783999999999999</v>
      </c>
    </row>
    <row r="3983">
      <c r="A3983" s="24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5" t="n">
        <v>0.020964</v>
      </c>
    </row>
    <row r="3984">
      <c r="A3984" s="24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5" t="n">
        <v>0.020534</v>
      </c>
    </row>
    <row r="3985">
      <c r="A3985" s="24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5" t="n">
        <v>0.059273</v>
      </c>
    </row>
    <row r="3986">
      <c r="A3986" s="24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5" t="n">
        <v>0.041537</v>
      </c>
    </row>
    <row r="3987">
      <c r="A3987" s="24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5" t="n">
        <v>0.06407599999999999</v>
      </c>
    </row>
    <row r="3988">
      <c r="A3988" s="24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5" t="n">
        <v>0.065216</v>
      </c>
    </row>
    <row r="3989">
      <c r="A3989" s="24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5" t="n">
        <v>0.343677</v>
      </c>
    </row>
    <row r="3990">
      <c r="A3990" s="24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5" t="n">
        <v>0.366347</v>
      </c>
    </row>
    <row r="3991">
      <c r="A3991" s="24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5" t="n">
        <v>0.07831</v>
      </c>
    </row>
    <row r="3992">
      <c r="A3992" s="24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5" t="n">
        <v>0.047892</v>
      </c>
    </row>
    <row r="3993">
      <c r="A3993" s="24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5" t="n">
        <v>0.032682</v>
      </c>
    </row>
    <row r="3994">
      <c r="A3994" s="24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5" t="n">
        <v>0.027243</v>
      </c>
    </row>
    <row r="3995">
      <c r="A3995" s="24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5" t="n">
        <v>0.082361</v>
      </c>
    </row>
    <row r="3996">
      <c r="A3996" s="24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5" t="n">
        <v>0.057678</v>
      </c>
    </row>
    <row r="3997">
      <c r="A3997" s="24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5" t="n">
        <v>0.024397</v>
      </c>
    </row>
    <row r="3998">
      <c r="A3998" s="24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5" t="n">
        <v>0.179128</v>
      </c>
    </row>
    <row r="3999">
      <c r="A3999" s="24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5" t="n">
        <v>0.074654</v>
      </c>
    </row>
    <row r="4000">
      <c r="A4000" s="24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5" t="n">
        <v>0.137853</v>
      </c>
    </row>
    <row r="4001">
      <c r="A4001" s="24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5" t="n">
        <v>0.06526700000000001</v>
      </c>
    </row>
    <row r="4002">
      <c r="A4002" s="24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5" t="n">
        <v>0.021273</v>
      </c>
    </row>
    <row r="4003">
      <c r="A4003" s="24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5" t="n">
        <v>0.010691</v>
      </c>
    </row>
    <row r="4004">
      <c r="A4004" s="24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5" t="n">
        <v>0.00838</v>
      </c>
    </row>
    <row r="4005">
      <c r="A4005" s="24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5" t="n">
        <v>0.06429700000000001</v>
      </c>
    </row>
    <row r="4006">
      <c r="A4006" s="24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5" t="n">
        <v>0.011511</v>
      </c>
    </row>
    <row r="4007">
      <c r="A4007" s="24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5" t="n">
        <v>0.009845</v>
      </c>
    </row>
    <row r="4008">
      <c r="A4008" s="24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5" t="n">
        <v>0.021686</v>
      </c>
    </row>
    <row r="4009">
      <c r="A4009" s="24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5" t="n">
        <v>0.041952</v>
      </c>
    </row>
    <row r="4010">
      <c r="A4010" s="24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5" t="n">
        <v>0.009841000000000001</v>
      </c>
    </row>
    <row r="4011">
      <c r="A4011" s="24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5" t="n">
        <v>0.007675</v>
      </c>
    </row>
    <row r="4012">
      <c r="A4012" s="24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5" t="n">
        <v>0.030829</v>
      </c>
    </row>
    <row r="4013">
      <c r="A4013" s="24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5" t="n">
        <v>0.152277</v>
      </c>
    </row>
    <row r="4014">
      <c r="A4014" s="24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5" t="n">
        <v>0.076278</v>
      </c>
    </row>
    <row r="4015">
      <c r="A4015" s="24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5" t="n">
        <v>0.114822</v>
      </c>
    </row>
    <row r="4016">
      <c r="A4016" s="24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5" t="n">
        <v>0.041536</v>
      </c>
    </row>
    <row r="4017">
      <c r="A4017" s="24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5" t="n">
        <v>0.017609</v>
      </c>
    </row>
    <row r="4018">
      <c r="A4018" s="24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5" t="n">
        <v>0.049137</v>
      </c>
    </row>
    <row r="4019">
      <c r="A4019" s="24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5" t="n">
        <v>0.160495</v>
      </c>
    </row>
    <row r="4020">
      <c r="A4020" s="24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5" t="n">
        <v>0.092421</v>
      </c>
    </row>
    <row r="4021">
      <c r="A4021" s="24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5" t="n">
        <v>0.038242</v>
      </c>
    </row>
    <row r="4022">
      <c r="A4022" s="24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5" t="n">
        <v>0.063819</v>
      </c>
    </row>
    <row r="4023">
      <c r="A4023" s="24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5" t="n">
        <v>0.046429</v>
      </c>
    </row>
    <row r="4024">
      <c r="A4024" s="24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5" t="n">
        <v>0.034079</v>
      </c>
    </row>
    <row r="4025">
      <c r="A4025" s="24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5" t="n">
        <v>0.165339</v>
      </c>
    </row>
    <row r="4026">
      <c r="A4026" s="24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5" t="n">
        <v>0.096497</v>
      </c>
    </row>
    <row r="4027">
      <c r="A4027" s="24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5" t="n">
        <v>0.035964</v>
      </c>
    </row>
    <row r="4028">
      <c r="A4028" s="24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5" t="n">
        <v>0.091229</v>
      </c>
    </row>
    <row r="4029">
      <c r="A4029" s="24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5" t="n">
        <v>0.047569</v>
      </c>
    </row>
    <row r="4030">
      <c r="A4030" s="24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5" t="n">
        <v>0.026794</v>
      </c>
    </row>
    <row r="4031">
      <c r="A4031" s="24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5" t="n">
        <v>0.012462</v>
      </c>
    </row>
    <row r="4032">
      <c r="A4032" s="24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5" t="n">
        <v>0.026224</v>
      </c>
    </row>
    <row r="4033">
      <c r="A4033" s="24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5" t="n">
        <v>0.047227</v>
      </c>
    </row>
    <row r="4034">
      <c r="A4034" s="24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5" t="n">
        <v>0.031573</v>
      </c>
    </row>
    <row r="4035">
      <c r="A4035" s="24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5" t="n">
        <v>0.020317</v>
      </c>
    </row>
    <row r="4036">
      <c r="A4036" s="24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5" t="n">
        <v>0.041898</v>
      </c>
    </row>
    <row r="4037">
      <c r="A4037" s="24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5" t="n">
        <v>0.025886</v>
      </c>
    </row>
    <row r="4038">
      <c r="A4038" s="24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5" t="n">
        <v>0.007756</v>
      </c>
    </row>
    <row r="4039">
      <c r="A4039" s="24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5" t="n">
        <v>0.010428</v>
      </c>
    </row>
    <row r="4040">
      <c r="A4040" s="24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5" t="n">
        <v>0.009727</v>
      </c>
    </row>
    <row r="4041">
      <c r="A4041" s="24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5" t="n">
        <v>0.078279</v>
      </c>
    </row>
    <row r="4042">
      <c r="A4042" s="24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5" t="n">
        <v>0.027904</v>
      </c>
    </row>
    <row r="4043">
      <c r="A4043" s="24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5" t="n">
        <v>0.020798</v>
      </c>
    </row>
    <row r="4044">
      <c r="A4044" s="24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5" t="n">
        <v>0.098278</v>
      </c>
    </row>
    <row r="4045">
      <c r="A4045" s="24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5" t="n">
        <v>0.02434</v>
      </c>
    </row>
    <row r="4046">
      <c r="A4046" s="24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5" t="n">
        <v>0.06464300000000001</v>
      </c>
    </row>
    <row r="4047">
      <c r="A4047" s="24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5" t="n">
        <v>0.018462</v>
      </c>
    </row>
    <row r="4048">
      <c r="A4048" s="24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5" t="n">
        <v>0.008248999999999999</v>
      </c>
    </row>
    <row r="4049">
      <c r="A4049" s="24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5" t="n">
        <v>0.009394</v>
      </c>
    </row>
    <row r="4050">
      <c r="A4050" s="24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5" t="n">
        <v>0.027818</v>
      </c>
    </row>
    <row r="4051">
      <c r="A4051" s="24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5" t="n">
        <v>0.00911</v>
      </c>
    </row>
    <row r="4052">
      <c r="A4052" s="24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5" t="n">
        <v>0.007917</v>
      </c>
    </row>
    <row r="4053">
      <c r="A4053" s="24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5" t="n">
        <v>0.010324</v>
      </c>
    </row>
    <row r="4054">
      <c r="A4054" s="24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5" t="n">
        <v>0.035408</v>
      </c>
    </row>
    <row r="4055">
      <c r="A4055" s="24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5" t="n">
        <v>0.05021</v>
      </c>
    </row>
    <row r="4056">
      <c r="A4056" s="24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5" t="n">
        <v>0.047541</v>
      </c>
    </row>
    <row r="4057">
      <c r="A4057" s="24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5" t="n">
        <v>0.017972</v>
      </c>
    </row>
    <row r="4058">
      <c r="A4058" s="24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5" t="n">
        <v>0.010441</v>
      </c>
    </row>
    <row r="4059">
      <c r="A4059" s="24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5" t="n">
        <v>0.015509</v>
      </c>
    </row>
    <row r="4060">
      <c r="A4060" s="24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5" t="n">
        <v>0.021992</v>
      </c>
    </row>
    <row r="4061">
      <c r="A4061" s="24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5" t="n">
        <v>0.03157</v>
      </c>
    </row>
    <row r="4062">
      <c r="A4062" s="24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5" t="n">
        <v>0.025074</v>
      </c>
    </row>
    <row r="4063">
      <c r="A4063" s="24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5" t="n">
        <v>0.021537</v>
      </c>
    </row>
    <row r="4064">
      <c r="A4064" s="24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5" t="n">
        <v>0.08808199999999999</v>
      </c>
    </row>
    <row r="4065">
      <c r="A4065" s="24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5" t="n">
        <v>0.034778</v>
      </c>
    </row>
    <row r="4066">
      <c r="A4066" s="24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5" t="n">
        <v>0.052367</v>
      </c>
    </row>
    <row r="4067">
      <c r="A4067" s="24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5" t="n">
        <v>0.027989</v>
      </c>
    </row>
    <row r="4068">
      <c r="A4068" s="24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5" t="n">
        <v>0.09765</v>
      </c>
    </row>
    <row r="4069">
      <c r="A4069" s="24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5" t="n">
        <v>0.222694</v>
      </c>
    </row>
    <row r="4070">
      <c r="A4070" s="24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5" t="n">
        <v>0.054116</v>
      </c>
    </row>
    <row r="4071">
      <c r="A4071" s="24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5" t="n">
        <v>0.054326</v>
      </c>
    </row>
    <row r="4072">
      <c r="A4072" s="24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5" t="n">
        <v>0.11539</v>
      </c>
    </row>
    <row r="4073">
      <c r="A4073" s="24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5" t="n">
        <v>0.074671</v>
      </c>
    </row>
    <row r="4074">
      <c r="A4074" s="24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5" t="n">
        <v>0.052064</v>
      </c>
    </row>
    <row r="4075">
      <c r="A4075" s="24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5" t="n">
        <v>0.015936</v>
      </c>
    </row>
    <row r="4076">
      <c r="A4076" s="24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5" t="n">
        <v>0.011482</v>
      </c>
    </row>
    <row r="4077">
      <c r="A4077" s="24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5" t="n">
        <v>0.073182</v>
      </c>
    </row>
    <row r="4078">
      <c r="A4078" s="24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5" t="n">
        <v>0.074546</v>
      </c>
    </row>
    <row r="4079">
      <c r="A4079" s="24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5" t="n">
        <v>0.019415</v>
      </c>
    </row>
    <row r="4080">
      <c r="A4080" s="24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5" t="n">
        <v>0.050058</v>
      </c>
    </row>
    <row r="4081">
      <c r="A4081" s="24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5" t="n">
        <v>0.030144</v>
      </c>
    </row>
    <row r="4082">
      <c r="A4082" s="24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5" t="n">
        <v>0.013601</v>
      </c>
    </row>
    <row r="4083">
      <c r="A4083" s="24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5" t="n">
        <v>0.028827</v>
      </c>
    </row>
    <row r="4084">
      <c r="A4084" s="24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5" t="n">
        <v>0.012886</v>
      </c>
    </row>
    <row r="4085">
      <c r="A4085" s="24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5" t="n">
        <v>0.028633</v>
      </c>
    </row>
    <row r="4086">
      <c r="A4086" s="24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5" t="n">
        <v>0.304731</v>
      </c>
    </row>
    <row r="4087">
      <c r="A4087" s="24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5" t="n">
        <v>0.143712</v>
      </c>
    </row>
    <row r="4088">
      <c r="A4088" s="24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5" t="n">
        <v>0.5866130000000001</v>
      </c>
    </row>
    <row r="4089">
      <c r="A4089" s="24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5" t="n">
        <v>0.610544</v>
      </c>
    </row>
    <row r="4090">
      <c r="A4090" s="24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5" t="n">
        <v>0.393242</v>
      </c>
    </row>
    <row r="4091">
      <c r="A4091" s="24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5" t="n">
        <v>0.403225</v>
      </c>
    </row>
    <row r="4092">
      <c r="A4092" s="24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5" t="n">
        <v>0.524769</v>
      </c>
    </row>
    <row r="4093">
      <c r="A4093" s="24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5" t="n">
        <v>0.525564</v>
      </c>
    </row>
    <row r="4094">
      <c r="A4094" s="24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5" t="n">
        <v>0.409696</v>
      </c>
    </row>
    <row r="4095">
      <c r="A4095" s="24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5" t="n">
        <v>0.407313</v>
      </c>
    </row>
    <row r="4096">
      <c r="A4096" s="24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5" t="n">
        <v>0.278435</v>
      </c>
    </row>
    <row r="4097">
      <c r="A4097" s="24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5" t="n">
        <v>0.139528</v>
      </c>
    </row>
    <row r="4098">
      <c r="A4098" s="24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5" t="n">
        <v>0.130785</v>
      </c>
    </row>
    <row r="4099">
      <c r="A4099" s="24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5" t="n">
        <v>0.191863</v>
      </c>
    </row>
    <row r="4100">
      <c r="A4100" s="24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5" t="n">
        <v>0.153318</v>
      </c>
    </row>
    <row r="4101">
      <c r="A4101" s="24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5" t="n">
        <v>0.189606</v>
      </c>
    </row>
    <row r="4102">
      <c r="A4102" s="24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5" t="n">
        <v>0.070184</v>
      </c>
    </row>
    <row r="4103">
      <c r="A4103" s="24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5" t="n">
        <v>0.046419</v>
      </c>
    </row>
    <row r="4104">
      <c r="A4104" s="24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5" t="n">
        <v>0.030866</v>
      </c>
    </row>
    <row r="4105">
      <c r="A4105" s="24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5" t="n">
        <v>0.189622</v>
      </c>
    </row>
    <row r="4106">
      <c r="A4106" s="24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5" t="n">
        <v>0.141682</v>
      </c>
    </row>
    <row r="4107">
      <c r="A4107" s="24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5" t="n">
        <v>0.213247</v>
      </c>
    </row>
    <row r="4108">
      <c r="A4108" s="24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5" t="n">
        <v>0.041678</v>
      </c>
    </row>
    <row r="4109">
      <c r="A4109" s="24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5" t="n">
        <v>0.080051</v>
      </c>
    </row>
    <row r="4110">
      <c r="A4110" s="24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5" t="n">
        <v>0.028059</v>
      </c>
    </row>
    <row r="4111">
      <c r="A4111" s="24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5" t="n">
        <v>0.199483</v>
      </c>
    </row>
    <row r="4112">
      <c r="A4112" s="24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5" t="n">
        <v>0.051164</v>
      </c>
    </row>
    <row r="4113">
      <c r="A4113" s="24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5" t="n">
        <v>0.040757</v>
      </c>
    </row>
    <row r="4114">
      <c r="A4114" s="24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5" t="n">
        <v>0.025471</v>
      </c>
    </row>
    <row r="4115">
      <c r="A4115" s="24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5" t="n">
        <v>0.015941</v>
      </c>
    </row>
    <row r="4116">
      <c r="A4116" s="24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5" t="n">
        <v>0.016513</v>
      </c>
    </row>
    <row r="4117">
      <c r="A4117" s="24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5" t="n">
        <v>0.017045</v>
      </c>
    </row>
    <row r="4118">
      <c r="A4118" s="24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5" t="n">
        <v>0.02301</v>
      </c>
    </row>
    <row r="4119">
      <c r="A4119" s="24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5" t="n">
        <v>0.024168</v>
      </c>
    </row>
    <row r="4120">
      <c r="A4120" s="24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5" t="n">
        <v>0.018978</v>
      </c>
    </row>
    <row r="4121">
      <c r="A4121" s="24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5" t="n">
        <v>0.010668</v>
      </c>
    </row>
    <row r="4122">
      <c r="A4122" s="24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5" t="n">
        <v>0.012282</v>
      </c>
    </row>
    <row r="4123">
      <c r="A4123" s="24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5" t="n">
        <v>0.020664</v>
      </c>
    </row>
    <row r="4124">
      <c r="A4124" s="24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5" t="n">
        <v>0.026862</v>
      </c>
    </row>
    <row r="4125">
      <c r="A4125" s="24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5" t="n">
        <v>0.032615</v>
      </c>
    </row>
    <row r="4126">
      <c r="A4126" s="24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5" t="n">
        <v>0.051724</v>
      </c>
    </row>
    <row r="4127">
      <c r="A4127" s="24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5" t="n">
        <v>0.018196</v>
      </c>
    </row>
    <row r="4128">
      <c r="A4128" s="24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5" t="n">
        <v>0.032737</v>
      </c>
    </row>
    <row r="4129">
      <c r="A4129" s="24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5" t="n">
        <v>0.061462</v>
      </c>
    </row>
    <row r="4130">
      <c r="A4130" s="24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5" t="n">
        <v>0.10078</v>
      </c>
    </row>
    <row r="4131">
      <c r="A4131" s="24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5" t="n">
        <v>0.074771</v>
      </c>
    </row>
    <row r="4132">
      <c r="A4132" s="24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5" t="n">
        <v>0.038169</v>
      </c>
    </row>
    <row r="4133">
      <c r="A4133" s="24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5" t="n">
        <v>0.011836</v>
      </c>
    </row>
    <row r="4134">
      <c r="A4134" s="24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5" t="n">
        <v>0.006314</v>
      </c>
    </row>
    <row r="4135">
      <c r="A4135" s="24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5" t="n">
        <v>0.041649</v>
      </c>
    </row>
    <row r="4136">
      <c r="A4136" s="24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5" t="n">
        <v>0.108521</v>
      </c>
    </row>
    <row r="4137">
      <c r="A4137" s="24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5" t="n">
        <v>0.026547</v>
      </c>
    </row>
    <row r="4138">
      <c r="A4138" s="24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5" t="n">
        <v>0.044747</v>
      </c>
    </row>
    <row r="4139">
      <c r="A4139" s="24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5" t="n">
        <v>0.19575</v>
      </c>
    </row>
    <row r="4140">
      <c r="A4140" s="24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5" t="n">
        <v>0.254901</v>
      </c>
    </row>
    <row r="4141">
      <c r="A4141" s="24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5" t="n">
        <v>0.141521</v>
      </c>
    </row>
    <row r="4142">
      <c r="A4142" s="24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5" t="n">
        <v>0.147865</v>
      </c>
    </row>
    <row r="4143">
      <c r="A4143" s="24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5" t="n">
        <v>0.102161</v>
      </c>
    </row>
    <row r="4144">
      <c r="A4144" s="24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5" t="n">
        <v>0.35897</v>
      </c>
    </row>
    <row r="4145">
      <c r="A4145" s="24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5" t="n">
        <v>0.387712</v>
      </c>
    </row>
    <row r="4146">
      <c r="A4146" s="24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5" t="n">
        <v>0.393579</v>
      </c>
    </row>
    <row r="4147">
      <c r="A4147" s="24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5" t="n">
        <v>0.406926</v>
      </c>
    </row>
    <row r="4148">
      <c r="A4148" s="24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5" t="n">
        <v>0.41298</v>
      </c>
    </row>
    <row r="4149">
      <c r="A4149" s="24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5" t="n">
        <v>0.316794</v>
      </c>
    </row>
    <row r="4150">
      <c r="A4150" s="24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5" t="n">
        <v>0.104423</v>
      </c>
    </row>
    <row r="4151">
      <c r="A4151" s="24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5" t="n">
        <v>0.049412</v>
      </c>
    </row>
    <row r="4152">
      <c r="A4152" s="24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5" t="n">
        <v>0.041762</v>
      </c>
    </row>
    <row r="4153">
      <c r="A4153" s="24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5" t="n">
        <v>0.04238</v>
      </c>
    </row>
    <row r="4154">
      <c r="A4154" s="24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5" t="n">
        <v>0.012129</v>
      </c>
    </row>
    <row r="4155">
      <c r="A4155" s="24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5" t="n">
        <v>0.011755</v>
      </c>
    </row>
    <row r="4156">
      <c r="A4156" s="24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5" t="n">
        <v>0.009724999999999999</v>
      </c>
    </row>
    <row r="4157">
      <c r="A4157" s="24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5" t="n">
        <v>0.009414</v>
      </c>
    </row>
    <row r="4158">
      <c r="A4158" s="24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5" t="n">
        <v>0.330399</v>
      </c>
    </row>
    <row r="4159">
      <c r="A4159" s="24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5" t="n">
        <v>0.188796</v>
      </c>
    </row>
    <row r="4160">
      <c r="A4160" s="24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5" t="n">
        <v>0.289028</v>
      </c>
    </row>
    <row r="4161">
      <c r="A4161" s="24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5" t="n">
        <v>0.075241</v>
      </c>
    </row>
    <row r="4162">
      <c r="A4162" s="24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5" t="n">
        <v>0.044401</v>
      </c>
    </row>
    <row r="4163">
      <c r="A4163" s="24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5" t="n">
        <v>0.07904899999999999</v>
      </c>
    </row>
    <row r="4164">
      <c r="A4164" s="24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5" t="n">
        <v>0.344271</v>
      </c>
    </row>
    <row r="4165">
      <c r="A4165" s="24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5" t="n">
        <v>0.381428</v>
      </c>
    </row>
    <row r="4166">
      <c r="A4166" s="24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5" t="n">
        <v>0.403265</v>
      </c>
    </row>
    <row r="4167">
      <c r="A4167" s="24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5" t="n">
        <v>0.407732</v>
      </c>
    </row>
    <row r="4168">
      <c r="A4168" s="24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5" t="n">
        <v>0.391339</v>
      </c>
    </row>
    <row r="4169">
      <c r="A4169" s="24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5" t="n">
        <v>0.831962</v>
      </c>
    </row>
    <row r="4170">
      <c r="A4170" s="24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5" t="n">
        <v>1.018624</v>
      </c>
    </row>
    <row r="4171">
      <c r="A4171" s="24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5" t="n">
        <v>0.5925319999999999</v>
      </c>
    </row>
    <row r="4172">
      <c r="A4172" s="24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5" t="n">
        <v>0.411827</v>
      </c>
    </row>
    <row r="4173">
      <c r="A4173" s="24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5" t="n">
        <v>0.519288</v>
      </c>
    </row>
    <row r="4174">
      <c r="A4174" s="24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5" t="n">
        <v>0.515776</v>
      </c>
    </row>
    <row r="4175">
      <c r="A4175" s="24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5" t="n">
        <v>0.408347</v>
      </c>
    </row>
    <row r="4176">
      <c r="A4176" s="24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5" t="n">
        <v>0.409194</v>
      </c>
    </row>
    <row r="4177">
      <c r="A4177" s="24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5" t="n">
        <v>0.499035</v>
      </c>
    </row>
    <row r="4178">
      <c r="A4178" s="24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5" t="n">
        <v>0.561194</v>
      </c>
    </row>
    <row r="4179">
      <c r="A4179" s="24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5" t="n">
        <v>0.471079</v>
      </c>
    </row>
    <row r="4180">
      <c r="A4180" s="24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5" t="n">
        <v>0.408239</v>
      </c>
    </row>
    <row r="4181">
      <c r="A4181" s="24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5" t="n">
        <v>1.339306</v>
      </c>
    </row>
    <row r="4182">
      <c r="A4182" s="24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5" t="n">
        <v>2.207101</v>
      </c>
    </row>
    <row r="4183">
      <c r="A4183" s="24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5" t="n">
        <v>2.118004</v>
      </c>
    </row>
    <row r="4184">
      <c r="A4184" s="24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5" t="n">
        <v>1.249848</v>
      </c>
    </row>
    <row r="4185">
      <c r="A4185" s="24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5" t="n">
        <v>0.408097</v>
      </c>
    </row>
    <row r="4186">
      <c r="A4186" s="24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5" t="n">
        <v>0.407563</v>
      </c>
    </row>
    <row r="4187">
      <c r="A4187" s="24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5" t="n">
        <v>0.151124</v>
      </c>
    </row>
    <row r="4188">
      <c r="A4188" s="24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5" t="n">
        <v>0.052403</v>
      </c>
    </row>
    <row r="4189">
      <c r="A4189" s="24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5" t="n">
        <v>0.031616</v>
      </c>
    </row>
    <row r="4190">
      <c r="A4190" s="24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5" t="n">
        <v>0.037504</v>
      </c>
    </row>
    <row r="4191">
      <c r="A4191" s="24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5" t="n">
        <v>0.337602</v>
      </c>
    </row>
    <row r="4192">
      <c r="A4192" s="24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5" t="n">
        <v>0.413127</v>
      </c>
    </row>
    <row r="4193">
      <c r="A4193" s="24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5" t="n">
        <v>0.930393</v>
      </c>
    </row>
    <row r="4194">
      <c r="A4194" s="24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5" t="n">
        <v>1.2782</v>
      </c>
    </row>
    <row r="4195">
      <c r="A4195" s="24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5" t="n">
        <v>0.779821</v>
      </c>
    </row>
    <row r="4196">
      <c r="A4196" s="24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5" t="n">
        <v>0.404382</v>
      </c>
    </row>
    <row r="4197">
      <c r="A4197" s="24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5" t="n">
        <v>0.412339</v>
      </c>
    </row>
    <row r="4198">
      <c r="A4198" s="24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5" t="n">
        <v>0.417262</v>
      </c>
    </row>
    <row r="4199">
      <c r="A4199" s="24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5" t="n">
        <v>0.416266</v>
      </c>
    </row>
    <row r="4200">
      <c r="A4200" s="24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5" t="n">
        <v>0.412738</v>
      </c>
    </row>
    <row r="4201">
      <c r="A4201" s="24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5" t="n">
        <v>0.417015</v>
      </c>
    </row>
    <row r="4202">
      <c r="A4202" s="24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5" t="n">
        <v>1.127996</v>
      </c>
    </row>
    <row r="4203">
      <c r="A4203" s="24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5" t="n">
        <v>2.035228</v>
      </c>
    </row>
    <row r="4204">
      <c r="A4204" s="24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5" t="n">
        <v>1.325006</v>
      </c>
    </row>
    <row r="4205">
      <c r="A4205" s="24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5" t="n">
        <v>0.408059</v>
      </c>
    </row>
    <row r="4206">
      <c r="A4206" s="24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5" t="n">
        <v>0.402348</v>
      </c>
    </row>
    <row r="4207">
      <c r="A4207" s="24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5" t="n">
        <v>0.271978</v>
      </c>
    </row>
    <row r="4208">
      <c r="A4208" s="24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5" t="n">
        <v>0.395988</v>
      </c>
    </row>
    <row r="4209">
      <c r="A4209" s="24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5" t="n">
        <v>0.406898</v>
      </c>
    </row>
    <row r="4210">
      <c r="A4210" s="24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5" t="n">
        <v>0.374848</v>
      </c>
    </row>
    <row r="4211">
      <c r="A4211" s="24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5" t="n">
        <v>0.41209</v>
      </c>
    </row>
    <row r="4212">
      <c r="A4212" s="24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5" t="n">
        <v>0.422371</v>
      </c>
    </row>
    <row r="4213">
      <c r="A4213" s="24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5" t="n">
        <v>0.419542</v>
      </c>
    </row>
    <row r="4214">
      <c r="A4214" s="24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5" t="n">
        <v>0.411547</v>
      </c>
    </row>
    <row r="4215">
      <c r="A4215" s="24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5" t="n">
        <v>0.407434</v>
      </c>
    </row>
    <row r="4216">
      <c r="A4216" s="24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5" t="n">
        <v>0.406809</v>
      </c>
    </row>
    <row r="4217">
      <c r="A4217" s="24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5" t="n">
        <v>0.125139</v>
      </c>
    </row>
    <row r="4218">
      <c r="A4218" s="24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5" t="n">
        <v>0.233683</v>
      </c>
    </row>
    <row r="4219">
      <c r="A4219" s="24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5" t="n">
        <v>0.386812</v>
      </c>
    </row>
    <row r="4220">
      <c r="A4220" s="24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5" t="n">
        <v>1.048802</v>
      </c>
    </row>
    <row r="4221">
      <c r="A4221" s="24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5" t="n">
        <v>1.36516</v>
      </c>
    </row>
    <row r="4222">
      <c r="A4222" s="24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5" t="n">
        <v>0.763558</v>
      </c>
    </row>
    <row r="4223">
      <c r="A4223" s="24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5" t="n">
        <v>0.448124</v>
      </c>
    </row>
    <row r="4224">
      <c r="A4224" s="24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5" t="n">
        <v>0.409659</v>
      </c>
    </row>
    <row r="4225">
      <c r="A4225" s="24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5" t="n">
        <v>0.407161</v>
      </c>
    </row>
    <row r="4226">
      <c r="A4226" s="24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5" t="n">
        <v>0.397903</v>
      </c>
    </row>
    <row r="4227">
      <c r="A4227" s="24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5" t="n">
        <v>0.145469</v>
      </c>
    </row>
    <row r="4228">
      <c r="A4228" s="24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5" t="n">
        <v>0.060411</v>
      </c>
    </row>
    <row r="4229">
      <c r="A4229" s="24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5" t="n">
        <v>0.05903</v>
      </c>
    </row>
    <row r="4230">
      <c r="A4230" s="24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5" t="n">
        <v>0.029824</v>
      </c>
    </row>
    <row r="4231">
      <c r="A4231" s="24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5" t="n">
        <v>0.014334</v>
      </c>
    </row>
    <row r="4232">
      <c r="A4232" s="24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5" t="n">
        <v>0.034009</v>
      </c>
    </row>
    <row r="4233">
      <c r="A4233" s="24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5" t="n">
        <v>0.07574</v>
      </c>
    </row>
    <row r="4234">
      <c r="A4234" s="24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5" t="n">
        <v>0.266623</v>
      </c>
    </row>
    <row r="4235">
      <c r="A4235" s="24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5" t="n">
        <v>0.838664</v>
      </c>
    </row>
    <row r="4236">
      <c r="A4236" s="24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5" t="n">
        <v>3.566216</v>
      </c>
    </row>
    <row r="4237">
      <c r="A4237" s="24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5" t="n">
        <v>3.10331</v>
      </c>
    </row>
    <row r="4238">
      <c r="A4238" s="24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5" t="n">
        <v>0.401112</v>
      </c>
    </row>
    <row r="4239">
      <c r="A4239" s="24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5" t="n">
        <v>0.378499</v>
      </c>
    </row>
    <row r="4240">
      <c r="A4240" s="24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5" t="n">
        <v>0.201157</v>
      </c>
    </row>
    <row r="4241">
      <c r="A4241" s="24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5" t="n">
        <v>0.182656</v>
      </c>
    </row>
    <row r="4242">
      <c r="A4242" s="24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5" t="n">
        <v>0.07401000000000001</v>
      </c>
    </row>
    <row r="4243">
      <c r="A4243" s="24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5" t="n">
        <v>0.260624</v>
      </c>
    </row>
    <row r="4244">
      <c r="A4244" s="24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5" t="n">
        <v>0.371197</v>
      </c>
    </row>
    <row r="4245">
      <c r="A4245" s="24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5" t="n">
        <v>0.09737700000000001</v>
      </c>
    </row>
    <row r="4246">
      <c r="A4246" s="24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5" t="n">
        <v>0.043953</v>
      </c>
    </row>
    <row r="4247">
      <c r="A4247" s="24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5" t="n">
        <v>0.038341</v>
      </c>
    </row>
    <row r="4248">
      <c r="A4248" s="24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5" t="n">
        <v>0.049015</v>
      </c>
    </row>
    <row r="4249">
      <c r="A4249" s="24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5" t="n">
        <v>0.047454</v>
      </c>
    </row>
    <row r="4250">
      <c r="A4250" s="24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5" t="n">
        <v>0.079928</v>
      </c>
    </row>
    <row r="4251">
      <c r="A4251" s="24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5" t="n">
        <v>0.07183299999999999</v>
      </c>
    </row>
    <row r="4252">
      <c r="A4252" s="24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5" t="n">
        <v>0.047958</v>
      </c>
    </row>
    <row r="4253">
      <c r="A4253" s="24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5" t="n">
        <v>0.016066</v>
      </c>
    </row>
    <row r="4254">
      <c r="A4254" s="24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5" t="n">
        <v>0.03988</v>
      </c>
    </row>
    <row r="4255">
      <c r="A4255" s="24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5" t="n">
        <v>0.037128</v>
      </c>
    </row>
    <row r="4256">
      <c r="A4256" s="24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5" t="n">
        <v>0.066843</v>
      </c>
    </row>
    <row r="4257">
      <c r="A4257" s="24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5" t="n">
        <v>0.083175</v>
      </c>
    </row>
    <row r="4258">
      <c r="A4258" s="24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5" t="n">
        <v>0.08146299999999999</v>
      </c>
    </row>
    <row r="4259">
      <c r="A4259" s="24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5" t="n">
        <v>0.156364</v>
      </c>
    </row>
    <row r="4260">
      <c r="A4260" s="24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5" t="n">
        <v>0.355809</v>
      </c>
    </row>
    <row r="4261">
      <c r="A4261" s="24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5" t="n">
        <v>0.232602</v>
      </c>
    </row>
    <row r="4262">
      <c r="A4262" s="24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5" t="n">
        <v>0.258829</v>
      </c>
    </row>
    <row r="4263">
      <c r="A4263" s="24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5" t="n">
        <v>0.159117</v>
      </c>
    </row>
    <row r="4264">
      <c r="A4264" s="24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5" t="n">
        <v>0.082981</v>
      </c>
    </row>
    <row r="4265">
      <c r="A4265" s="24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5" t="n">
        <v>0.031618</v>
      </c>
    </row>
    <row r="4266">
      <c r="A4266" s="24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5" t="n">
        <v>0.031255</v>
      </c>
    </row>
    <row r="4267">
      <c r="A4267" s="24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5" t="n">
        <v>0.021034</v>
      </c>
    </row>
    <row r="4268">
      <c r="A4268" s="24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5" t="n">
        <v>0.034818</v>
      </c>
    </row>
    <row r="4269">
      <c r="A4269" s="24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5" t="n">
        <v>0.122313</v>
      </c>
    </row>
    <row r="4270">
      <c r="A4270" s="24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5" t="n">
        <v>0.073985</v>
      </c>
    </row>
    <row r="4271">
      <c r="A4271" s="24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5" t="n">
        <v>0.155695</v>
      </c>
    </row>
    <row r="4272">
      <c r="A4272" s="24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5" t="n">
        <v>0.29585</v>
      </c>
    </row>
    <row r="4273">
      <c r="A4273" s="24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5" t="n">
        <v>0.156944</v>
      </c>
    </row>
    <row r="4274">
      <c r="A4274" s="24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5" t="n">
        <v>0.054981</v>
      </c>
    </row>
    <row r="4275">
      <c r="A4275" s="24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5" t="n">
        <v>0.034446</v>
      </c>
    </row>
    <row r="4276">
      <c r="A4276" s="24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5" t="n">
        <v>0.058615</v>
      </c>
    </row>
    <row r="4277">
      <c r="A4277" s="24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5" t="n">
        <v>0.182024</v>
      </c>
    </row>
    <row r="4278">
      <c r="A4278" s="24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5" t="n">
        <v>0.176078</v>
      </c>
    </row>
    <row r="4279">
      <c r="A4279" s="24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5" t="n">
        <v>0.146298</v>
      </c>
    </row>
    <row r="4280">
      <c r="A4280" s="24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5" t="n">
        <v>0.126013</v>
      </c>
    </row>
    <row r="4281">
      <c r="A4281" s="24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5" t="n">
        <v>0.26523</v>
      </c>
    </row>
    <row r="4282">
      <c r="A4282" s="24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5" t="n">
        <v>0.374422</v>
      </c>
    </row>
    <row r="4283">
      <c r="A4283" s="24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5" t="n">
        <v>0.170151</v>
      </c>
    </row>
    <row r="4284">
      <c r="A4284" s="24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5" t="n">
        <v>0.078625</v>
      </c>
    </row>
    <row r="4285">
      <c r="A4285" s="24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5" t="n">
        <v>0.027886</v>
      </c>
    </row>
    <row r="4286">
      <c r="A4286" s="24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5" t="n">
        <v>0.014155</v>
      </c>
    </row>
    <row r="4287">
      <c r="A4287" s="24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5" t="n">
        <v>0.335363</v>
      </c>
    </row>
    <row r="4288">
      <c r="A4288" s="24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5" t="n">
        <v>0.254886</v>
      </c>
    </row>
    <row r="4289">
      <c r="A4289" s="24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5" t="n">
        <v>0.053669</v>
      </c>
    </row>
    <row r="4290">
      <c r="A4290" s="24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5" t="n">
        <v>0.063051</v>
      </c>
    </row>
    <row r="4291">
      <c r="A4291" s="24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5" t="n">
        <v>0.100638</v>
      </c>
    </row>
    <row r="4292">
      <c r="A4292" s="24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5" t="n">
        <v>0.137898</v>
      </c>
    </row>
    <row r="4293">
      <c r="A4293" s="24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5" t="n">
        <v>0.107929</v>
      </c>
    </row>
    <row r="4294">
      <c r="A4294" s="24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5" t="n">
        <v>0.351644</v>
      </c>
    </row>
    <row r="4295">
      <c r="A4295" s="24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5" t="n">
        <v>0.221229</v>
      </c>
    </row>
    <row r="4296">
      <c r="A4296" s="24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5" t="n">
        <v>0.052007</v>
      </c>
    </row>
    <row r="4297">
      <c r="A4297" s="24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5" t="n">
        <v>0.035504</v>
      </c>
    </row>
    <row r="4298">
      <c r="A4298" s="24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5" t="n">
        <v>0.017443</v>
      </c>
    </row>
    <row r="4299">
      <c r="A4299" s="24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5" t="n">
        <v>0.063661</v>
      </c>
    </row>
    <row r="4300">
      <c r="A4300" s="24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5" t="n">
        <v>0.061932</v>
      </c>
    </row>
    <row r="4301">
      <c r="A4301" s="24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5" t="n">
        <v>0.101386</v>
      </c>
    </row>
    <row r="4302">
      <c r="A4302" s="24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5" t="n">
        <v>0.033004</v>
      </c>
    </row>
    <row r="4303">
      <c r="A4303" s="24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5" t="n">
        <v>0.025394</v>
      </c>
    </row>
    <row r="4304">
      <c r="A4304" s="24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5" t="n">
        <v>0.011254</v>
      </c>
    </row>
    <row r="4305">
      <c r="A4305" s="24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5" t="n">
        <v>0.008236</v>
      </c>
    </row>
    <row r="4306">
      <c r="A4306" s="24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5" t="n">
        <v>0.004433</v>
      </c>
    </row>
    <row r="4307">
      <c r="A4307" s="24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5" t="n">
        <v>0.008192</v>
      </c>
    </row>
    <row r="4308">
      <c r="A4308" s="24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5" t="n">
        <v>0.032905</v>
      </c>
    </row>
    <row r="4309">
      <c r="A4309" s="24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5" t="n">
        <v>0.138046</v>
      </c>
    </row>
    <row r="4310">
      <c r="A4310" s="24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5" t="n">
        <v>0.234022</v>
      </c>
    </row>
    <row r="4311">
      <c r="A4311" s="24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5" t="n">
        <v>0.080468</v>
      </c>
    </row>
    <row r="4312">
      <c r="A4312" s="24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5" t="n">
        <v>0.060706</v>
      </c>
    </row>
    <row r="4313">
      <c r="A4313" s="24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5" t="n">
        <v>0.063065</v>
      </c>
    </row>
    <row r="4314">
      <c r="A4314" s="24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5" t="n">
        <v>0.030458</v>
      </c>
    </row>
    <row r="4315">
      <c r="A4315" s="24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5" t="n">
        <v>0.031746</v>
      </c>
    </row>
    <row r="4316">
      <c r="A4316" s="24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5" t="n">
        <v>0.044787</v>
      </c>
    </row>
    <row r="4317">
      <c r="A4317" s="24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5" t="n">
        <v>0.033143</v>
      </c>
    </row>
    <row r="4318">
      <c r="A4318" s="24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5" t="n">
        <v>0.024052</v>
      </c>
    </row>
    <row r="4319">
      <c r="A4319" s="24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5" t="n">
        <v>0.030391</v>
      </c>
    </row>
    <row r="4320">
      <c r="A4320" s="24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5" t="n">
        <v>0.052222</v>
      </c>
    </row>
    <row r="4321">
      <c r="A4321" s="24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5" t="n">
        <v>0.036906</v>
      </c>
    </row>
    <row r="4322">
      <c r="A4322" s="24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5" t="n">
        <v>0.336477</v>
      </c>
    </row>
    <row r="4323">
      <c r="A4323" s="24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5" t="n">
        <v>0.184868</v>
      </c>
    </row>
    <row r="4324">
      <c r="A4324" s="24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5" t="n">
        <v>0.064544</v>
      </c>
    </row>
    <row r="4325">
      <c r="A4325" s="24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5" t="n">
        <v>0.08733399999999999</v>
      </c>
    </row>
    <row r="4326">
      <c r="A4326" s="24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5" t="n">
        <v>0.186839</v>
      </c>
    </row>
    <row r="4327">
      <c r="A4327" s="24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5" t="n">
        <v>0.125133</v>
      </c>
    </row>
    <row r="4328">
      <c r="A4328" s="24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5" t="n">
        <v>0.116957</v>
      </c>
    </row>
    <row r="4329">
      <c r="A4329" s="24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5" t="n">
        <v>0.07424500000000001</v>
      </c>
    </row>
    <row r="4330">
      <c r="A4330" s="24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5" t="n">
        <v>0.040124</v>
      </c>
    </row>
    <row r="4331">
      <c r="A4331" s="24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5" t="n">
        <v>0.029173</v>
      </c>
    </row>
    <row r="4332">
      <c r="A4332" s="24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5" t="n">
        <v>0.027169</v>
      </c>
    </row>
    <row r="4333">
      <c r="A4333" s="24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5" t="n">
        <v>0.027946</v>
      </c>
    </row>
    <row r="4334">
      <c r="A4334" s="24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5" t="n">
        <v>0.033453</v>
      </c>
    </row>
    <row r="4335">
      <c r="A4335" s="24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5" t="n">
        <v>0.036895</v>
      </c>
    </row>
    <row r="4336">
      <c r="A4336" s="24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5" t="n">
        <v>0.020564</v>
      </c>
    </row>
    <row r="4337">
      <c r="A4337" s="24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5" t="n">
        <v>0.018947</v>
      </c>
    </row>
    <row r="4338">
      <c r="A4338" s="24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5" t="n">
        <v>0.031867</v>
      </c>
    </row>
    <row r="4339">
      <c r="A4339" s="24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5" t="n">
        <v>0.063337</v>
      </c>
    </row>
    <row r="4340">
      <c r="A4340" s="24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5" t="n">
        <v>0.06047</v>
      </c>
    </row>
    <row r="4341">
      <c r="A4341" s="24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5" t="n">
        <v>0.058076</v>
      </c>
    </row>
    <row r="4342">
      <c r="A4342" s="24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5" t="n">
        <v>0.035914</v>
      </c>
    </row>
    <row r="4343">
      <c r="A4343" s="24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5" t="n">
        <v>0.031026</v>
      </c>
    </row>
    <row r="4344">
      <c r="A4344" s="24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5" t="n">
        <v>0.016199</v>
      </c>
    </row>
    <row r="4345">
      <c r="A4345" s="24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5" t="n">
        <v>0.008781000000000001</v>
      </c>
    </row>
    <row r="4346">
      <c r="A4346" s="24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5" t="n">
        <v>0.003174</v>
      </c>
    </row>
    <row r="4347">
      <c r="A4347" s="24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5" t="n">
        <v>0.001785</v>
      </c>
    </row>
    <row r="4348">
      <c r="A4348" s="24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5" t="n">
        <v>0.005325</v>
      </c>
    </row>
    <row r="4349">
      <c r="A4349" s="24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5" t="n">
        <v>0.004983</v>
      </c>
    </row>
    <row r="4350">
      <c r="A4350" s="24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5" t="n">
        <v>0.007246</v>
      </c>
    </row>
    <row r="4351">
      <c r="A4351" s="24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5" t="n">
        <v>0.012792</v>
      </c>
    </row>
    <row r="4352">
      <c r="A4352" s="24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5" t="n">
        <v>0.030733</v>
      </c>
    </row>
    <row r="4353">
      <c r="A4353" s="24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5" t="n">
        <v>0.005855</v>
      </c>
    </row>
    <row r="4354">
      <c r="A4354" s="24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5" t="n">
        <v>0.012611</v>
      </c>
    </row>
    <row r="4355">
      <c r="A4355" s="24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5" t="n">
        <v>0.01858</v>
      </c>
    </row>
    <row r="4356">
      <c r="A4356" s="24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5" t="n">
        <v>0.004541</v>
      </c>
    </row>
    <row r="4357">
      <c r="A4357" s="24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5" t="n">
        <v>0.004778</v>
      </c>
    </row>
    <row r="4358">
      <c r="A4358" s="24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5" t="n">
        <v>0.00505</v>
      </c>
    </row>
    <row r="4359">
      <c r="A4359" s="24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5" t="n">
        <v>0.011205</v>
      </c>
    </row>
    <row r="4360">
      <c r="A4360" s="24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5" t="n">
        <v>0.011907</v>
      </c>
    </row>
    <row r="4361">
      <c r="A4361" s="24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5" t="n">
        <v>0.007871</v>
      </c>
    </row>
    <row r="4362">
      <c r="A4362" s="24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5" t="n">
        <v>0.234719</v>
      </c>
    </row>
    <row r="4363">
      <c r="A4363" s="24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5" t="n">
        <v>0.136094</v>
      </c>
    </row>
    <row r="4364">
      <c r="A4364" s="24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5" t="n">
        <v>0.035755</v>
      </c>
    </row>
    <row r="4365">
      <c r="A4365" s="24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5" t="n">
        <v>0.17796</v>
      </c>
    </row>
    <row r="4366">
      <c r="A4366" s="24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5" t="n">
        <v>0.047299</v>
      </c>
    </row>
    <row r="4367">
      <c r="A4367" s="24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5" t="n">
        <v>0.180204</v>
      </c>
    </row>
    <row r="4368">
      <c r="A4368" s="24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5" t="n">
        <v>0.110451</v>
      </c>
    </row>
    <row r="4369">
      <c r="A4369" s="24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5" t="n">
        <v>0.064412</v>
      </c>
    </row>
    <row r="4370">
      <c r="A4370" s="24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5" t="n">
        <v>0.040977</v>
      </c>
    </row>
    <row r="4371">
      <c r="A4371" s="24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5" t="n">
        <v>0.061351</v>
      </c>
    </row>
    <row r="4372">
      <c r="A4372" s="24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5" t="n">
        <v>0.056452</v>
      </c>
    </row>
    <row r="4373">
      <c r="A4373" s="24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5" t="n">
        <v>0.018239</v>
      </c>
    </row>
    <row r="4374">
      <c r="A4374" s="24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5" t="n">
        <v>0.028891</v>
      </c>
    </row>
    <row r="4375">
      <c r="A4375" s="24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5" t="n">
        <v>0.042782</v>
      </c>
    </row>
    <row r="4376">
      <c r="A4376" s="24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5" t="n">
        <v>0.141159</v>
      </c>
    </row>
    <row r="4377">
      <c r="A4377" s="24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5" t="n">
        <v>0.044473</v>
      </c>
    </row>
    <row r="4378">
      <c r="A4378" s="24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5" t="n">
        <v>0.136882</v>
      </c>
    </row>
    <row r="4379">
      <c r="A4379" s="24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5" t="n">
        <v>0.07893</v>
      </c>
    </row>
    <row r="4380">
      <c r="A4380" s="24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5" t="n">
        <v>0.066707</v>
      </c>
    </row>
    <row r="4381">
      <c r="A4381" s="24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5" t="n">
        <v>0.050322</v>
      </c>
    </row>
    <row r="4382">
      <c r="A4382" s="24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5" t="n">
        <v>0.030372</v>
      </c>
    </row>
    <row r="4383">
      <c r="A4383" s="24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5" t="n">
        <v>0.041963</v>
      </c>
    </row>
    <row r="4384">
      <c r="A4384" s="24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5" t="n">
        <v>0.023823</v>
      </c>
    </row>
    <row r="4385">
      <c r="A4385" s="24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5" t="n">
        <v>0.012771</v>
      </c>
    </row>
    <row r="4386">
      <c r="A4386" s="24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5" t="n">
        <v>0.023681</v>
      </c>
    </row>
    <row r="4387">
      <c r="A4387" s="24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5" t="n">
        <v>0.017406</v>
      </c>
    </row>
    <row r="4388">
      <c r="A4388" s="24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5" t="n">
        <v>0.09322</v>
      </c>
    </row>
    <row r="4389">
      <c r="A4389" s="24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5" t="n">
        <v>0.038994</v>
      </c>
    </row>
    <row r="4390">
      <c r="A4390" s="24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5" t="n">
        <v>0.062077</v>
      </c>
    </row>
    <row r="4391">
      <c r="A4391" s="24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5" t="n">
        <v>0.15323</v>
      </c>
    </row>
    <row r="4392">
      <c r="A4392" s="24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5" t="n">
        <v>0.108395</v>
      </c>
    </row>
    <row r="4393">
      <c r="A4393" s="24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5" t="n">
        <v>0.102901</v>
      </c>
    </row>
    <row r="4394">
      <c r="A4394" s="24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5" t="n">
        <v>0.078296</v>
      </c>
    </row>
    <row r="4395">
      <c r="A4395" s="24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5" t="n">
        <v>0.206823</v>
      </c>
    </row>
    <row r="4396">
      <c r="A4396" s="24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5" t="n">
        <v>0.053832</v>
      </c>
    </row>
    <row r="4397">
      <c r="A4397" s="24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5" t="n">
        <v>0.040991</v>
      </c>
    </row>
    <row r="4398">
      <c r="A4398" s="24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5" t="n">
        <v>0.090035</v>
      </c>
    </row>
    <row r="4399">
      <c r="A4399" s="24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5" t="n">
        <v>0.25011</v>
      </c>
    </row>
    <row r="4400">
      <c r="A4400" s="24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5" t="n">
        <v>0.274875</v>
      </c>
    </row>
    <row r="4401">
      <c r="A4401" s="24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5" t="n">
        <v>0.363417</v>
      </c>
    </row>
    <row r="4402">
      <c r="A4402" s="24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5" t="n">
        <v>0.176337</v>
      </c>
    </row>
    <row r="4403">
      <c r="A4403" s="24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5" t="n">
        <v>0.055432</v>
      </c>
    </row>
    <row r="4404">
      <c r="A4404" s="24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5" t="n">
        <v>0.093389</v>
      </c>
    </row>
    <row r="4405">
      <c r="A4405" s="24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5" t="n">
        <v>0.043867</v>
      </c>
    </row>
    <row r="4406">
      <c r="A4406" s="24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5" t="n">
        <v>0.21286</v>
      </c>
    </row>
    <row r="4407">
      <c r="A4407" s="24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5" t="n">
        <v>0.117734</v>
      </c>
    </row>
    <row r="4408">
      <c r="A4408" s="24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5" t="n">
        <v>0.028247</v>
      </c>
    </row>
    <row r="4409">
      <c r="A4409" s="24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5" t="n">
        <v>0.016804</v>
      </c>
    </row>
    <row r="4410">
      <c r="A4410" s="24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5" t="n">
        <v>0.018004</v>
      </c>
    </row>
    <row r="4411">
      <c r="A4411" s="24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5" t="n">
        <v>0.017762</v>
      </c>
    </row>
    <row r="4412">
      <c r="A4412" s="24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5" t="n">
        <v>0.051709</v>
      </c>
    </row>
    <row r="4413">
      <c r="A4413" s="24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5" t="n">
        <v>0.025308</v>
      </c>
    </row>
    <row r="4414">
      <c r="A4414" s="24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5" t="n">
        <v>0.027384</v>
      </c>
    </row>
    <row r="4415">
      <c r="A4415" s="24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5" t="n">
        <v>0.03285</v>
      </c>
    </row>
    <row r="4416">
      <c r="A4416" s="24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5" t="n">
        <v>0.192691</v>
      </c>
    </row>
    <row r="4417">
      <c r="A4417" s="24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5" t="n">
        <v>0.291209</v>
      </c>
    </row>
    <row r="4418">
      <c r="A4418" s="24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5" t="n">
        <v>0.067575</v>
      </c>
    </row>
    <row r="4419">
      <c r="A4419" s="24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5" t="n">
        <v>0.073588</v>
      </c>
    </row>
    <row r="4420">
      <c r="A4420" s="24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5" t="n">
        <v>0.204455</v>
      </c>
    </row>
    <row r="4421">
      <c r="A4421" s="24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5" t="n">
        <v>0.084886</v>
      </c>
    </row>
    <row r="4422">
      <c r="A4422" s="24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5" t="n">
        <v>0.027071</v>
      </c>
    </row>
    <row r="4423">
      <c r="A4423" s="24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5" t="n">
        <v>0.014197</v>
      </c>
    </row>
    <row r="4424">
      <c r="A4424" s="24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5" t="n">
        <v>0.011134</v>
      </c>
    </row>
    <row r="4425">
      <c r="A4425" s="24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5" t="n">
        <v>0.005005</v>
      </c>
    </row>
    <row r="4426">
      <c r="A4426" s="24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5" t="n">
        <v>0.003269</v>
      </c>
    </row>
    <row r="4427">
      <c r="A4427" s="24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5" t="n">
        <v>0.005053</v>
      </c>
    </row>
    <row r="4428">
      <c r="A4428" s="24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5" t="n">
        <v>0.005063</v>
      </c>
    </row>
    <row r="4429">
      <c r="A4429" s="24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5" t="n">
        <v>0.001945</v>
      </c>
    </row>
    <row r="4430">
      <c r="A4430" s="24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5" t="n">
        <v>0.001002</v>
      </c>
    </row>
    <row r="4431">
      <c r="A4431" s="24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5" t="n">
        <v>0.003364</v>
      </c>
    </row>
    <row r="4432">
      <c r="A4432" s="24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5" t="n">
        <v>0.007835999999999999</v>
      </c>
    </row>
    <row r="4433">
      <c r="A4433" s="24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5" t="n">
        <v>0.018225</v>
      </c>
    </row>
    <row r="4434">
      <c r="A4434" s="24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5" t="n">
        <v>0.031664</v>
      </c>
    </row>
    <row r="4435">
      <c r="A4435" s="24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5" t="n">
        <v>0.082896</v>
      </c>
    </row>
    <row r="4436">
      <c r="A4436" s="24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5" t="n">
        <v>0.058744</v>
      </c>
    </row>
    <row r="4437">
      <c r="A4437" s="24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5" t="n">
        <v>0.21752</v>
      </c>
    </row>
    <row r="4438">
      <c r="A4438" s="24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5" t="n">
        <v>0.26969</v>
      </c>
    </row>
    <row r="4439">
      <c r="A4439" s="24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5" t="n">
        <v>0.138508</v>
      </c>
    </row>
    <row r="4440">
      <c r="A4440" s="24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5" t="n">
        <v>0.105184</v>
      </c>
    </row>
    <row r="4441">
      <c r="A4441" s="24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5" t="n">
        <v>0.042623</v>
      </c>
    </row>
    <row r="4442">
      <c r="A4442" s="24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5" t="n">
        <v>0.022892</v>
      </c>
    </row>
    <row r="4443">
      <c r="A4443" s="24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5" t="n">
        <v>0.037461</v>
      </c>
    </row>
    <row r="4444">
      <c r="A4444" s="24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5" t="n">
        <v>0.18655</v>
      </c>
    </row>
    <row r="4445">
      <c r="A4445" s="24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5" t="n">
        <v>0.296637</v>
      </c>
    </row>
    <row r="4446">
      <c r="A4446" s="24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5" t="n">
        <v>0.059675</v>
      </c>
    </row>
    <row r="4447">
      <c r="A4447" s="24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5" t="n">
        <v>0.031285</v>
      </c>
    </row>
    <row r="4448">
      <c r="A4448" s="24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5" t="n">
        <v>0.028049</v>
      </c>
    </row>
    <row r="4449">
      <c r="A4449" s="24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5" t="n">
        <v>0.07106800000000001</v>
      </c>
    </row>
    <row r="4450">
      <c r="A4450" s="24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5" t="n">
        <v>0.055824</v>
      </c>
    </row>
    <row r="4451">
      <c r="A4451" s="24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5" t="n">
        <v>0.073397</v>
      </c>
    </row>
    <row r="4452">
      <c r="A4452" s="24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5" t="n">
        <v>0.041941</v>
      </c>
    </row>
    <row r="4453">
      <c r="A4453" s="24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5" t="n">
        <v>0.106434</v>
      </c>
    </row>
    <row r="4454">
      <c r="A4454" s="24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5" t="n">
        <v>0.0561</v>
      </c>
    </row>
    <row r="4455">
      <c r="A4455" s="24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5" t="n">
        <v>0.045846</v>
      </c>
    </row>
    <row r="4456">
      <c r="A4456" s="24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5" t="n">
        <v>0.058461</v>
      </c>
    </row>
    <row r="4457">
      <c r="A4457" s="24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5" t="n">
        <v>0.189001</v>
      </c>
    </row>
    <row r="4458">
      <c r="A4458" s="24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5" t="n">
        <v>0.35897</v>
      </c>
    </row>
    <row r="4459">
      <c r="A4459" s="24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5" t="n">
        <v>0.281243</v>
      </c>
    </row>
    <row r="4460">
      <c r="A4460" s="24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5" t="n">
        <v>0.187837</v>
      </c>
    </row>
    <row r="4461">
      <c r="A4461" s="24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5" t="n">
        <v>0.085864</v>
      </c>
    </row>
    <row r="4462">
      <c r="A4462" s="24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5" t="n">
        <v>0.041071</v>
      </c>
    </row>
    <row r="4463">
      <c r="A4463" s="24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5" t="n">
        <v>0.02719</v>
      </c>
    </row>
    <row r="4464">
      <c r="A4464" s="24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5" t="n">
        <v>0.016086</v>
      </c>
    </row>
    <row r="4465">
      <c r="A4465" s="24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5" t="n">
        <v>0.015116</v>
      </c>
    </row>
    <row r="4466">
      <c r="A4466" s="24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5" t="n">
        <v>0.020479</v>
      </c>
    </row>
    <row r="4467">
      <c r="A4467" s="24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5" t="n">
        <v>0.010877</v>
      </c>
    </row>
    <row r="4468">
      <c r="A4468" s="24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5" t="n">
        <v>0.009325999999999999</v>
      </c>
    </row>
    <row r="4469">
      <c r="A4469" s="24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5" t="n">
        <v>0.038954</v>
      </c>
    </row>
    <row r="4470">
      <c r="A4470" s="24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5" t="n">
        <v>0.009698</v>
      </c>
    </row>
    <row r="4471">
      <c r="A4471" s="24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5" t="n">
        <v>0.029285</v>
      </c>
    </row>
    <row r="4472">
      <c r="A4472" s="24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5" t="n">
        <v>0.016836</v>
      </c>
    </row>
    <row r="4473">
      <c r="A4473" s="24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5" t="n">
        <v>0.010724</v>
      </c>
    </row>
    <row r="4474">
      <c r="A4474" s="24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5" t="n">
        <v>0.006002</v>
      </c>
    </row>
    <row r="4475">
      <c r="A4475" s="24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5" t="n">
        <v>0.030504</v>
      </c>
    </row>
    <row r="4476">
      <c r="A4476" s="24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5" t="n">
        <v>0.02796</v>
      </c>
    </row>
    <row r="4477">
      <c r="A4477" s="24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5" t="n">
        <v>0.035788</v>
      </c>
    </row>
    <row r="4478">
      <c r="A4478" s="24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5" t="n">
        <v>0.057598</v>
      </c>
    </row>
    <row r="4479">
      <c r="A4479" s="24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5" t="n">
        <v>0.050138</v>
      </c>
    </row>
    <row r="4480">
      <c r="A4480" s="24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5" t="n">
        <v>0.027577</v>
      </c>
    </row>
    <row r="4481">
      <c r="A4481" s="24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5" t="n">
        <v>0.042722</v>
      </c>
    </row>
    <row r="4482">
      <c r="A4482" s="24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5" t="n">
        <v>0.039072</v>
      </c>
    </row>
    <row r="4483">
      <c r="A4483" s="24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5" t="n">
        <v>0.03083</v>
      </c>
    </row>
    <row r="4484">
      <c r="A4484" s="24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5" t="n">
        <v>0.080234</v>
      </c>
    </row>
    <row r="4485">
      <c r="A4485" s="24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5" t="n">
        <v>0.256306</v>
      </c>
    </row>
    <row r="4486">
      <c r="A4486" s="24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5" t="n">
        <v>0.154099</v>
      </c>
    </row>
    <row r="4487">
      <c r="A4487" s="24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5" t="n">
        <v>0.363027</v>
      </c>
    </row>
    <row r="4488">
      <c r="A4488" s="24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5" t="n">
        <v>0.290371</v>
      </c>
    </row>
    <row r="4489">
      <c r="A4489" s="24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5" t="n">
        <v>0.102819</v>
      </c>
    </row>
    <row r="4490">
      <c r="A4490" s="24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5" t="n">
        <v>0.138141</v>
      </c>
    </row>
    <row r="4491">
      <c r="A4491" s="24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5" t="n">
        <v>0.362065</v>
      </c>
    </row>
    <row r="4492">
      <c r="A4492" s="24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5" t="n">
        <v>0.31502</v>
      </c>
    </row>
    <row r="4493">
      <c r="A4493" s="24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5" t="n">
        <v>0.113687</v>
      </c>
    </row>
    <row r="4494">
      <c r="A4494" s="24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5" t="n">
        <v>0.07112599999999999</v>
      </c>
    </row>
    <row r="4495">
      <c r="A4495" s="24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5" t="n">
        <v>0.072268</v>
      </c>
    </row>
    <row r="4496">
      <c r="A4496" s="24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5" t="n">
        <v>0.036023</v>
      </c>
    </row>
    <row r="4497">
      <c r="A4497" s="24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5" t="n">
        <v>0.01576</v>
      </c>
    </row>
    <row r="4498">
      <c r="A4498" s="24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5" t="n">
        <v>0.046868</v>
      </c>
    </row>
    <row r="4499">
      <c r="A4499" s="24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5" t="n">
        <v>0.061148</v>
      </c>
    </row>
    <row r="4500">
      <c r="A4500" s="24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5" t="n">
        <v>0.022847</v>
      </c>
    </row>
    <row r="4501">
      <c r="A4501" s="24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5" t="n">
        <v>0.085285</v>
      </c>
    </row>
    <row r="4502">
      <c r="A4502" s="24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5" t="n">
        <v>0.054353</v>
      </c>
    </row>
    <row r="4503">
      <c r="A4503" s="24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5" t="n">
        <v>0.340223</v>
      </c>
    </row>
    <row r="4504">
      <c r="A4504" s="24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5" t="n">
        <v>0.158333</v>
      </c>
    </row>
    <row r="4505">
      <c r="A4505" s="24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5" t="n">
        <v>0.113663</v>
      </c>
    </row>
    <row r="4506">
      <c r="A4506" s="24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5" t="n">
        <v>0.07088899999999999</v>
      </c>
    </row>
    <row r="4507">
      <c r="A4507" s="24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5" t="n">
        <v>0.025985</v>
      </c>
    </row>
    <row r="4508">
      <c r="A4508" s="24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5" t="n">
        <v>0.022393</v>
      </c>
    </row>
    <row r="4509">
      <c r="A4509" s="24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5" t="n">
        <v>0.017695</v>
      </c>
    </row>
    <row r="4510">
      <c r="A4510" s="24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5" t="n">
        <v>0.022397</v>
      </c>
    </row>
    <row r="4511">
      <c r="A4511" s="24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5" t="n">
        <v>0.007408</v>
      </c>
    </row>
    <row r="4512">
      <c r="A4512" s="24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5" t="n">
        <v>0.057928</v>
      </c>
    </row>
    <row r="4513">
      <c r="A4513" s="24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5" t="n">
        <v>0.095</v>
      </c>
    </row>
    <row r="4514">
      <c r="A4514" s="24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5" t="n">
        <v>0.105117</v>
      </c>
    </row>
    <row r="4515">
      <c r="A4515" s="24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5" t="n">
        <v>0.349454</v>
      </c>
    </row>
    <row r="4516">
      <c r="A4516" s="24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5" t="n">
        <v>0.382877</v>
      </c>
    </row>
    <row r="4517">
      <c r="A4517" s="24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5" t="n">
        <v>0.398415</v>
      </c>
    </row>
    <row r="4518">
      <c r="A4518" s="24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5" t="n">
        <v>0.40819</v>
      </c>
    </row>
    <row r="4519">
      <c r="A4519" s="24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5" t="n">
        <v>0.35521</v>
      </c>
    </row>
    <row r="4520">
      <c r="A4520" s="24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5" t="n">
        <v>0.403068</v>
      </c>
    </row>
    <row r="4521">
      <c r="A4521" s="24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5" t="n">
        <v>0.414481</v>
      </c>
    </row>
    <row r="4522">
      <c r="A4522" s="24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5" t="n">
        <v>0.415868</v>
      </c>
    </row>
    <row r="4523">
      <c r="A4523" s="24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5" t="n">
        <v>0.374322</v>
      </c>
    </row>
    <row r="4524">
      <c r="A4524" s="24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5" t="n">
        <v>0.216782</v>
      </c>
    </row>
    <row r="4525">
      <c r="A4525" s="24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5" t="n">
        <v>0.254533</v>
      </c>
    </row>
    <row r="4526">
      <c r="A4526" s="24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5" t="n">
        <v>0.06830600000000001</v>
      </c>
    </row>
    <row r="4527">
      <c r="A4527" s="24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5" t="n">
        <v>0.101099</v>
      </c>
    </row>
    <row r="4528">
      <c r="A4528" s="24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5" t="n">
        <v>0.046083</v>
      </c>
    </row>
    <row r="4529">
      <c r="A4529" s="24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5" t="n">
        <v>0.077749</v>
      </c>
    </row>
    <row r="4530">
      <c r="A4530" s="24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5" t="n">
        <v>0.058372</v>
      </c>
    </row>
    <row r="4531">
      <c r="A4531" s="24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5" t="n">
        <v>0.07915899999999999</v>
      </c>
    </row>
    <row r="4532">
      <c r="A4532" s="24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5" t="n">
        <v>0.037645</v>
      </c>
    </row>
    <row r="4533">
      <c r="A4533" s="24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5" t="n">
        <v>0.339013</v>
      </c>
    </row>
    <row r="4534">
      <c r="A4534" s="24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5" t="n">
        <v>0.376369</v>
      </c>
    </row>
    <row r="4535">
      <c r="A4535" s="24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5" t="n">
        <v>0.126521</v>
      </c>
    </row>
    <row r="4536">
      <c r="A4536" s="24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5" t="n">
        <v>0.128626</v>
      </c>
    </row>
    <row r="4537">
      <c r="A4537" s="24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5" t="n">
        <v>0.360516</v>
      </c>
    </row>
    <row r="4538">
      <c r="A4538" s="24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5" t="n">
        <v>0.255785</v>
      </c>
    </row>
    <row r="4539">
      <c r="A4539" s="24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5" t="n">
        <v>0.194007</v>
      </c>
    </row>
    <row r="4540">
      <c r="A4540" s="24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5" t="n">
        <v>0.382181</v>
      </c>
    </row>
    <row r="4541">
      <c r="A4541" s="24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5" t="n">
        <v>0.399437</v>
      </c>
    </row>
    <row r="4542">
      <c r="A4542" s="24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5" t="n">
        <v>0.40136</v>
      </c>
    </row>
    <row r="4543">
      <c r="A4543" s="24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5" t="n">
        <v>0.789636</v>
      </c>
    </row>
    <row r="4544">
      <c r="A4544" s="24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5" t="n">
        <v>0.788596</v>
      </c>
    </row>
    <row r="4545">
      <c r="A4545" s="24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5" t="n">
        <v>0.406945</v>
      </c>
    </row>
    <row r="4546">
      <c r="A4546" s="24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5" t="n">
        <v>0.406468</v>
      </c>
    </row>
    <row r="4547">
      <c r="A4547" s="24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5" t="n">
        <v>0.190341</v>
      </c>
    </row>
    <row r="4548">
      <c r="A4548" s="24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5" t="n">
        <v>0.38499</v>
      </c>
    </row>
    <row r="4549">
      <c r="A4549" s="24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5" t="n">
        <v>0.256825</v>
      </c>
    </row>
    <row r="4550">
      <c r="A4550" s="24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5" t="n">
        <v>0.192897</v>
      </c>
    </row>
    <row r="4551">
      <c r="A4551" s="24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5" t="n">
        <v>0.314216</v>
      </c>
    </row>
    <row r="4552">
      <c r="A4552" s="24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5" t="n">
        <v>0.533864</v>
      </c>
    </row>
    <row r="4553">
      <c r="A4553" s="24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5" t="n">
        <v>1.002033</v>
      </c>
    </row>
    <row r="4554">
      <c r="A4554" s="24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5" t="n">
        <v>1.859637</v>
      </c>
    </row>
    <row r="4555">
      <c r="A4555" s="24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5" t="n">
        <v>1.631642</v>
      </c>
    </row>
    <row r="4556">
      <c r="A4556" s="24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5" t="n">
        <v>0.633307</v>
      </c>
    </row>
    <row r="4557">
      <c r="A4557" s="24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5" t="n">
        <v>0.40677</v>
      </c>
    </row>
    <row r="4558">
      <c r="A4558" s="24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5" t="n">
        <v>0.406065</v>
      </c>
    </row>
    <row r="4559">
      <c r="A4559" s="24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5" t="n">
        <v>0.098856</v>
      </c>
    </row>
    <row r="4560">
      <c r="A4560" s="24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5" t="n">
        <v>0.058183</v>
      </c>
    </row>
    <row r="4561">
      <c r="A4561" s="24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5" t="n">
        <v>0.042522</v>
      </c>
    </row>
    <row r="4562">
      <c r="A4562" s="24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5" t="n">
        <v>0.021606</v>
      </c>
    </row>
    <row r="4563">
      <c r="A4563" s="24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5" t="n">
        <v>0.056658</v>
      </c>
    </row>
    <row r="4564">
      <c r="A4564" s="24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5" t="n">
        <v>0.247965</v>
      </c>
    </row>
    <row r="4565">
      <c r="A4565" s="24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5" t="n">
        <v>0.262599</v>
      </c>
    </row>
    <row r="4566">
      <c r="A4566" s="24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5" t="n">
        <v>0.148625</v>
      </c>
    </row>
    <row r="4567">
      <c r="A4567" s="24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5" t="n">
        <v>0.380721</v>
      </c>
    </row>
    <row r="4568">
      <c r="A4568" s="24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5" t="n">
        <v>0.405207</v>
      </c>
    </row>
    <row r="4569">
      <c r="A4569" s="24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5" t="n">
        <v>0.687939</v>
      </c>
    </row>
    <row r="4570">
      <c r="A4570" s="24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5" t="n">
        <v>0.802353</v>
      </c>
    </row>
    <row r="4571">
      <c r="A4571" s="24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5" t="n">
        <v>0.517692</v>
      </c>
    </row>
    <row r="4572">
      <c r="A4572" s="24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5" t="n">
        <v>0.408973</v>
      </c>
    </row>
    <row r="4573">
      <c r="A4573" s="24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5" t="n">
        <v>0.407178</v>
      </c>
    </row>
    <row r="4574">
      <c r="A4574" s="24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5" t="n">
        <v>0.40847</v>
      </c>
    </row>
    <row r="4575">
      <c r="A4575" s="24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5" t="n">
        <v>0.188068</v>
      </c>
    </row>
    <row r="4576">
      <c r="A4576" s="24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5" t="n">
        <v>0.091614</v>
      </c>
    </row>
    <row r="4577">
      <c r="A4577" s="24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5" t="n">
        <v>0.073019</v>
      </c>
    </row>
    <row r="4578">
      <c r="A4578" s="24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5" t="n">
        <v>0.24234</v>
      </c>
    </row>
    <row r="4579">
      <c r="A4579" s="24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5" t="n">
        <v>0.352234</v>
      </c>
    </row>
    <row r="4580">
      <c r="A4580" s="24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5" t="n">
        <v>0.399149</v>
      </c>
    </row>
    <row r="4581">
      <c r="A4581" s="24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5" t="n">
        <v>0.412966</v>
      </c>
    </row>
    <row r="4582">
      <c r="A4582" s="24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5" t="n">
        <v>0.405488</v>
      </c>
    </row>
    <row r="4583">
      <c r="A4583" s="24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5" t="n">
        <v>0.411337</v>
      </c>
    </row>
    <row r="4584">
      <c r="A4584" s="24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5" t="n">
        <v>0.6570589999999999</v>
      </c>
    </row>
    <row r="4585">
      <c r="A4585" s="24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5" t="n">
        <v>1.118776</v>
      </c>
    </row>
    <row r="4586">
      <c r="A4586" s="24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5" t="n">
        <v>1.02953</v>
      </c>
    </row>
    <row r="4587">
      <c r="A4587" s="24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5" t="n">
        <v>0.561501</v>
      </c>
    </row>
    <row r="4588">
      <c r="A4588" s="24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5" t="n">
        <v>0.608093</v>
      </c>
    </row>
    <row r="4589">
      <c r="A4589" s="24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5" t="n">
        <v>0.931711</v>
      </c>
    </row>
    <row r="4590">
      <c r="A4590" s="24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5" t="n">
        <v>0.735053</v>
      </c>
    </row>
    <row r="4591">
      <c r="A4591" s="24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5" t="n">
        <v>0.411066</v>
      </c>
    </row>
    <row r="4592">
      <c r="A4592" s="24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5" t="n">
        <v>0.414294</v>
      </c>
    </row>
    <row r="4593">
      <c r="A4593" s="24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5" t="n">
        <v>1.054364</v>
      </c>
    </row>
    <row r="4594">
      <c r="A4594" s="24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5" t="n">
        <v>1.282693</v>
      </c>
    </row>
    <row r="4595">
      <c r="A4595" s="24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5" t="n">
        <v>0.644199</v>
      </c>
    </row>
    <row r="4596">
      <c r="A4596" s="24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5" t="n">
        <v>0.410159</v>
      </c>
    </row>
    <row r="4597">
      <c r="A4597" s="24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5" t="n">
        <v>0.414207</v>
      </c>
    </row>
    <row r="4598">
      <c r="A4598" s="24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5" t="n">
        <v>0.745734</v>
      </c>
    </row>
    <row r="4599">
      <c r="A4599" s="24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5" t="n">
        <v>1.365263</v>
      </c>
    </row>
    <row r="4600">
      <c r="A4600" s="24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5" t="n">
        <v>1.101842</v>
      </c>
    </row>
    <row r="4601">
      <c r="A4601" s="24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5" t="n">
        <v>0.768846</v>
      </c>
    </row>
    <row r="4602">
      <c r="A4602" s="24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5" t="n">
        <v>0.908517</v>
      </c>
    </row>
    <row r="4603">
      <c r="A4603" s="24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5" t="n">
        <v>0.7806419999999999</v>
      </c>
    </row>
    <row r="4604">
      <c r="A4604" s="24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5" t="n">
        <v>0.574788</v>
      </c>
    </row>
    <row r="4605">
      <c r="A4605" s="24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5" t="n">
        <v>0.498041</v>
      </c>
    </row>
    <row r="4606">
      <c r="A4606" s="24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5" t="n">
        <v>0.524944</v>
      </c>
    </row>
    <row r="4607">
      <c r="A4607" s="24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5" t="n">
        <v>0.43758</v>
      </c>
    </row>
    <row r="4608">
      <c r="A4608" s="24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5" t="n">
        <v>0.406867</v>
      </c>
    </row>
    <row r="4609">
      <c r="A4609" s="24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5" t="n">
        <v>0.325088</v>
      </c>
    </row>
    <row r="4610">
      <c r="A4610" s="24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5" t="n">
        <v>0.260151</v>
      </c>
    </row>
    <row r="4611">
      <c r="A4611" s="24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5" t="n">
        <v>0.398551</v>
      </c>
    </row>
    <row r="4612">
      <c r="A4612" s="24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5" t="n">
        <v>0.40775</v>
      </c>
    </row>
    <row r="4613">
      <c r="A4613" s="24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5" t="n">
        <v>0.401791</v>
      </c>
    </row>
    <row r="4614">
      <c r="A4614" s="24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5" t="n">
        <v>0.167983</v>
      </c>
    </row>
    <row r="4615">
      <c r="A4615" s="24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5" t="n">
        <v>0.374933</v>
      </c>
    </row>
    <row r="4616">
      <c r="A4616" s="24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5" t="n">
        <v>0.104888</v>
      </c>
    </row>
    <row r="4617">
      <c r="A4617" s="24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5" t="n">
        <v>0.045264</v>
      </c>
    </row>
    <row r="4618">
      <c r="A4618" s="24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5" t="n">
        <v>0.349538</v>
      </c>
    </row>
    <row r="4619">
      <c r="A4619" s="24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5" t="n">
        <v>0.326814</v>
      </c>
    </row>
    <row r="4620">
      <c r="A4620" s="24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5" t="n">
        <v>0.125062</v>
      </c>
    </row>
    <row r="4621">
      <c r="A4621" s="24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5" t="n">
        <v>0.14486</v>
      </c>
    </row>
    <row r="4622">
      <c r="A4622" s="24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5" t="n">
        <v>0.085178</v>
      </c>
    </row>
    <row r="4623">
      <c r="A4623" s="24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5" t="n">
        <v>0.029317</v>
      </c>
    </row>
    <row r="4624">
      <c r="A4624" s="24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5" t="n">
        <v>0.045523</v>
      </c>
    </row>
    <row r="4625">
      <c r="A4625" s="24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5" t="n">
        <v>0.192712</v>
      </c>
    </row>
    <row r="4626">
      <c r="A4626" s="24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5" t="n">
        <v>0.107551</v>
      </c>
    </row>
    <row r="4627">
      <c r="A4627" s="24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5" t="n">
        <v>0.27455</v>
      </c>
    </row>
    <row r="4628">
      <c r="A4628" s="24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5" t="n">
        <v>0.373626</v>
      </c>
    </row>
    <row r="4629">
      <c r="A4629" s="24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5" t="n">
        <v>0.095597</v>
      </c>
    </row>
    <row r="4630">
      <c r="A4630" s="24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5" t="n">
        <v>0.1425</v>
      </c>
    </row>
    <row r="4631">
      <c r="A4631" s="24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5" t="n">
        <v>0.368886</v>
      </c>
    </row>
    <row r="4632">
      <c r="A4632" s="24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5" t="n">
        <v>0.398038</v>
      </c>
    </row>
    <row r="4633">
      <c r="A4633" s="24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5" t="n">
        <v>0.400058</v>
      </c>
    </row>
    <row r="4634">
      <c r="A4634" s="24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5" t="n">
        <v>0.401956</v>
      </c>
    </row>
    <row r="4635">
      <c r="A4635" s="24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5" t="n">
        <v>0.650971</v>
      </c>
    </row>
    <row r="4636">
      <c r="A4636" s="24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5" t="n">
        <v>0.6536380000000001</v>
      </c>
    </row>
    <row r="4637">
      <c r="A4637" s="24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5" t="n">
        <v>0.406951</v>
      </c>
    </row>
    <row r="4638">
      <c r="A4638" s="24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5" t="n">
        <v>0.404152</v>
      </c>
    </row>
    <row r="4639">
      <c r="A4639" s="24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5" t="n">
        <v>0.185346</v>
      </c>
    </row>
    <row r="4640">
      <c r="A4640" s="24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5" t="n">
        <v>0.285322</v>
      </c>
    </row>
    <row r="4641">
      <c r="A4641" s="24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5" t="n">
        <v>0.38471</v>
      </c>
    </row>
    <row r="4642">
      <c r="A4642" s="24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5" t="n">
        <v>0.189335</v>
      </c>
    </row>
    <row r="4643">
      <c r="A4643" s="24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5" t="n">
        <v>0.188243</v>
      </c>
    </row>
    <row r="4644">
      <c r="A4644" s="24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5" t="n">
        <v>0.07772800000000001</v>
      </c>
    </row>
    <row r="4645">
      <c r="A4645" s="24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5" t="n">
        <v>0.102366</v>
      </c>
    </row>
    <row r="4646">
      <c r="A4646" s="24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5" t="n">
        <v>0.212464</v>
      </c>
    </row>
    <row r="4647">
      <c r="A4647" s="24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5" t="n">
        <v>0.368064</v>
      </c>
    </row>
    <row r="4648">
      <c r="A4648" s="24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5" t="n">
        <v>0.330434</v>
      </c>
    </row>
    <row r="4649">
      <c r="A4649" s="24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5" t="n">
        <v>0.08952300000000001</v>
      </c>
    </row>
    <row r="4650">
      <c r="A4650" s="24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5" t="n">
        <v>0.048228</v>
      </c>
    </row>
    <row r="4651">
      <c r="A4651" s="24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5" t="n">
        <v>0.34757</v>
      </c>
    </row>
    <row r="4652">
      <c r="A4652" s="24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5" t="n">
        <v>0.383104</v>
      </c>
    </row>
    <row r="4653">
      <c r="A4653" s="24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5" t="n">
        <v>0.146006</v>
      </c>
    </row>
    <row r="4654">
      <c r="A4654" s="24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5" t="n">
        <v>0.052604</v>
      </c>
    </row>
    <row r="4655">
      <c r="A4655" s="24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5" t="n">
        <v>0.026178</v>
      </c>
    </row>
    <row r="4656">
      <c r="A4656" s="24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5" t="n">
        <v>0.043551</v>
      </c>
    </row>
    <row r="4657">
      <c r="A4657" s="24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5" t="n">
        <v>0.07098400000000001</v>
      </c>
    </row>
    <row r="4658">
      <c r="A4658" s="24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5" t="n">
        <v>0.044261</v>
      </c>
    </row>
    <row r="4659">
      <c r="A4659" s="24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5" t="n">
        <v>0.052329</v>
      </c>
    </row>
    <row r="4660">
      <c r="A4660" s="24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5" t="n">
        <v>0.021995</v>
      </c>
    </row>
    <row r="4661">
      <c r="A4661" s="24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5" t="n">
        <v>0.042697</v>
      </c>
    </row>
    <row r="4662">
      <c r="A4662" s="24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5" t="n">
        <v>0.028127</v>
      </c>
    </row>
    <row r="4663">
      <c r="A4663" s="24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5" t="n">
        <v>0.15998</v>
      </c>
    </row>
    <row r="4664">
      <c r="A4664" s="24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5" t="n">
        <v>0.041313</v>
      </c>
    </row>
    <row r="4665">
      <c r="A4665" s="24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5" t="n">
        <v>0.022121</v>
      </c>
    </row>
    <row r="4666">
      <c r="A4666" s="24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5" t="n">
        <v>0.015501</v>
      </c>
    </row>
    <row r="4667">
      <c r="A4667" s="24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5" t="n">
        <v>0.011639</v>
      </c>
    </row>
    <row r="4668">
      <c r="A4668" s="24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5" t="n">
        <v>0.005266</v>
      </c>
    </row>
    <row r="4669">
      <c r="A4669" s="24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5" t="n">
        <v>0.025899</v>
      </c>
    </row>
    <row r="4670">
      <c r="A4670" s="24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5" t="n">
        <v>0.016332</v>
      </c>
    </row>
    <row r="4671">
      <c r="A4671" s="24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5" t="n">
        <v>0.027119</v>
      </c>
    </row>
    <row r="4672">
      <c r="A4672" s="24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5" t="n">
        <v>0.011164</v>
      </c>
    </row>
    <row r="4673">
      <c r="A4673" s="24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5" t="n">
        <v>0.034135</v>
      </c>
    </row>
    <row r="4674">
      <c r="A4674" s="24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5" t="n">
        <v>0.100364</v>
      </c>
    </row>
    <row r="4675">
      <c r="A4675" s="24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5" t="n">
        <v>0.310703</v>
      </c>
    </row>
    <row r="4676">
      <c r="A4676" s="24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5" t="n">
        <v>0.176406</v>
      </c>
    </row>
    <row r="4677">
      <c r="A4677" s="24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5" t="n">
        <v>0.059707</v>
      </c>
    </row>
    <row r="4678">
      <c r="A4678" s="24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5" t="n">
        <v>0.031287</v>
      </c>
    </row>
    <row r="4679">
      <c r="A4679" s="24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5" t="n">
        <v>0.022996</v>
      </c>
    </row>
    <row r="4680">
      <c r="A4680" s="24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5" t="n">
        <v>0.029776</v>
      </c>
    </row>
    <row r="4681">
      <c r="A4681" s="24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5" t="n">
        <v>0.334404</v>
      </c>
    </row>
    <row r="4682">
      <c r="A4682" s="24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5" t="n">
        <v>0.187068</v>
      </c>
    </row>
    <row r="4683">
      <c r="A4683" s="24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5" t="n">
        <v>0.208129</v>
      </c>
    </row>
    <row r="4684">
      <c r="A4684" s="24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5" t="n">
        <v>0.358089</v>
      </c>
    </row>
    <row r="4685">
      <c r="A4685" s="24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5" t="n">
        <v>0.165171</v>
      </c>
    </row>
    <row r="4686">
      <c r="A4686" s="24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5" t="n">
        <v>0.372572</v>
      </c>
    </row>
    <row r="4687">
      <c r="A4687" s="24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5" t="n">
        <v>0.228919</v>
      </c>
    </row>
    <row r="4688">
      <c r="A4688" s="24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5" t="n">
        <v>0.067842</v>
      </c>
    </row>
    <row r="4689">
      <c r="A4689" s="24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5" t="n">
        <v>0.053409</v>
      </c>
    </row>
    <row r="4690">
      <c r="A4690" s="24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5" t="n">
        <v>0.036007</v>
      </c>
    </row>
    <row r="4691">
      <c r="A4691" s="24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5" t="n">
        <v>0.019649</v>
      </c>
    </row>
    <row r="4692">
      <c r="A4692" s="24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5" t="n">
        <v>0.057281</v>
      </c>
    </row>
    <row r="4693">
      <c r="A4693" s="24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5" t="n">
        <v>0.051836</v>
      </c>
    </row>
    <row r="4694">
      <c r="A4694" s="24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5" t="n">
        <v>0.017916</v>
      </c>
    </row>
    <row r="4695">
      <c r="A4695" s="24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5" t="n">
        <v>0.014754</v>
      </c>
    </row>
    <row r="4696">
      <c r="A4696" s="24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5" t="n">
        <v>0.053083</v>
      </c>
    </row>
    <row r="4697">
      <c r="A4697" s="24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5" t="n">
        <v>0.033856</v>
      </c>
    </row>
    <row r="4698">
      <c r="A4698" s="24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5" t="n">
        <v>0.030347</v>
      </c>
    </row>
    <row r="4699">
      <c r="A4699" s="24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5" t="n">
        <v>0.014557</v>
      </c>
    </row>
    <row r="4700">
      <c r="A4700" s="24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5" t="n">
        <v>0.008383</v>
      </c>
    </row>
    <row r="4701">
      <c r="A4701" s="24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5" t="n">
        <v>0.296237</v>
      </c>
    </row>
    <row r="4702">
      <c r="A4702" s="24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5" t="n">
        <v>0.08097799999999999</v>
      </c>
    </row>
    <row r="4703">
      <c r="A4703" s="24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5" t="n">
        <v>0.030023</v>
      </c>
    </row>
    <row r="4704">
      <c r="A4704" s="24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5" t="n">
        <v>0.021941</v>
      </c>
    </row>
    <row r="4705">
      <c r="A4705" s="24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5" t="n">
        <v>0.057036</v>
      </c>
    </row>
    <row r="4706">
      <c r="A4706" s="24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5" t="n">
        <v>0.339519</v>
      </c>
    </row>
    <row r="4707">
      <c r="A4707" s="24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5" t="n">
        <v>0.194951</v>
      </c>
    </row>
    <row r="4708">
      <c r="A4708" s="24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5" t="n">
        <v>0.04886</v>
      </c>
    </row>
    <row r="4709">
      <c r="A4709" s="24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5" t="n">
        <v>0.05631</v>
      </c>
    </row>
    <row r="4710">
      <c r="A4710" s="24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5" t="n">
        <v>0.039889</v>
      </c>
    </row>
    <row r="4711">
      <c r="A4711" s="24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5" t="n">
        <v>0.153272</v>
      </c>
    </row>
    <row r="4712">
      <c r="A4712" s="24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5" t="n">
        <v>0.044619</v>
      </c>
    </row>
    <row r="4713">
      <c r="A4713" s="24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5" t="n">
        <v>0.028071</v>
      </c>
    </row>
    <row r="4714">
      <c r="A4714" s="24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5" t="n">
        <v>0.033119</v>
      </c>
    </row>
    <row r="4715">
      <c r="A4715" s="24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5" t="n">
        <v>0.025962</v>
      </c>
    </row>
    <row r="4716">
      <c r="A4716" s="24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5" t="n">
        <v>0.03275</v>
      </c>
    </row>
    <row r="4717">
      <c r="A4717" s="24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5" t="n">
        <v>0.022986</v>
      </c>
    </row>
    <row r="4718">
      <c r="A4718" s="24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5" t="n">
        <v>0.02849</v>
      </c>
    </row>
    <row r="4719">
      <c r="A4719" s="24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5" t="n">
        <v>0.017699</v>
      </c>
    </row>
    <row r="4720">
      <c r="A4720" s="24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5" t="n">
        <v>0.085748</v>
      </c>
    </row>
    <row r="4721">
      <c r="A4721" s="24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5" t="n">
        <v>0.020033</v>
      </c>
    </row>
    <row r="4722">
      <c r="A4722" s="24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5" t="n">
        <v>0.035544</v>
      </c>
    </row>
    <row r="4723">
      <c r="A4723" s="24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5" t="n">
        <v>0.020939</v>
      </c>
    </row>
    <row r="4724">
      <c r="A4724" s="24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5" t="n">
        <v>0.037011</v>
      </c>
    </row>
    <row r="4725">
      <c r="A4725" s="24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5" t="n">
        <v>0.021823</v>
      </c>
    </row>
    <row r="4726">
      <c r="A4726" s="24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5" t="n">
        <v>0.047993</v>
      </c>
    </row>
    <row r="4727">
      <c r="A4727" s="24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5" t="n">
        <v>0.018357</v>
      </c>
    </row>
    <row r="4728">
      <c r="A4728" s="24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5" t="n">
        <v>0.025093</v>
      </c>
    </row>
    <row r="4729">
      <c r="A4729" s="24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5" t="n">
        <v>0.023722</v>
      </c>
    </row>
    <row r="4730">
      <c r="A4730" s="24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5" t="n">
        <v>0.051582</v>
      </c>
    </row>
    <row r="4731">
      <c r="A4731" s="24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5" t="n">
        <v>0.025447</v>
      </c>
    </row>
    <row r="4732">
      <c r="A4732" s="24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5" t="n">
        <v>0.07012699999999999</v>
      </c>
    </row>
    <row r="4733">
      <c r="A4733" s="24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5" t="n">
        <v>0.094821</v>
      </c>
    </row>
    <row r="4734">
      <c r="A4734" s="24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5" t="n">
        <v>0.041033</v>
      </c>
    </row>
    <row r="4735">
      <c r="A4735" s="24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5" t="n">
        <v>0.049223</v>
      </c>
    </row>
    <row r="4736">
      <c r="A4736" s="24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5" t="n">
        <v>0.025676</v>
      </c>
    </row>
    <row r="4737">
      <c r="A4737" s="24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5" t="n">
        <v>0.06454</v>
      </c>
    </row>
    <row r="4738">
      <c r="A4738" s="24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5" t="n">
        <v>0.061527</v>
      </c>
    </row>
    <row r="4739">
      <c r="A4739" s="24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5" t="n">
        <v>0.340858</v>
      </c>
    </row>
    <row r="4740">
      <c r="A4740" s="24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5" t="n">
        <v>0.371425</v>
      </c>
    </row>
    <row r="4741">
      <c r="A4741" s="24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5" t="n">
        <v>0.179535</v>
      </c>
    </row>
    <row r="4742">
      <c r="A4742" s="24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5" t="n">
        <v>0.08795600000000001</v>
      </c>
    </row>
    <row r="4743">
      <c r="A4743" s="24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5" t="n">
        <v>0.063832</v>
      </c>
    </row>
    <row r="4744">
      <c r="A4744" s="24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5" t="n">
        <v>0.068513</v>
      </c>
    </row>
    <row r="4745">
      <c r="A4745" s="24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5" t="n">
        <v>0.07307</v>
      </c>
    </row>
    <row r="4746">
      <c r="A4746" s="24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5" t="n">
        <v>0.268275</v>
      </c>
    </row>
    <row r="4747">
      <c r="A4747" s="24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5" t="n">
        <v>0.049086</v>
      </c>
    </row>
    <row r="4748">
      <c r="A4748" s="24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5" t="n">
        <v>0.063028</v>
      </c>
    </row>
    <row r="4749">
      <c r="A4749" s="24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5" t="n">
        <v>0.043701</v>
      </c>
    </row>
    <row r="4750">
      <c r="A4750" s="24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5" t="n">
        <v>0.022219</v>
      </c>
    </row>
    <row r="4751">
      <c r="A4751" s="24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5" t="n">
        <v>0.016402</v>
      </c>
    </row>
    <row r="4752">
      <c r="A4752" s="24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5" t="n">
        <v>0.036511</v>
      </c>
    </row>
    <row r="4753">
      <c r="A4753" s="24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5" t="n">
        <v>0.209297</v>
      </c>
    </row>
    <row r="4754">
      <c r="A4754" s="24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5" t="n">
        <v>0.298504</v>
      </c>
    </row>
    <row r="4755">
      <c r="A4755" s="24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5" t="n">
        <v>0.250603</v>
      </c>
    </row>
    <row r="4756">
      <c r="A4756" s="24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5" t="n">
        <v>0.062389</v>
      </c>
    </row>
    <row r="4757">
      <c r="A4757" s="24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5" t="n">
        <v>0.032674</v>
      </c>
    </row>
    <row r="4758">
      <c r="A4758" s="24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5" t="n">
        <v>0.036267</v>
      </c>
    </row>
    <row r="4759">
      <c r="A4759" s="24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5" t="n">
        <v>0.024077</v>
      </c>
    </row>
    <row r="4760">
      <c r="A4760" s="24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5" t="n">
        <v>0.018406</v>
      </c>
    </row>
    <row r="4761">
      <c r="A4761" s="24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5" t="n">
        <v>0.06981800000000001</v>
      </c>
    </row>
    <row r="4762">
      <c r="A4762" s="24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5" t="n">
        <v>0.029234</v>
      </c>
    </row>
    <row r="4763">
      <c r="A4763" s="24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5" t="n">
        <v>0.01768</v>
      </c>
    </row>
    <row r="4764">
      <c r="A4764" s="24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5" t="n">
        <v>0.035243</v>
      </c>
    </row>
    <row r="4765">
      <c r="A4765" s="24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5" t="n">
        <v>0.040484</v>
      </c>
    </row>
    <row r="4766">
      <c r="A4766" s="24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5" t="n">
        <v>0.09163</v>
      </c>
    </row>
    <row r="4767">
      <c r="A4767" s="24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5" t="n">
        <v>0.019655</v>
      </c>
    </row>
    <row r="4768">
      <c r="A4768" s="24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5" t="n">
        <v>0.032236</v>
      </c>
    </row>
    <row r="4769">
      <c r="A4769" s="24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5" t="n">
        <v>0.08157499999999999</v>
      </c>
    </row>
    <row r="4770">
      <c r="A4770" s="24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5" t="n">
        <v>0.063264</v>
      </c>
    </row>
    <row r="4771">
      <c r="A4771" s="24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5" t="n">
        <v>0.030311</v>
      </c>
    </row>
    <row r="4772">
      <c r="A4772" s="24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5" t="n">
        <v>0.022039</v>
      </c>
    </row>
    <row r="4773">
      <c r="A4773" s="24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5" t="n">
        <v>0.022656</v>
      </c>
    </row>
    <row r="4774">
      <c r="A4774" s="24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5" t="n">
        <v>0.080818</v>
      </c>
    </row>
    <row r="4775">
      <c r="A4775" s="24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5" t="n">
        <v>0.340662</v>
      </c>
    </row>
    <row r="4776">
      <c r="A4776" s="24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5" t="n">
        <v>0.135952</v>
      </c>
    </row>
    <row r="4777">
      <c r="A4777" s="24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5" t="n">
        <v>0.07602</v>
      </c>
    </row>
    <row r="4778">
      <c r="A4778" s="24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5" t="n">
        <v>0.119616</v>
      </c>
    </row>
    <row r="4779">
      <c r="A4779" s="24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5" t="n">
        <v>0.037533</v>
      </c>
    </row>
    <row r="4780">
      <c r="A4780" s="24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5" t="n">
        <v>0.066806</v>
      </c>
    </row>
    <row r="4781">
      <c r="A4781" s="24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5" t="n">
        <v>0.029729</v>
      </c>
    </row>
    <row r="4782">
      <c r="A4782" s="24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5" t="n">
        <v>0.041046</v>
      </c>
    </row>
    <row r="4783">
      <c r="A4783" s="24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5" t="n">
        <v>0.074169</v>
      </c>
    </row>
    <row r="4784">
      <c r="A4784" s="24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5" t="n">
        <v>0.032244</v>
      </c>
    </row>
    <row r="4785">
      <c r="A4785" s="24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5" t="n">
        <v>0.011686</v>
      </c>
    </row>
    <row r="4786">
      <c r="A4786" s="24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5" t="n">
        <v>0.008359</v>
      </c>
    </row>
    <row r="4787">
      <c r="A4787" s="24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5" t="n">
        <v>0.006133</v>
      </c>
    </row>
    <row r="4788">
      <c r="A4788" s="24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5" t="n">
        <v>0.006417</v>
      </c>
    </row>
    <row r="4789">
      <c r="A4789" s="24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5" t="n">
        <v>0.002446</v>
      </c>
    </row>
    <row r="4790">
      <c r="A4790" s="24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5" t="n">
        <v>0.002327</v>
      </c>
    </row>
    <row r="4791">
      <c r="A4791" s="24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5" t="n">
        <v>0.007643</v>
      </c>
    </row>
    <row r="4792">
      <c r="A4792" s="24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5" t="n">
        <v>0.005665</v>
      </c>
    </row>
    <row r="4793">
      <c r="A4793" s="24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5" t="n">
        <v>0.004666</v>
      </c>
    </row>
    <row r="4794">
      <c r="A4794" s="24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5" t="n">
        <v>0.009107000000000001</v>
      </c>
    </row>
    <row r="4795">
      <c r="A4795" s="24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5" t="n">
        <v>0.04881</v>
      </c>
    </row>
    <row r="4796">
      <c r="A4796" s="24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5" t="n">
        <v>0.184796</v>
      </c>
    </row>
    <row r="4797">
      <c r="A4797" s="24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5" t="n">
        <v>0.199687</v>
      </c>
    </row>
    <row r="4798">
      <c r="A4798" s="24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5" t="n">
        <v>0.063512</v>
      </c>
    </row>
    <row r="4799">
      <c r="A4799" s="24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5" t="n">
        <v>0.104654</v>
      </c>
    </row>
    <row r="4800">
      <c r="A4800" s="24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5" t="n">
        <v>0.104278</v>
      </c>
    </row>
    <row r="4801">
      <c r="A4801" s="24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5" t="n">
        <v>0.042521</v>
      </c>
    </row>
    <row r="4802">
      <c r="A4802" s="24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5" t="n">
        <v>0.057054</v>
      </c>
    </row>
    <row r="4803">
      <c r="A4803" s="24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5" t="n">
        <v>0.033279</v>
      </c>
    </row>
    <row r="4804">
      <c r="A4804" s="24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5" t="n">
        <v>0.072343</v>
      </c>
    </row>
    <row r="4805">
      <c r="A4805" s="24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5" t="n">
        <v>0.032085</v>
      </c>
    </row>
    <row r="4806">
      <c r="A4806" s="24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5" t="n">
        <v>0.189763</v>
      </c>
    </row>
    <row r="4807">
      <c r="A4807" s="24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5" t="n">
        <v>0.256056</v>
      </c>
    </row>
    <row r="4808">
      <c r="A4808" s="24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5" t="n">
        <v>0.087826</v>
      </c>
    </row>
    <row r="4809">
      <c r="A4809" s="24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5" t="n">
        <v>0.042064</v>
      </c>
    </row>
    <row r="4810">
      <c r="A4810" s="24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5" t="n">
        <v>0.10135</v>
      </c>
    </row>
    <row r="4811">
      <c r="A4811" s="24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5" t="n">
        <v>0.03273</v>
      </c>
    </row>
    <row r="4812">
      <c r="A4812" s="24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5" t="n">
        <v>0.026923</v>
      </c>
    </row>
    <row r="4813">
      <c r="A4813" s="24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5" t="n">
        <v>0.037039</v>
      </c>
    </row>
    <row r="4814">
      <c r="A4814" s="24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5" t="n">
        <v>0.046508</v>
      </c>
    </row>
    <row r="4815">
      <c r="A4815" s="24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5" t="n">
        <v>0.025592</v>
      </c>
    </row>
    <row r="4816">
      <c r="A4816" s="24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5" t="n">
        <v>0.02879</v>
      </c>
    </row>
    <row r="4817">
      <c r="A4817" s="24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5" t="n">
        <v>0.048598</v>
      </c>
    </row>
    <row r="4818">
      <c r="A4818" s="24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5" t="n">
        <v>0.097233</v>
      </c>
    </row>
    <row r="4819">
      <c r="A4819" s="24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5" t="n">
        <v>0.106616</v>
      </c>
    </row>
    <row r="4820">
      <c r="A4820" s="24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5" t="n">
        <v>0.097565</v>
      </c>
    </row>
    <row r="4821">
      <c r="A4821" s="24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5" t="n">
        <v>0.057215</v>
      </c>
    </row>
    <row r="4822">
      <c r="A4822" s="24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5" t="n">
        <v>0.019006</v>
      </c>
    </row>
    <row r="4823">
      <c r="A4823" s="24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5" t="n">
        <v>0.036994</v>
      </c>
    </row>
    <row r="4824">
      <c r="A4824" s="24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5" t="n">
        <v>0.034705</v>
      </c>
    </row>
    <row r="4825">
      <c r="A4825" s="24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5" t="n">
        <v>0.08623500000000001</v>
      </c>
    </row>
    <row r="4826">
      <c r="A4826" s="24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5" t="n">
        <v>0.050734</v>
      </c>
    </row>
    <row r="4827">
      <c r="A4827" s="24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5" t="n">
        <v>0.030003</v>
      </c>
    </row>
    <row r="4828">
      <c r="A4828" s="24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5" t="n">
        <v>0.028159</v>
      </c>
    </row>
    <row r="4829">
      <c r="A4829" s="24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5" t="n">
        <v>0.026227</v>
      </c>
    </row>
    <row r="4830">
      <c r="A4830" s="24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5" t="n">
        <v>0.057847</v>
      </c>
    </row>
    <row r="4831">
      <c r="A4831" s="24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5" t="n">
        <v>0.084026</v>
      </c>
    </row>
    <row r="4832">
      <c r="A4832" s="24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5" t="n">
        <v>0.151426</v>
      </c>
    </row>
    <row r="4833">
      <c r="A4833" s="24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5" t="n">
        <v>0.056403</v>
      </c>
    </row>
    <row r="4834">
      <c r="A4834" s="24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5" t="n">
        <v>0.039002</v>
      </c>
    </row>
    <row r="4835">
      <c r="A4835" s="24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5" t="n">
        <v>0.031124</v>
      </c>
    </row>
    <row r="4836">
      <c r="A4836" s="24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5" t="n">
        <v>0.017593</v>
      </c>
    </row>
    <row r="4837">
      <c r="A4837" s="24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5" t="n">
        <v>0.009547</v>
      </c>
    </row>
    <row r="4838">
      <c r="A4838" s="24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5" t="n">
        <v>0.015172</v>
      </c>
    </row>
    <row r="4839">
      <c r="A4839" s="24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5" t="n">
        <v>0.030973</v>
      </c>
    </row>
    <row r="4840">
      <c r="A4840" s="24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5" t="n">
        <v>0.200638</v>
      </c>
    </row>
    <row r="4841">
      <c r="A4841" s="24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5" t="n">
        <v>0.279375</v>
      </c>
    </row>
    <row r="4842">
      <c r="A4842" s="24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5" t="n">
        <v>0.07801900000000001</v>
      </c>
    </row>
    <row r="4843">
      <c r="A4843" s="24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5" t="n">
        <v>0.064017</v>
      </c>
    </row>
    <row r="4844">
      <c r="A4844" s="24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5" t="n">
        <v>0.060667</v>
      </c>
    </row>
    <row r="4845">
      <c r="A4845" s="24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5" t="n">
        <v>0.059051</v>
      </c>
    </row>
    <row r="4846">
      <c r="A4846" s="24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5" t="n">
        <v>0.057994</v>
      </c>
    </row>
    <row r="4847">
      <c r="A4847" s="24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5" t="n">
        <v>0.035172</v>
      </c>
    </row>
    <row r="4848">
      <c r="A4848" s="24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5" t="n">
        <v>0.310056</v>
      </c>
    </row>
    <row r="4849">
      <c r="A4849" s="24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5" t="n">
        <v>0.374655</v>
      </c>
    </row>
    <row r="4850">
      <c r="A4850" s="24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5" t="n">
        <v>0.275763</v>
      </c>
    </row>
    <row r="4851">
      <c r="A4851" s="24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5" t="n">
        <v>0.18875</v>
      </c>
    </row>
    <row r="4852">
      <c r="A4852" s="24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5" t="n">
        <v>0.08641799999999999</v>
      </c>
    </row>
    <row r="4853">
      <c r="A4853" s="24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5" t="n">
        <v>0.123712</v>
      </c>
    </row>
    <row r="4854">
      <c r="A4854" s="24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5" t="n">
        <v>0.13229</v>
      </c>
    </row>
    <row r="4855">
      <c r="A4855" s="24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5" t="n">
        <v>0.112465</v>
      </c>
    </row>
    <row r="4856">
      <c r="A4856" s="24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5" t="n">
        <v>0.056347</v>
      </c>
    </row>
    <row r="4857">
      <c r="A4857" s="24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5" t="n">
        <v>0.054388</v>
      </c>
    </row>
    <row r="4858">
      <c r="A4858" s="24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5" t="n">
        <v>0.155672</v>
      </c>
    </row>
    <row r="4859">
      <c r="A4859" s="24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5" t="n">
        <v>0.192676</v>
      </c>
    </row>
    <row r="4860">
      <c r="A4860" s="24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5" t="n">
        <v>0.119385</v>
      </c>
    </row>
    <row r="4861">
      <c r="A4861" s="24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5" t="n">
        <v>0.056544</v>
      </c>
    </row>
    <row r="4862">
      <c r="A4862" s="24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5" t="n">
        <v>0.050341</v>
      </c>
    </row>
    <row r="4863">
      <c r="A4863" s="24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5" t="n">
        <v>0.017352</v>
      </c>
    </row>
    <row r="4864">
      <c r="A4864" s="24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5" t="n">
        <v>0.060293</v>
      </c>
    </row>
    <row r="4865">
      <c r="A4865" s="24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5" t="n">
        <v>0.08910700000000001</v>
      </c>
    </row>
    <row r="4866">
      <c r="A4866" s="24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5" t="n">
        <v>0.037128</v>
      </c>
    </row>
    <row r="4867">
      <c r="A4867" s="24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5" t="n">
        <v>0.019691</v>
      </c>
    </row>
    <row r="4868">
      <c r="A4868" s="24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5" t="n">
        <v>0.01901</v>
      </c>
    </row>
    <row r="4869">
      <c r="A4869" s="24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5" t="n">
        <v>0.029884</v>
      </c>
    </row>
    <row r="4870">
      <c r="A4870" s="24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5" t="n">
        <v>0.008795000000000001</v>
      </c>
    </row>
    <row r="4871">
      <c r="A4871" s="24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5" t="n">
        <v>0.011097</v>
      </c>
    </row>
    <row r="4872">
      <c r="A4872" s="24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5" t="n">
        <v>0.012787</v>
      </c>
    </row>
    <row r="4873">
      <c r="A4873" s="24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5" t="n">
        <v>0.04713</v>
      </c>
    </row>
    <row r="4874">
      <c r="A4874" s="24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5" t="n">
        <v>0.029792</v>
      </c>
    </row>
    <row r="4875">
      <c r="A4875" s="24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5" t="n">
        <v>0.013973</v>
      </c>
    </row>
    <row r="4876">
      <c r="A4876" s="24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5" t="n">
        <v>0.01312</v>
      </c>
    </row>
    <row r="4877">
      <c r="A4877" s="24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5" t="n">
        <v>0.043996</v>
      </c>
    </row>
    <row r="4878">
      <c r="A4878" s="24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5" t="n">
        <v>0.067175</v>
      </c>
    </row>
    <row r="4879">
      <c r="A4879" s="24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5" t="n">
        <v>0.115735</v>
      </c>
    </row>
    <row r="4880">
      <c r="A4880" s="24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5" t="n">
        <v>0.161806</v>
      </c>
    </row>
    <row r="4881">
      <c r="A4881" s="24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5" t="n">
        <v>0.111141</v>
      </c>
    </row>
    <row r="4882">
      <c r="A4882" s="24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5" t="n">
        <v>0.049132</v>
      </c>
    </row>
    <row r="4883">
      <c r="A4883" s="24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5" t="n">
        <v>0.08184</v>
      </c>
    </row>
    <row r="4884">
      <c r="A4884" s="24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5" t="n">
        <v>0.087316</v>
      </c>
    </row>
    <row r="4885">
      <c r="A4885" s="24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5" t="n">
        <v>0.346863</v>
      </c>
    </row>
    <row r="4886">
      <c r="A4886" s="24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5" t="n">
        <v>0.306139</v>
      </c>
    </row>
    <row r="4887">
      <c r="A4887" s="24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5" t="n">
        <v>0.236982</v>
      </c>
    </row>
    <row r="4888">
      <c r="A4888" s="24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5" t="n">
        <v>0.310356</v>
      </c>
    </row>
    <row r="4889">
      <c r="A4889" s="24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5" t="n">
        <v>0.128677</v>
      </c>
    </row>
    <row r="4890">
      <c r="A4890" s="24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5" t="n">
        <v>0.051985</v>
      </c>
    </row>
    <row r="4891">
      <c r="A4891" s="24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5" t="n">
        <v>0.094307</v>
      </c>
    </row>
    <row r="4892">
      <c r="A4892" s="24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5" t="n">
        <v>0.102187</v>
      </c>
    </row>
    <row r="4893">
      <c r="A4893" s="24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5" t="n">
        <v>0.187973</v>
      </c>
    </row>
    <row r="4894">
      <c r="A4894" s="24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5" t="n">
        <v>0.051792</v>
      </c>
    </row>
    <row r="4895">
      <c r="A4895" s="24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5" t="n">
        <v>0.044543</v>
      </c>
    </row>
    <row r="4896">
      <c r="A4896" s="24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5" t="n">
        <v>0.319618</v>
      </c>
    </row>
    <row r="4897">
      <c r="A4897" s="24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5" t="n">
        <v>0.135782</v>
      </c>
    </row>
    <row r="4898">
      <c r="A4898" s="24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5" t="n">
        <v>0.111353</v>
      </c>
    </row>
    <row r="4899">
      <c r="A4899" s="24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5" t="n">
        <v>0.04908</v>
      </c>
    </row>
    <row r="4900">
      <c r="A4900" s="24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5" t="n">
        <v>0.325488</v>
      </c>
    </row>
    <row r="4901">
      <c r="A4901" s="24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5" t="n">
        <v>0.382628</v>
      </c>
    </row>
    <row r="4902">
      <c r="A4902" s="24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5" t="n">
        <v>0.400909</v>
      </c>
    </row>
    <row r="4903">
      <c r="A4903" s="24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5" t="n">
        <v>0.40275</v>
      </c>
    </row>
    <row r="4904">
      <c r="A4904" s="24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5" t="n">
        <v>0.267605</v>
      </c>
    </row>
    <row r="4905">
      <c r="A4905" s="24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5" t="n">
        <v>0.260046</v>
      </c>
    </row>
    <row r="4906">
      <c r="A4906" s="24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5" t="n">
        <v>0.387566</v>
      </c>
    </row>
    <row r="4907">
      <c r="A4907" s="24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5" t="n">
        <v>0.519493</v>
      </c>
    </row>
    <row r="4908">
      <c r="A4908" s="24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5" t="n">
        <v>0.521523</v>
      </c>
    </row>
    <row r="4909">
      <c r="A4909" s="24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5" t="n">
        <v>0.40541</v>
      </c>
    </row>
    <row r="4910">
      <c r="A4910" s="24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5" t="n">
        <v>0.409888</v>
      </c>
    </row>
    <row r="4911">
      <c r="A4911" s="24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5" t="n">
        <v>0.411062</v>
      </c>
    </row>
    <row r="4912">
      <c r="A4912" s="24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5" t="n">
        <v>0.36446</v>
      </c>
    </row>
    <row r="4913">
      <c r="A4913" s="24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5" t="n">
        <v>0.407308</v>
      </c>
    </row>
    <row r="4914">
      <c r="A4914" s="24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5" t="n">
        <v>0.412428</v>
      </c>
    </row>
    <row r="4915">
      <c r="A4915" s="24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5" t="n">
        <v>0.414285</v>
      </c>
    </row>
    <row r="4916">
      <c r="A4916" s="24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5" t="n">
        <v>0.388209</v>
      </c>
    </row>
    <row r="4917">
      <c r="A4917" s="24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5" t="n">
        <v>0.279709</v>
      </c>
    </row>
    <row r="4918">
      <c r="A4918" s="24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5" t="n">
        <v>0.39798</v>
      </c>
    </row>
    <row r="4919">
      <c r="A4919" s="24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5" t="n">
        <v>0.407821</v>
      </c>
    </row>
    <row r="4920">
      <c r="A4920" s="24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5" t="n">
        <v>0.413023</v>
      </c>
    </row>
    <row r="4921">
      <c r="A4921" s="24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5" t="n">
        <v>0.420202</v>
      </c>
    </row>
    <row r="4922">
      <c r="A4922" s="24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5" t="n">
        <v>0.41732</v>
      </c>
    </row>
    <row r="4923">
      <c r="A4923" s="24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5" t="n">
        <v>0.410524</v>
      </c>
    </row>
    <row r="4924">
      <c r="A4924" s="24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5" t="n">
        <v>0.408203</v>
      </c>
    </row>
    <row r="4925">
      <c r="A4925" s="24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5" t="n">
        <v>0.410034</v>
      </c>
    </row>
    <row r="4926">
      <c r="A4926" s="24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5" t="n">
        <v>0.328774</v>
      </c>
    </row>
    <row r="4927">
      <c r="A4927" s="24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5" t="n">
        <v>0.126447</v>
      </c>
    </row>
    <row r="4928">
      <c r="A4928" s="24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5" t="n">
        <v>0.138533</v>
      </c>
    </row>
    <row r="4929">
      <c r="A4929" s="24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5" t="n">
        <v>0.084311</v>
      </c>
    </row>
    <row r="4930">
      <c r="A4930" s="24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5" t="n">
        <v>0.066913</v>
      </c>
    </row>
    <row r="4931">
      <c r="A4931" s="24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5" t="n">
        <v>0.031073</v>
      </c>
    </row>
    <row r="4932">
      <c r="A4932" s="24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5" t="n">
        <v>0.324287</v>
      </c>
    </row>
    <row r="4933">
      <c r="A4933" s="24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5" t="n">
        <v>0.227599</v>
      </c>
    </row>
    <row r="4934">
      <c r="A4934" s="24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5" t="n">
        <v>0.06653299999999999</v>
      </c>
    </row>
    <row r="4935">
      <c r="A4935" s="24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5" t="n">
        <v>0.052767</v>
      </c>
    </row>
    <row r="4936">
      <c r="A4936" s="24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5" t="n">
        <v>0.037878</v>
      </c>
    </row>
    <row r="4937">
      <c r="A4937" s="24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5" t="n">
        <v>0.030037</v>
      </c>
    </row>
    <row r="4938">
      <c r="A4938" s="24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5" t="n">
        <v>0.035917</v>
      </c>
    </row>
    <row r="4939">
      <c r="A4939" s="24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5" t="n">
        <v>0.027672</v>
      </c>
    </row>
    <row r="4940">
      <c r="A4940" s="24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5" t="n">
        <v>0.111568</v>
      </c>
    </row>
    <row r="4941">
      <c r="A4941" s="24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5" t="n">
        <v>0.350305</v>
      </c>
    </row>
    <row r="4942">
      <c r="A4942" s="24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5" t="n">
        <v>0.3822</v>
      </c>
    </row>
    <row r="4943">
      <c r="A4943" s="24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5" t="n">
        <v>0.253719</v>
      </c>
    </row>
    <row r="4944">
      <c r="A4944" s="24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5" t="n">
        <v>0.155618</v>
      </c>
    </row>
    <row r="4945">
      <c r="A4945" s="24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5" t="n">
        <v>0.051974</v>
      </c>
    </row>
    <row r="4946">
      <c r="A4946" s="24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5" t="n">
        <v>0.036545</v>
      </c>
    </row>
    <row r="4947">
      <c r="A4947" s="24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5" t="n">
        <v>0.030008</v>
      </c>
    </row>
    <row r="4948">
      <c r="A4948" s="24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5" t="n">
        <v>0.022565</v>
      </c>
    </row>
    <row r="4949">
      <c r="A4949" s="24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5" t="n">
        <v>0.037481</v>
      </c>
    </row>
    <row r="4950">
      <c r="A4950" s="24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5" t="n">
        <v>0.038497</v>
      </c>
    </row>
    <row r="4951">
      <c r="A4951" s="24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5" t="n">
        <v>0.04705</v>
      </c>
    </row>
    <row r="4952">
      <c r="A4952" s="24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5" t="n">
        <v>0.096974</v>
      </c>
    </row>
    <row r="4953">
      <c r="A4953" s="24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5" t="n">
        <v>0.060417</v>
      </c>
    </row>
    <row r="4954">
      <c r="A4954" s="24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5" t="n">
        <v>0.042991</v>
      </c>
    </row>
    <row r="4955">
      <c r="A4955" s="24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5" t="n">
        <v>0.02232</v>
      </c>
    </row>
    <row r="4956">
      <c r="A4956" s="24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5" t="n">
        <v>0.010564</v>
      </c>
    </row>
    <row r="4957">
      <c r="A4957" s="24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5" t="n">
        <v>0.029315</v>
      </c>
    </row>
    <row r="4958">
      <c r="A4958" s="24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5" t="n">
        <v>0.025883</v>
      </c>
    </row>
    <row r="4959">
      <c r="A4959" s="24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5" t="n">
        <v>0.014092</v>
      </c>
    </row>
    <row r="4960">
      <c r="A4960" s="24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5" t="n">
        <v>0.012015</v>
      </c>
    </row>
    <row r="4961">
      <c r="A4961" s="24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5" t="n">
        <v>0.006955</v>
      </c>
    </row>
    <row r="4962">
      <c r="A4962" s="24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5" t="n">
        <v>0.011071</v>
      </c>
    </row>
    <row r="4963">
      <c r="A4963" s="24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5" t="n">
        <v>0.014763</v>
      </c>
    </row>
    <row r="4964">
      <c r="A4964" s="24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5" t="n">
        <v>0.032649</v>
      </c>
    </row>
    <row r="4965">
      <c r="A4965" s="24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5" t="n">
        <v>0.189422</v>
      </c>
    </row>
    <row r="4966">
      <c r="A4966" s="24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5" t="n">
        <v>0.04885</v>
      </c>
    </row>
    <row r="4967">
      <c r="A4967" s="24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5" t="n">
        <v>0.049158</v>
      </c>
    </row>
    <row r="4968">
      <c r="A4968" s="24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5" t="n">
        <v>0.059386</v>
      </c>
    </row>
    <row r="4969">
      <c r="A4969" s="24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5" t="n">
        <v>0.047436</v>
      </c>
    </row>
    <row r="4970">
      <c r="A4970" s="24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5" t="n">
        <v>0.044297</v>
      </c>
    </row>
    <row r="4971">
      <c r="A4971" s="24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5" t="n">
        <v>0.165491</v>
      </c>
    </row>
    <row r="4972">
      <c r="A4972" s="24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5" t="n">
        <v>0.354588</v>
      </c>
    </row>
    <row r="4973">
      <c r="A4973" s="24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5" t="n">
        <v>0.391339</v>
      </c>
    </row>
    <row r="4974">
      <c r="A4974" s="24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5" t="n">
        <v>0.401219</v>
      </c>
    </row>
    <row r="4975">
      <c r="A4975" s="24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5" t="n">
        <v>0.400082</v>
      </c>
    </row>
    <row r="4976">
      <c r="A4976" s="24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5" t="n">
        <v>0.146063</v>
      </c>
    </row>
    <row r="4977">
      <c r="A4977" s="24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5" t="n">
        <v>0.101234</v>
      </c>
    </row>
    <row r="4978">
      <c r="A4978" s="24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5" t="n">
        <v>0.195497</v>
      </c>
    </row>
    <row r="4979">
      <c r="A4979" s="24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5" t="n">
        <v>0.294256</v>
      </c>
    </row>
    <row r="4980">
      <c r="A4980" s="24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5" t="n">
        <v>0.38266</v>
      </c>
    </row>
    <row r="4981">
      <c r="A4981" s="24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5" t="n">
        <v>0.271538</v>
      </c>
    </row>
    <row r="4982">
      <c r="A4982" s="24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5" t="n">
        <v>0.126363</v>
      </c>
    </row>
    <row r="4983">
      <c r="A4983" s="24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5" t="n">
        <v>0.133155</v>
      </c>
    </row>
    <row r="4984">
      <c r="A4984" s="24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5" t="n">
        <v>0.071564</v>
      </c>
    </row>
    <row r="4985">
      <c r="A4985" s="24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5" t="n">
        <v>0.037965</v>
      </c>
    </row>
    <row r="4986">
      <c r="A4986" s="24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5" t="n">
        <v>0.031569</v>
      </c>
    </row>
    <row r="4987">
      <c r="A4987" s="24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5" t="n">
        <v>0.039435</v>
      </c>
    </row>
    <row r="4988">
      <c r="A4988" s="24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5" t="n">
        <v>0.028578</v>
      </c>
    </row>
    <row r="4989">
      <c r="A4989" s="24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5" t="n">
        <v>0.167691</v>
      </c>
    </row>
    <row r="4990">
      <c r="A4990" s="24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5" t="n">
        <v>0.209856</v>
      </c>
    </row>
    <row r="4991">
      <c r="A4991" s="24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5" t="n">
        <v>0.07724</v>
      </c>
    </row>
    <row r="4992">
      <c r="A4992" s="24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5" t="n">
        <v>0.114394</v>
      </c>
    </row>
    <row r="4993">
      <c r="A4993" s="24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5" t="n">
        <v>0.122195</v>
      </c>
    </row>
    <row r="4994">
      <c r="A4994" s="24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5" t="n">
        <v>0.353253</v>
      </c>
    </row>
    <row r="4995">
      <c r="A4995" s="24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5" t="n">
        <v>0.191529</v>
      </c>
    </row>
    <row r="4996">
      <c r="A4996" s="24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5" t="n">
        <v>0.10294</v>
      </c>
    </row>
    <row r="4997">
      <c r="A4997" s="24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5" t="n">
        <v>0.126174</v>
      </c>
    </row>
    <row r="4998">
      <c r="A4998" s="24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5" t="n">
        <v>0.189224</v>
      </c>
    </row>
    <row r="4999">
      <c r="A4999" s="24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5" t="n">
        <v>0.118567</v>
      </c>
    </row>
    <row r="5000">
      <c r="A5000" s="24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5" t="n">
        <v>0.048449</v>
      </c>
    </row>
    <row r="5001">
      <c r="A5001" s="24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5" t="n">
        <v>0.056645</v>
      </c>
    </row>
    <row r="5002">
      <c r="A5002" s="24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5" t="n">
        <v>0.123723</v>
      </c>
    </row>
    <row r="5003">
      <c r="A5003" s="24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5" t="n">
        <v>0.07548299999999999</v>
      </c>
    </row>
    <row r="5004">
      <c r="A5004" s="24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5" t="n">
        <v>0.067053</v>
      </c>
    </row>
    <row r="5005">
      <c r="A5005" s="24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5" t="n">
        <v>0.052398</v>
      </c>
    </row>
    <row r="5006">
      <c r="A5006" s="24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5" t="n">
        <v>0.260886</v>
      </c>
    </row>
    <row r="5007">
      <c r="A5007" s="24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5" t="n">
        <v>0.048046</v>
      </c>
    </row>
    <row r="5008">
      <c r="A5008" s="24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5" t="n">
        <v>0.021104</v>
      </c>
    </row>
    <row r="5009">
      <c r="A5009" s="24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5" t="n">
        <v>0.011501</v>
      </c>
    </row>
    <row r="5010">
      <c r="A5010" s="24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5" t="n">
        <v>0.042277</v>
      </c>
    </row>
    <row r="5011">
      <c r="A5011" s="24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5" t="n">
        <v>0.056545</v>
      </c>
    </row>
    <row r="5012">
      <c r="A5012" s="24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5" t="n">
        <v>0.033851</v>
      </c>
    </row>
    <row r="5013">
      <c r="A5013" s="24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5" t="n">
        <v>0.035319</v>
      </c>
    </row>
    <row r="5014">
      <c r="A5014" s="24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5" t="n">
        <v>0.020281</v>
      </c>
    </row>
    <row r="5015">
      <c r="A5015" s="24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5" t="n">
        <v>0.028621</v>
      </c>
    </row>
    <row r="5016">
      <c r="A5016" s="24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5" t="n">
        <v>0.031319</v>
      </c>
    </row>
    <row r="5017">
      <c r="A5017" s="24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5" t="n">
        <v>0.039212</v>
      </c>
    </row>
    <row r="5018">
      <c r="A5018" s="24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5" t="n">
        <v>0.042088</v>
      </c>
    </row>
    <row r="5019">
      <c r="A5019" s="24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5" t="n">
        <v>0.025326</v>
      </c>
    </row>
    <row r="5020">
      <c r="A5020" s="24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5" t="n">
        <v>0.029363</v>
      </c>
    </row>
    <row r="5021">
      <c r="A5021" s="24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5" t="n">
        <v>0.334812</v>
      </c>
    </row>
    <row r="5022">
      <c r="A5022" s="24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5" t="n">
        <v>0.382617</v>
      </c>
    </row>
    <row r="5023">
      <c r="A5023" s="24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5" t="n">
        <v>0.397788</v>
      </c>
    </row>
    <row r="5024">
      <c r="A5024" s="24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5" t="n">
        <v>0.397494</v>
      </c>
    </row>
    <row r="5025">
      <c r="A5025" s="24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5" t="n">
        <v>0.145511</v>
      </c>
    </row>
    <row r="5026">
      <c r="A5026" s="24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5" t="n">
        <v>0.07174</v>
      </c>
    </row>
    <row r="5027">
      <c r="A5027" s="24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5" t="n">
        <v>0.030177</v>
      </c>
    </row>
    <row r="5028">
      <c r="A5028" s="24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5" t="n">
        <v>0.018999</v>
      </c>
    </row>
    <row r="5029">
      <c r="A5029" s="24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5" t="n">
        <v>0.029667</v>
      </c>
    </row>
    <row r="5030">
      <c r="A5030" s="24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5" t="n">
        <v>0.060194</v>
      </c>
    </row>
    <row r="5031">
      <c r="A5031" s="24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5" t="n">
        <v>0.121897</v>
      </c>
    </row>
    <row r="5032">
      <c r="A5032" s="24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5" t="n">
        <v>0.171061</v>
      </c>
    </row>
    <row r="5033">
      <c r="A5033" s="24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5" t="n">
        <v>0.235498</v>
      </c>
    </row>
    <row r="5034">
      <c r="A5034" s="24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5" t="n">
        <v>0.056208</v>
      </c>
    </row>
    <row r="5035">
      <c r="A5035" s="24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5" t="n">
        <v>0.033277</v>
      </c>
    </row>
    <row r="5036">
      <c r="A5036" s="24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5" t="n">
        <v>0.049068</v>
      </c>
    </row>
    <row r="5037">
      <c r="A5037" s="24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5" t="n">
        <v>0.039966</v>
      </c>
    </row>
    <row r="5038">
      <c r="A5038" s="24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5" t="n">
        <v>0.05662</v>
      </c>
    </row>
    <row r="5039">
      <c r="A5039" s="24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5" t="n">
        <v>0.03234</v>
      </c>
    </row>
    <row r="5040">
      <c r="A5040" s="24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5" t="n">
        <v>0.09085500000000001</v>
      </c>
    </row>
    <row r="5041">
      <c r="A5041" s="24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5" t="n">
        <v>0.023454</v>
      </c>
    </row>
    <row r="5042">
      <c r="A5042" s="24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5" t="n">
        <v>0.100512</v>
      </c>
    </row>
    <row r="5043">
      <c r="A5043" s="24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5" t="n">
        <v>0.118787</v>
      </c>
    </row>
    <row r="5044">
      <c r="A5044" s="24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5" t="n">
        <v>0.059057</v>
      </c>
    </row>
    <row r="5045">
      <c r="A5045" s="24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5" t="n">
        <v>0.079996</v>
      </c>
    </row>
    <row r="5046">
      <c r="A5046" s="24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5" t="n">
        <v>0.022466</v>
      </c>
    </row>
    <row r="5047">
      <c r="A5047" s="24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5" t="n">
        <v>0.089754</v>
      </c>
    </row>
    <row r="5048">
      <c r="A5048" s="24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5" t="n">
        <v>0.105124</v>
      </c>
    </row>
    <row r="5049">
      <c r="A5049" s="24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5" t="n">
        <v>0.090642</v>
      </c>
    </row>
    <row r="5050">
      <c r="A5050" s="24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5" t="n">
        <v>0.042919</v>
      </c>
    </row>
    <row r="5051">
      <c r="A5051" s="24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5" t="n">
        <v>0.082651</v>
      </c>
    </row>
    <row r="5052">
      <c r="A5052" s="24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5" t="n">
        <v>0.09689</v>
      </c>
    </row>
    <row r="5053">
      <c r="A5053" s="24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5" t="n">
        <v>0.101423</v>
      </c>
    </row>
    <row r="5054">
      <c r="A5054" s="24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5" t="n">
        <v>0.106709</v>
      </c>
    </row>
    <row r="5055">
      <c r="A5055" s="24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5" t="n">
        <v>0.035121</v>
      </c>
    </row>
    <row r="5056">
      <c r="A5056" s="24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5" t="n">
        <v>0.044167</v>
      </c>
    </row>
    <row r="5057">
      <c r="A5057" s="24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5" t="n">
        <v>0.035868</v>
      </c>
    </row>
    <row r="5058">
      <c r="A5058" s="24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5" t="n">
        <v>0.034664</v>
      </c>
    </row>
    <row r="5059">
      <c r="A5059" s="24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5" t="n">
        <v>0.021854</v>
      </c>
    </row>
    <row r="5060">
      <c r="A5060" s="24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5" t="n">
        <v>0.066244</v>
      </c>
    </row>
    <row r="5061">
      <c r="A5061" s="24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5" t="n">
        <v>0.093167</v>
      </c>
    </row>
    <row r="5062">
      <c r="A5062" s="24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5" t="n">
        <v>0.212652</v>
      </c>
    </row>
    <row r="5063">
      <c r="A5063" s="24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5" t="n">
        <v>0.187295</v>
      </c>
    </row>
    <row r="5064">
      <c r="A5064" s="24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5" t="n">
        <v>0.074765</v>
      </c>
    </row>
    <row r="5065">
      <c r="A5065" s="24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5" t="n">
        <v>0.050887</v>
      </c>
    </row>
    <row r="5066">
      <c r="A5066" s="24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5" t="n">
        <v>0.025916</v>
      </c>
    </row>
    <row r="5067">
      <c r="A5067" s="24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5" t="n">
        <v>0.017828</v>
      </c>
    </row>
    <row r="5068">
      <c r="A5068" s="24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5" t="n">
        <v>0.025055</v>
      </c>
    </row>
    <row r="5069">
      <c r="A5069" s="24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5" t="n">
        <v>0.012532</v>
      </c>
    </row>
    <row r="5070">
      <c r="A5070" s="24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5" t="n">
        <v>0.006198</v>
      </c>
    </row>
    <row r="5071">
      <c r="A5071" s="24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5" t="n">
        <v>0.014328</v>
      </c>
    </row>
    <row r="5072">
      <c r="A5072" s="24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5" t="n">
        <v>0.004568</v>
      </c>
    </row>
    <row r="5073">
      <c r="A5073" s="24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5" t="n">
        <v>0.014738</v>
      </c>
    </row>
    <row r="5074">
      <c r="A5074" s="24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5" t="n">
        <v>0.014513</v>
      </c>
    </row>
    <row r="5075">
      <c r="A5075" s="24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5" t="n">
        <v>0.043975</v>
      </c>
    </row>
    <row r="5076">
      <c r="A5076" s="24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5" t="n">
        <v>0.048636</v>
      </c>
    </row>
    <row r="5077">
      <c r="A5077" s="24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5" t="n">
        <v>0.048239</v>
      </c>
    </row>
    <row r="5078">
      <c r="A5078" s="24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5" t="n">
        <v>0.061534</v>
      </c>
    </row>
    <row r="5079">
      <c r="A5079" s="24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5" t="n">
        <v>0.055977</v>
      </c>
    </row>
    <row r="5080">
      <c r="A5080" s="24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5" t="n">
        <v>0.03716</v>
      </c>
    </row>
    <row r="5081">
      <c r="A5081" s="24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5" t="n">
        <v>0.037561</v>
      </c>
    </row>
    <row r="5082">
      <c r="A5082" s="24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5" t="n">
        <v>0.04932</v>
      </c>
    </row>
    <row r="5083">
      <c r="A5083" s="24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5" t="n">
        <v>0.056198</v>
      </c>
    </row>
    <row r="5084">
      <c r="A5084" s="24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5" t="n">
        <v>0.060043</v>
      </c>
    </row>
    <row r="5085">
      <c r="A5085" s="24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5" t="n">
        <v>0.049869</v>
      </c>
    </row>
    <row r="5086">
      <c r="A5086" s="24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5" t="n">
        <v>0.034557</v>
      </c>
    </row>
    <row r="5087">
      <c r="A5087" s="24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5" t="n">
        <v>0.035477</v>
      </c>
    </row>
    <row r="5088">
      <c r="A5088" s="24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5" t="n">
        <v>0.04813</v>
      </c>
    </row>
    <row r="5089">
      <c r="A5089" s="24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5" t="n">
        <v>0.040215</v>
      </c>
    </row>
    <row r="5090">
      <c r="A5090" s="24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5" t="n">
        <v>0.104036</v>
      </c>
    </row>
    <row r="5091">
      <c r="A5091" s="24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5" t="n">
        <v>0.314459</v>
      </c>
    </row>
    <row r="5092">
      <c r="A5092" s="24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5" t="n">
        <v>0.15281</v>
      </c>
    </row>
    <row r="5093">
      <c r="A5093" s="24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5" t="n">
        <v>0.145669</v>
      </c>
    </row>
    <row r="5094">
      <c r="A5094" s="24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5" t="n">
        <v>0.105938</v>
      </c>
    </row>
    <row r="5095">
      <c r="A5095" s="24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5" t="n">
        <v>0.05774</v>
      </c>
    </row>
    <row r="5096">
      <c r="A5096" s="24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5" t="n">
        <v>0.086358</v>
      </c>
    </row>
    <row r="5097">
      <c r="A5097" s="24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5" t="n">
        <v>0.031916</v>
      </c>
    </row>
    <row r="5098">
      <c r="A5098" s="24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5" t="n">
        <v>0.048719</v>
      </c>
    </row>
    <row r="5099">
      <c r="A5099" s="24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5" t="n">
        <v>0.038866</v>
      </c>
    </row>
    <row r="5100">
      <c r="A5100" s="24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5" t="n">
        <v>0.027474</v>
      </c>
    </row>
    <row r="5101">
      <c r="A5101" s="24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5" t="n">
        <v>0.022597</v>
      </c>
    </row>
    <row r="5102">
      <c r="A5102" s="24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5" t="n">
        <v>0.008309</v>
      </c>
    </row>
    <row r="5103">
      <c r="A5103" s="24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5" t="n">
        <v>0.035517</v>
      </c>
    </row>
    <row r="5104">
      <c r="A5104" s="24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5" t="n">
        <v>0.059166</v>
      </c>
    </row>
    <row r="5105">
      <c r="A5105" s="24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5" t="n">
        <v>0.034691</v>
      </c>
    </row>
    <row r="5106">
      <c r="A5106" s="24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5" t="n">
        <v>0.03507</v>
      </c>
    </row>
    <row r="5107">
      <c r="A5107" s="24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5" t="n">
        <v>0.087231</v>
      </c>
    </row>
    <row r="5108">
      <c r="A5108" s="24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5" t="n">
        <v>0.040291</v>
      </c>
    </row>
    <row r="5109">
      <c r="A5109" s="24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5" t="n">
        <v>0.05596</v>
      </c>
    </row>
    <row r="5110">
      <c r="A5110" s="24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5" t="n">
        <v>0.035468</v>
      </c>
    </row>
    <row r="5111">
      <c r="A5111" s="24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5" t="n">
        <v>0.081318</v>
      </c>
    </row>
    <row r="5112">
      <c r="A5112" s="24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5" t="n">
        <v>0.08129599999999999</v>
      </c>
    </row>
    <row r="5113">
      <c r="A5113" s="24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5" t="n">
        <v>0.09410200000000001</v>
      </c>
    </row>
    <row r="5114">
      <c r="A5114" s="24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5" t="n">
        <v>0.1395</v>
      </c>
    </row>
    <row r="5115">
      <c r="A5115" s="24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5" t="n">
        <v>0.117559</v>
      </c>
    </row>
    <row r="5116">
      <c r="A5116" s="24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5" t="n">
        <v>0.205298</v>
      </c>
    </row>
    <row r="5117">
      <c r="A5117" s="24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5" t="n">
        <v>0.149498</v>
      </c>
    </row>
    <row r="5118">
      <c r="A5118" s="24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5" t="n">
        <v>0.069508</v>
      </c>
    </row>
    <row r="5119">
      <c r="A5119" s="24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5" t="n">
        <v>0.126509</v>
      </c>
    </row>
    <row r="5120">
      <c r="A5120" s="24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5" t="n">
        <v>0.117434</v>
      </c>
    </row>
    <row r="5121">
      <c r="A5121" s="24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5" t="n">
        <v>0.156209</v>
      </c>
    </row>
    <row r="5122">
      <c r="A5122" s="24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5" t="n">
        <v>0.278207</v>
      </c>
    </row>
    <row r="5123">
      <c r="A5123" s="24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5" t="n">
        <v>0.114031</v>
      </c>
    </row>
    <row r="5124">
      <c r="A5124" s="24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5" t="n">
        <v>0.178945</v>
      </c>
    </row>
    <row r="5125">
      <c r="A5125" s="24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5" t="n">
        <v>0.18035</v>
      </c>
    </row>
    <row r="5126">
      <c r="A5126" s="24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5" t="n">
        <v>0.081715</v>
      </c>
    </row>
    <row r="5127">
      <c r="A5127" s="24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5" t="n">
        <v>0.070549</v>
      </c>
    </row>
    <row r="5128">
      <c r="A5128" s="24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5" t="n">
        <v>0.185703</v>
      </c>
    </row>
    <row r="5129">
      <c r="A5129" s="24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5" t="n">
        <v>0.09729599999999999</v>
      </c>
    </row>
    <row r="5130">
      <c r="A5130" s="24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5" t="n">
        <v>0.121658</v>
      </c>
    </row>
    <row r="5131">
      <c r="A5131" s="24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5" t="n">
        <v>0.047398</v>
      </c>
    </row>
    <row r="5132">
      <c r="A5132" s="24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5" t="n">
        <v>0.061528</v>
      </c>
    </row>
    <row r="5133">
      <c r="A5133" s="24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5" t="n">
        <v>0.038943</v>
      </c>
    </row>
    <row r="5134">
      <c r="A5134" s="24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5" t="n">
        <v>0.269341</v>
      </c>
    </row>
    <row r="5135">
      <c r="A5135" s="24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5" t="n">
        <v>0.193146</v>
      </c>
    </row>
    <row r="5136">
      <c r="A5136" s="24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5" t="n">
        <v>0.145473</v>
      </c>
    </row>
    <row r="5137">
      <c r="A5137" s="24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5" t="n">
        <v>0.09238300000000001</v>
      </c>
    </row>
    <row r="5138">
      <c r="A5138" s="24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5" t="n">
        <v>0.116296</v>
      </c>
    </row>
    <row r="5139">
      <c r="A5139" s="24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5" t="n">
        <v>0.050448</v>
      </c>
    </row>
    <row r="5140">
      <c r="A5140" s="24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5" t="n">
        <v>0.041595</v>
      </c>
    </row>
    <row r="5141">
      <c r="A5141" s="24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5" t="n">
        <v>0.053689</v>
      </c>
    </row>
    <row r="5142">
      <c r="A5142" s="24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5" t="n">
        <v>0.032104</v>
      </c>
    </row>
    <row r="5143">
      <c r="A5143" s="24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5" t="n">
        <v>0.035641</v>
      </c>
    </row>
    <row r="5144">
      <c r="A5144" s="24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5" t="n">
        <v>0.023675</v>
      </c>
    </row>
    <row r="5145">
      <c r="A5145" s="24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5" t="n">
        <v>0.050788</v>
      </c>
    </row>
    <row r="5146">
      <c r="A5146" s="24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5" t="n">
        <v>0.293262</v>
      </c>
    </row>
    <row r="5147">
      <c r="A5147" s="24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5" t="n">
        <v>0.200723</v>
      </c>
    </row>
    <row r="5148">
      <c r="A5148" s="24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5" t="n">
        <v>0.07692400000000001</v>
      </c>
    </row>
    <row r="5149">
      <c r="A5149" s="24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5" t="n">
        <v>0.33998</v>
      </c>
    </row>
    <row r="5150">
      <c r="A5150" s="24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5" t="n">
        <v>0.156303</v>
      </c>
    </row>
    <row r="5151">
      <c r="A5151" s="24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5" t="n">
        <v>0.055909</v>
      </c>
    </row>
    <row r="5152">
      <c r="A5152" s="24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5" t="n">
        <v>0.062193</v>
      </c>
    </row>
    <row r="5153">
      <c r="A5153" s="24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5" t="n">
        <v>0.058926</v>
      </c>
    </row>
    <row r="5154">
      <c r="A5154" s="24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5" t="n">
        <v>0.078751</v>
      </c>
    </row>
    <row r="5155">
      <c r="A5155" s="24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5" t="n">
        <v>0.117205</v>
      </c>
    </row>
    <row r="5156">
      <c r="A5156" s="24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5" t="n">
        <v>0.056761</v>
      </c>
    </row>
    <row r="5157">
      <c r="A5157" s="24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5" t="n">
        <v>0.049652</v>
      </c>
    </row>
    <row r="5158">
      <c r="A5158" s="24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5" t="n">
        <v>0.030671</v>
      </c>
    </row>
    <row r="5159">
      <c r="A5159" s="24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5" t="n">
        <v>0.057711</v>
      </c>
    </row>
    <row r="5160">
      <c r="A5160" s="24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5" t="n">
        <v>0.040785</v>
      </c>
    </row>
    <row r="5161">
      <c r="A5161" s="24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5" t="n">
        <v>0.029644</v>
      </c>
    </row>
    <row r="5162">
      <c r="A5162" s="24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5" t="n">
        <v>0.128201</v>
      </c>
    </row>
    <row r="5163">
      <c r="A5163" s="24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5" t="n">
        <v>0.204905</v>
      </c>
    </row>
    <row r="5164">
      <c r="A5164" s="24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5" t="n">
        <v>0.041883</v>
      </c>
    </row>
    <row r="5165">
      <c r="A5165" s="24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5" t="n">
        <v>0.042751</v>
      </c>
    </row>
    <row r="5166">
      <c r="A5166" s="24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5" t="n">
        <v>0.07971399999999999</v>
      </c>
    </row>
    <row r="5167">
      <c r="A5167" s="24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5" t="n">
        <v>0.082313</v>
      </c>
    </row>
    <row r="5168">
      <c r="A5168" s="24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5" t="n">
        <v>0.055818</v>
      </c>
    </row>
    <row r="5169">
      <c r="A5169" s="24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5" t="n">
        <v>0.146053</v>
      </c>
    </row>
    <row r="5170">
      <c r="A5170" s="24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5" t="n">
        <v>0.304862</v>
      </c>
    </row>
    <row r="5171">
      <c r="A5171" s="24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5" t="n">
        <v>0.070214</v>
      </c>
    </row>
    <row r="5172">
      <c r="A5172" s="24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5" t="n">
        <v>0.131121</v>
      </c>
    </row>
    <row r="5173">
      <c r="A5173" s="24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5" t="n">
        <v>0.128219</v>
      </c>
    </row>
    <row r="5174">
      <c r="A5174" s="24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5" t="n">
        <v>0.056239</v>
      </c>
    </row>
    <row r="5175">
      <c r="A5175" s="24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5" t="n">
        <v>0.079791</v>
      </c>
    </row>
    <row r="5176">
      <c r="A5176" s="24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5" t="n">
        <v>0.19359</v>
      </c>
    </row>
    <row r="5177">
      <c r="A5177" s="24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5" t="n">
        <v>0.058081</v>
      </c>
    </row>
    <row r="5178">
      <c r="A5178" s="24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5" t="n">
        <v>0.054133</v>
      </c>
    </row>
    <row r="5179">
      <c r="A5179" s="24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5" t="n">
        <v>0.112451</v>
      </c>
    </row>
    <row r="5180">
      <c r="A5180" s="24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5" t="n">
        <v>0.354521</v>
      </c>
    </row>
    <row r="5181">
      <c r="A5181" s="24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5" t="n">
        <v>0.385742</v>
      </c>
    </row>
    <row r="5182">
      <c r="A5182" s="24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5" t="n">
        <v>0.395429</v>
      </c>
    </row>
    <row r="5183">
      <c r="A5183" s="24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5" t="n">
        <v>0.404612</v>
      </c>
    </row>
    <row r="5184">
      <c r="A5184" s="24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5" t="n">
        <v>0.286609</v>
      </c>
    </row>
    <row r="5185">
      <c r="A5185" s="24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5" t="n">
        <v>0.076165</v>
      </c>
    </row>
    <row r="5186">
      <c r="A5186" s="24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5" t="n">
        <v>0.073559</v>
      </c>
    </row>
    <row r="5187">
      <c r="A5187" s="24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5" t="n">
        <v>0.040056</v>
      </c>
    </row>
    <row r="5188">
      <c r="A5188" s="24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5" t="n">
        <v>0.077056</v>
      </c>
    </row>
    <row r="5189">
      <c r="A5189" s="24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5" t="n">
        <v>0.067366</v>
      </c>
    </row>
    <row r="5190">
      <c r="A5190" s="24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5" t="n">
        <v>0.025881</v>
      </c>
    </row>
    <row r="5191">
      <c r="A5191" s="24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5" t="n">
        <v>0.031387</v>
      </c>
    </row>
    <row r="5192">
      <c r="A5192" s="24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5" t="n">
        <v>0.027478</v>
      </c>
    </row>
    <row r="5193">
      <c r="A5193" s="24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5" t="n">
        <v>0.031768</v>
      </c>
    </row>
    <row r="5194">
      <c r="A5194" s="24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5" t="n">
        <v>0.028606</v>
      </c>
    </row>
    <row r="5195">
      <c r="A5195" s="24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5" t="n">
        <v>0.026096</v>
      </c>
    </row>
    <row r="5196">
      <c r="A5196" s="24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5" t="n">
        <v>0.312264</v>
      </c>
    </row>
    <row r="5197">
      <c r="A5197" s="24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5" t="n">
        <v>0.260259</v>
      </c>
    </row>
    <row r="5198">
      <c r="A5198" s="24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5" t="n">
        <v>0.19793</v>
      </c>
    </row>
    <row r="5199">
      <c r="A5199" s="24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5" t="n">
        <v>0.144198</v>
      </c>
    </row>
    <row r="5200">
      <c r="A5200" s="24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5" t="n">
        <v>0.124337</v>
      </c>
    </row>
    <row r="5201">
      <c r="A5201" s="24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5" t="n">
        <v>0.070447</v>
      </c>
    </row>
    <row r="5202">
      <c r="A5202" s="24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5" t="n">
        <v>0.035901</v>
      </c>
    </row>
    <row r="5203">
      <c r="A5203" s="24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5" t="n">
        <v>0.021008</v>
      </c>
    </row>
    <row r="5204">
      <c r="A5204" s="24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5" t="n">
        <v>0.044053</v>
      </c>
    </row>
    <row r="5205">
      <c r="A5205" s="24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5" t="n">
        <v>0.02607</v>
      </c>
    </row>
    <row r="5206">
      <c r="A5206" s="24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5" t="n">
        <v>0.029171</v>
      </c>
    </row>
    <row r="5207">
      <c r="A5207" s="24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5" t="n">
        <v>0.08598699999999999</v>
      </c>
    </row>
    <row r="5208">
      <c r="A5208" s="24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5" t="n">
        <v>0.310075</v>
      </c>
    </row>
    <row r="5209">
      <c r="A5209" s="24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5" t="n">
        <v>0.112554</v>
      </c>
    </row>
    <row r="5210">
      <c r="A5210" s="24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5" t="n">
        <v>0.116021</v>
      </c>
    </row>
    <row r="5211">
      <c r="A5211" s="24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5" t="n">
        <v>0.074776</v>
      </c>
    </row>
    <row r="5212">
      <c r="A5212" s="24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5" t="n">
        <v>0.117188</v>
      </c>
    </row>
    <row r="5213">
      <c r="A5213" s="24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5" t="n">
        <v>0.08995499999999999</v>
      </c>
    </row>
    <row r="5214">
      <c r="A5214" s="24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5" t="n">
        <v>0.055067</v>
      </c>
    </row>
    <row r="5215">
      <c r="A5215" s="24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5" t="n">
        <v>0.022707</v>
      </c>
    </row>
    <row r="5216">
      <c r="A5216" s="24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5" t="n">
        <v>0.030384</v>
      </c>
    </row>
    <row r="5217">
      <c r="A5217" s="24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5" t="n">
        <v>0.025318</v>
      </c>
    </row>
    <row r="5218">
      <c r="A5218" s="24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5" t="n">
        <v>0.02333</v>
      </c>
    </row>
    <row r="5219">
      <c r="A5219" s="24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5" t="n">
        <v>0.032294</v>
      </c>
    </row>
    <row r="5220">
      <c r="A5220" s="24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5" t="n">
        <v>0.075632</v>
      </c>
    </row>
    <row r="5221">
      <c r="A5221" s="24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5" t="n">
        <v>0.173059</v>
      </c>
    </row>
    <row r="5222">
      <c r="A5222" s="24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5" t="n">
        <v>0.216335</v>
      </c>
    </row>
    <row r="5223">
      <c r="A5223" s="24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5" t="n">
        <v>0.239638</v>
      </c>
    </row>
    <row r="5224">
      <c r="A5224" s="24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5" t="n">
        <v>0.315742</v>
      </c>
    </row>
    <row r="5225">
      <c r="A5225" s="24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5" t="n">
        <v>0.229015</v>
      </c>
    </row>
    <row r="5226">
      <c r="A5226" s="24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5" t="n">
        <v>0.258018</v>
      </c>
    </row>
    <row r="5227">
      <c r="A5227" s="24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5" t="n">
        <v>0.185966</v>
      </c>
    </row>
    <row r="5228">
      <c r="A5228" s="24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5" t="n">
        <v>0.138561</v>
      </c>
    </row>
    <row r="5229">
      <c r="A5229" s="24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5" t="n">
        <v>0.056574</v>
      </c>
    </row>
    <row r="5230">
      <c r="A5230" s="24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5" t="n">
        <v>0.056904</v>
      </c>
    </row>
    <row r="5231">
      <c r="A5231" s="24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5" t="n">
        <v>0.109973</v>
      </c>
    </row>
    <row r="5232">
      <c r="A5232" s="24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5" t="n">
        <v>0.350014</v>
      </c>
    </row>
    <row r="5233">
      <c r="A5233" s="24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5" t="n">
        <v>0.386675</v>
      </c>
    </row>
    <row r="5234">
      <c r="A5234" s="24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5" t="n">
        <v>0.398895</v>
      </c>
    </row>
    <row r="5235">
      <c r="A5235" s="24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5" t="n">
        <v>0.361246</v>
      </c>
    </row>
    <row r="5236">
      <c r="A5236" s="24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5" t="n">
        <v>0.119068</v>
      </c>
    </row>
    <row r="5237">
      <c r="A5237" s="24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5" t="n">
        <v>0.313336</v>
      </c>
    </row>
    <row r="5238">
      <c r="A5238" s="24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5" t="n">
        <v>0.218815</v>
      </c>
    </row>
    <row r="5239">
      <c r="A5239" s="24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5" t="n">
        <v>0.224198</v>
      </c>
    </row>
    <row r="5240">
      <c r="A5240" s="24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5" t="n">
        <v>0.308944</v>
      </c>
    </row>
    <row r="5241">
      <c r="A5241" s="24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5" t="n">
        <v>0.249551</v>
      </c>
    </row>
    <row r="5242">
      <c r="A5242" s="24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5" t="n">
        <v>0.180301</v>
      </c>
    </row>
    <row r="5243">
      <c r="A5243" s="24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5" t="n">
        <v>0.172607</v>
      </c>
    </row>
    <row r="5244">
      <c r="A5244" s="24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5" t="n">
        <v>0.042701</v>
      </c>
    </row>
    <row r="5245">
      <c r="A5245" s="24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5" t="n">
        <v>0.023159</v>
      </c>
    </row>
    <row r="5246">
      <c r="A5246" s="24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5" t="n">
        <v>0.052838</v>
      </c>
    </row>
    <row r="5247">
      <c r="A5247" s="24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5" t="n">
        <v>0.06897300000000001</v>
      </c>
    </row>
    <row r="5248">
      <c r="A5248" s="24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5" t="n">
        <v>0.309666</v>
      </c>
    </row>
    <row r="5249">
      <c r="A5249" s="24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5" t="n">
        <v>0.362803</v>
      </c>
    </row>
    <row r="5250">
      <c r="A5250" s="24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5" t="n">
        <v>0.192109</v>
      </c>
    </row>
    <row r="5251">
      <c r="A5251" s="24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5" t="n">
        <v>0.061085</v>
      </c>
    </row>
    <row r="5252">
      <c r="A5252" s="24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5" t="n">
        <v>0.057175</v>
      </c>
    </row>
    <row r="5253">
      <c r="A5253" s="24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5" t="n">
        <v>0.02958</v>
      </c>
    </row>
    <row r="5254">
      <c r="A5254" s="24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5" t="n">
        <v>0.0424</v>
      </c>
    </row>
    <row r="5255">
      <c r="A5255" s="24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5" t="n">
        <v>0.054355</v>
      </c>
    </row>
    <row r="5256">
      <c r="A5256" s="24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5" t="n">
        <v>0.016032</v>
      </c>
    </row>
    <row r="5257">
      <c r="A5257" s="24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5" t="n">
        <v>0.030935</v>
      </c>
    </row>
    <row r="5258">
      <c r="A5258" s="24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5" t="n">
        <v>0.159737</v>
      </c>
    </row>
    <row r="5259">
      <c r="A5259" s="24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5" t="n">
        <v>0.345031</v>
      </c>
    </row>
    <row r="5260">
      <c r="A5260" s="24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5" t="n">
        <v>0.098939</v>
      </c>
    </row>
    <row r="5261">
      <c r="A5261" s="24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5" t="n">
        <v>0.032421</v>
      </c>
    </row>
    <row r="5262">
      <c r="A5262" s="24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5" t="n">
        <v>0.01642</v>
      </c>
    </row>
    <row r="5263">
      <c r="A5263" s="24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5" t="n">
        <v>0.008475</v>
      </c>
    </row>
    <row r="5264">
      <c r="A5264" s="24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5" t="n">
        <v>0.034037</v>
      </c>
    </row>
    <row r="5265">
      <c r="A5265" s="24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5" t="n">
        <v>0.071673</v>
      </c>
    </row>
    <row r="5266">
      <c r="A5266" s="24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5" t="n">
        <v>0.217747</v>
      </c>
    </row>
    <row r="5267">
      <c r="A5267" s="24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5" t="n">
        <v>0.083915</v>
      </c>
    </row>
    <row r="5268">
      <c r="A5268" s="24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5" t="n">
        <v>0.060989</v>
      </c>
    </row>
    <row r="5269">
      <c r="A5269" s="24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5" t="n">
        <v>0.038848</v>
      </c>
    </row>
    <row r="5270">
      <c r="A5270" s="24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5" t="n">
        <v>0.01742</v>
      </c>
    </row>
    <row r="5271">
      <c r="A5271" s="24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5" t="n">
        <v>0.017539</v>
      </c>
    </row>
    <row r="5272">
      <c r="A5272" s="24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5" t="n">
        <v>0.333014</v>
      </c>
    </row>
    <row r="5273">
      <c r="A5273" s="24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5" t="n">
        <v>0.83011</v>
      </c>
    </row>
    <row r="5274">
      <c r="A5274" s="24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5" t="n">
        <v>0.847994</v>
      </c>
    </row>
    <row r="5275">
      <c r="A5275" s="24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5" t="n">
        <v>0.400416</v>
      </c>
    </row>
    <row r="5276">
      <c r="A5276" s="24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5" t="n">
        <v>0.474434</v>
      </c>
    </row>
    <row r="5277">
      <c r="A5277" s="24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5" t="n">
        <v>0.480031</v>
      </c>
    </row>
    <row r="5278">
      <c r="A5278" s="24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5" t="n">
        <v>0.582086</v>
      </c>
    </row>
    <row r="5279">
      <c r="A5279" s="24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5" t="n">
        <v>0.874711</v>
      </c>
    </row>
    <row r="5280">
      <c r="A5280" s="24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5" t="n">
        <v>0.7026250000000001</v>
      </c>
    </row>
    <row r="5281">
      <c r="A5281" s="24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5" t="n">
        <v>0.406998</v>
      </c>
    </row>
    <row r="5282">
      <c r="A5282" s="24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5" t="n">
        <v>0.379641</v>
      </c>
    </row>
    <row r="5283">
      <c r="A5283" s="24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5" t="n">
        <v>0.111262</v>
      </c>
    </row>
    <row r="5284">
      <c r="A5284" s="24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5" t="n">
        <v>0.120529</v>
      </c>
    </row>
    <row r="5285">
      <c r="A5285" s="24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5" t="n">
        <v>0.08139200000000001</v>
      </c>
    </row>
    <row r="5286">
      <c r="A5286" s="24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5" t="n">
        <v>0.343362</v>
      </c>
    </row>
    <row r="5287">
      <c r="A5287" s="24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5" t="n">
        <v>0.387341</v>
      </c>
    </row>
    <row r="5288">
      <c r="A5288" s="24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5" t="n">
        <v>1.144131</v>
      </c>
    </row>
    <row r="5289">
      <c r="A5289" s="24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5" t="n">
        <v>1.457597</v>
      </c>
    </row>
    <row r="5290">
      <c r="A5290" s="24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5" t="n">
        <v>1.349493</v>
      </c>
    </row>
    <row r="5291">
      <c r="A5291" s="24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5" t="n">
        <v>1.333389</v>
      </c>
    </row>
    <row r="5292">
      <c r="A5292" s="24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5" t="n">
        <v>0.70268</v>
      </c>
    </row>
    <row r="5293">
      <c r="A5293" s="24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5" t="n">
        <v>0.411182</v>
      </c>
    </row>
    <row r="5294">
      <c r="A5294" s="24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5" t="n">
        <v>0.410464</v>
      </c>
    </row>
    <row r="5295">
      <c r="A5295" s="24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5" t="n">
        <v>0.377601</v>
      </c>
    </row>
    <row r="5296">
      <c r="A5296" s="24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5" t="n">
        <v>0.136307</v>
      </c>
    </row>
    <row r="5297">
      <c r="A5297" s="24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5" t="n">
        <v>0.191028</v>
      </c>
    </row>
    <row r="5298">
      <c r="A5298" s="24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5" t="n">
        <v>0.053952</v>
      </c>
    </row>
    <row r="5299">
      <c r="A5299" s="24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5" t="n">
        <v>0.059621</v>
      </c>
    </row>
    <row r="5300">
      <c r="A5300" s="24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5" t="n">
        <v>0.027403</v>
      </c>
    </row>
    <row r="5301">
      <c r="A5301" s="24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5" t="n">
        <v>0.018469</v>
      </c>
    </row>
    <row r="5302">
      <c r="A5302" s="24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5" t="n">
        <v>0.045899</v>
      </c>
    </row>
    <row r="5303">
      <c r="A5303" s="24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5" t="n">
        <v>0.016041</v>
      </c>
    </row>
    <row r="5304">
      <c r="A5304" s="24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5" t="n">
        <v>0.005192</v>
      </c>
    </row>
    <row r="5305">
      <c r="A5305" s="24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5" t="n">
        <v>0.002626</v>
      </c>
    </row>
    <row r="5306">
      <c r="A5306" s="24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5" t="n">
        <v>0.001355</v>
      </c>
    </row>
    <row r="5307">
      <c r="A5307" s="24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5" t="n">
        <v>0.0007</v>
      </c>
    </row>
    <row r="5308">
      <c r="A5308" s="24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5" t="n">
        <v>0.000361</v>
      </c>
    </row>
    <row r="5309">
      <c r="A5309" s="24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5" t="n">
        <v>0.000186</v>
      </c>
    </row>
    <row r="5310">
      <c r="A5310" s="24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5" t="n">
        <v>0.019104</v>
      </c>
    </row>
    <row r="5311">
      <c r="A5311" s="24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5" t="n">
        <v>0.008884</v>
      </c>
    </row>
    <row r="5312">
      <c r="A5312" s="24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5" t="n">
        <v>0.018641</v>
      </c>
    </row>
    <row r="5313">
      <c r="A5313" s="24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5" t="n">
        <v>0.046384</v>
      </c>
    </row>
    <row r="5314">
      <c r="A5314" s="24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5" t="n">
        <v>0.094195</v>
      </c>
    </row>
    <row r="5315">
      <c r="A5315" s="24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5" t="n">
        <v>0.067354</v>
      </c>
    </row>
    <row r="5316">
      <c r="A5316" s="24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5" t="n">
        <v>0.039864</v>
      </c>
    </row>
    <row r="5317">
      <c r="A5317" s="24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5" t="n">
        <v>0.021702</v>
      </c>
    </row>
    <row r="5318">
      <c r="A5318" s="24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5" t="n">
        <v>0.041671</v>
      </c>
    </row>
    <row r="5319">
      <c r="A5319" s="24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5" t="n">
        <v>0.086197</v>
      </c>
    </row>
    <row r="5320">
      <c r="A5320" s="24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5" t="n">
        <v>0.09557499999999999</v>
      </c>
    </row>
    <row r="5321">
      <c r="A5321" s="24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5" t="n">
        <v>0.043289</v>
      </c>
    </row>
    <row r="5322">
      <c r="A5322" s="24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5" t="n">
        <v>0.04678</v>
      </c>
    </row>
    <row r="5323">
      <c r="A5323" s="24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5" t="n">
        <v>0.105701</v>
      </c>
    </row>
    <row r="5324">
      <c r="A5324" s="24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5" t="n">
        <v>0.066635</v>
      </c>
    </row>
    <row r="5325">
      <c r="A5325" s="24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5" t="n">
        <v>0.219473</v>
      </c>
    </row>
    <row r="5326">
      <c r="A5326" s="24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5" t="n">
        <v>0.093165</v>
      </c>
    </row>
    <row r="5327">
      <c r="A5327" s="24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5" t="n">
        <v>0.046487</v>
      </c>
    </row>
    <row r="5328">
      <c r="A5328" s="24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5" t="n">
        <v>0.056776</v>
      </c>
    </row>
    <row r="5329">
      <c r="A5329" s="24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5" t="n">
        <v>0.032662</v>
      </c>
    </row>
    <row r="5330">
      <c r="A5330" s="24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5" t="n">
        <v>0.022215</v>
      </c>
    </row>
    <row r="5331">
      <c r="A5331" s="24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5" t="n">
        <v>0.009735000000000001</v>
      </c>
    </row>
    <row r="5332">
      <c r="A5332" s="24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5" t="n">
        <v>0.010893</v>
      </c>
    </row>
    <row r="5333">
      <c r="A5333" s="24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5" t="n">
        <v>0.012351</v>
      </c>
    </row>
    <row r="5334">
      <c r="A5334" s="24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5" t="n">
        <v>0.003259</v>
      </c>
    </row>
    <row r="5335">
      <c r="A5335" s="24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5" t="n">
        <v>0.119254</v>
      </c>
    </row>
    <row r="5336">
      <c r="A5336" s="24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5" t="n">
        <v>0.090264</v>
      </c>
    </row>
    <row r="5337">
      <c r="A5337" s="24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5" t="n">
        <v>0.063774</v>
      </c>
    </row>
    <row r="5338">
      <c r="A5338" s="24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5" t="n">
        <v>0.028238</v>
      </c>
    </row>
    <row r="5339">
      <c r="A5339" s="24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5" t="n">
        <v>0.093421</v>
      </c>
    </row>
    <row r="5340">
      <c r="A5340" s="24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5" t="n">
        <v>0.132959</v>
      </c>
    </row>
    <row r="5341">
      <c r="A5341" s="24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5" t="n">
        <v>0.051211</v>
      </c>
    </row>
    <row r="5342">
      <c r="A5342" s="24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5" t="n">
        <v>0.048191</v>
      </c>
    </row>
    <row r="5343">
      <c r="A5343" s="24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5" t="n">
        <v>0.012234</v>
      </c>
    </row>
    <row r="5344">
      <c r="A5344" s="24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5" t="n">
        <v>0.006075</v>
      </c>
    </row>
    <row r="5345">
      <c r="A5345" s="24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5" t="n">
        <v>0.003136</v>
      </c>
    </row>
    <row r="5346">
      <c r="A5346" s="24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5" t="n">
        <v>0.001618</v>
      </c>
    </row>
    <row r="5347">
      <c r="A5347" s="24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5" t="n">
        <v>0.000835</v>
      </c>
    </row>
    <row r="5348">
      <c r="A5348" s="24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5" t="n">
        <v>0.000431</v>
      </c>
    </row>
    <row r="5349">
      <c r="A5349" s="24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5" t="n">
        <v>0.000223</v>
      </c>
    </row>
    <row r="5350">
      <c r="A5350" s="24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5" t="n">
        <v>0.027895</v>
      </c>
    </row>
    <row r="5351">
      <c r="A5351" s="24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5" t="n">
        <v>0.061237</v>
      </c>
    </row>
    <row r="5352">
      <c r="A5352" s="24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5" t="n">
        <v>0.140135</v>
      </c>
    </row>
    <row r="5353">
      <c r="A5353" s="24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5" t="n">
        <v>0.040624</v>
      </c>
    </row>
    <row r="5354">
      <c r="A5354" s="24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5" t="n">
        <v>0.025416</v>
      </c>
    </row>
    <row r="5355">
      <c r="A5355" s="24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5" t="n">
        <v>0.108326</v>
      </c>
    </row>
    <row r="5356">
      <c r="A5356" s="24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5" t="n">
        <v>0.059676</v>
      </c>
    </row>
    <row r="5357">
      <c r="A5357" s="24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5" t="n">
        <v>0.026634</v>
      </c>
    </row>
    <row r="5358">
      <c r="A5358" s="24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5" t="n">
        <v>0.008798</v>
      </c>
    </row>
    <row r="5359">
      <c r="A5359" s="24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5" t="n">
        <v>0.004452</v>
      </c>
    </row>
    <row r="5360">
      <c r="A5360" s="24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5" t="n">
        <v>0.002824</v>
      </c>
    </row>
    <row r="5361">
      <c r="A5361" s="24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5" t="n">
        <v>0.037238</v>
      </c>
    </row>
    <row r="5362">
      <c r="A5362" s="24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5" t="n">
        <v>0.017216</v>
      </c>
    </row>
    <row r="5363">
      <c r="A5363" s="24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5" t="n">
        <v>0.005044</v>
      </c>
    </row>
    <row r="5364">
      <c r="A5364" s="24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5" t="n">
        <v>0.040074</v>
      </c>
    </row>
    <row r="5365">
      <c r="A5365" s="24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5" t="n">
        <v>0.040171</v>
      </c>
    </row>
    <row r="5366">
      <c r="A5366" s="24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5" t="n">
        <v>0.008854000000000001</v>
      </c>
    </row>
    <row r="5367">
      <c r="A5367" s="24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5" t="n">
        <v>0.010239</v>
      </c>
    </row>
    <row r="5368">
      <c r="A5368" s="24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5" t="n">
        <v>0.00301</v>
      </c>
    </row>
    <row r="5369">
      <c r="A5369" s="24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5" t="n">
        <v>0.061259</v>
      </c>
    </row>
    <row r="5370">
      <c r="A5370" s="24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5" t="n">
        <v>0.020858</v>
      </c>
    </row>
    <row r="5371">
      <c r="A5371" s="24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5" t="n">
        <v>0.02931</v>
      </c>
    </row>
    <row r="5372">
      <c r="A5372" s="24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5" t="n">
        <v>0.049712</v>
      </c>
    </row>
    <row r="5373">
      <c r="A5373" s="24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5" t="n">
        <v>0.046334</v>
      </c>
    </row>
    <row r="5374">
      <c r="A5374" s="24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5" t="n">
        <v>0.066064</v>
      </c>
    </row>
    <row r="5375">
      <c r="A5375" s="24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5" t="n">
        <v>0.02805</v>
      </c>
    </row>
    <row r="5376">
      <c r="A5376" s="24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5" t="n">
        <v>0.041632</v>
      </c>
    </row>
    <row r="5377">
      <c r="A5377" s="24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5" t="n">
        <v>0.016269</v>
      </c>
    </row>
    <row r="5378">
      <c r="A5378" s="24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5" t="n">
        <v>0.056598</v>
      </c>
    </row>
    <row r="5379">
      <c r="A5379" s="24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5" t="n">
        <v>0.020525</v>
      </c>
    </row>
    <row r="5380">
      <c r="A5380" s="24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5" t="n">
        <v>0.021444</v>
      </c>
    </row>
    <row r="5381">
      <c r="A5381" s="24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5" t="n">
        <v>0.023862</v>
      </c>
    </row>
    <row r="5382">
      <c r="A5382" s="24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5" t="n">
        <v>0.00532</v>
      </c>
    </row>
    <row r="5383">
      <c r="A5383" s="24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5" t="n">
        <v>0.016652</v>
      </c>
    </row>
    <row r="5384">
      <c r="A5384" s="24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5" t="n">
        <v>0.027522</v>
      </c>
    </row>
    <row r="5385">
      <c r="A5385" s="24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5" t="n">
        <v>0.036762</v>
      </c>
    </row>
    <row r="5386">
      <c r="A5386" s="24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5" t="n">
        <v>0.006769</v>
      </c>
    </row>
    <row r="5387">
      <c r="A5387" s="24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5" t="n">
        <v>0.003262</v>
      </c>
    </row>
    <row r="5388">
      <c r="A5388" s="24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5" t="n">
        <v>0.001684</v>
      </c>
    </row>
    <row r="5389">
      <c r="A5389" s="24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5" t="n">
        <v>0.000869</v>
      </c>
    </row>
    <row r="5390">
      <c r="A5390" s="24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5" t="n">
        <v>0.013151</v>
      </c>
    </row>
    <row r="5391">
      <c r="A5391" s="24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5" t="n">
        <v>0.007487</v>
      </c>
    </row>
    <row r="5392">
      <c r="A5392" s="24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5" t="n">
        <v>0.038653</v>
      </c>
    </row>
    <row r="5393">
      <c r="A5393" s="24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5" t="n">
        <v>0.035646</v>
      </c>
    </row>
    <row r="5394">
      <c r="A5394" s="24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5" t="n">
        <v>0.160746</v>
      </c>
    </row>
    <row r="5395">
      <c r="A5395" s="24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5" t="n">
        <v>0.056107</v>
      </c>
    </row>
    <row r="5396">
      <c r="A5396" s="24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5" t="n">
        <v>0.06822400000000001</v>
      </c>
    </row>
    <row r="5397">
      <c r="A5397" s="24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5" t="n">
        <v>0.027065</v>
      </c>
    </row>
    <row r="5398">
      <c r="A5398" s="24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5" t="n">
        <v>0.019868</v>
      </c>
    </row>
    <row r="5399">
      <c r="A5399" s="24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5" t="n">
        <v>0.049666</v>
      </c>
    </row>
    <row r="5400">
      <c r="A5400" s="24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5" t="n">
        <v>0.038252</v>
      </c>
    </row>
    <row r="5401">
      <c r="A5401" s="24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5" t="n">
        <v>0.026593</v>
      </c>
    </row>
    <row r="5402">
      <c r="A5402" s="24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5" t="n">
        <v>0.010901</v>
      </c>
    </row>
    <row r="5403">
      <c r="A5403" s="24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5" t="n">
        <v>0.039142</v>
      </c>
    </row>
    <row r="5404">
      <c r="A5404" s="24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5" t="n">
        <v>0.011692</v>
      </c>
    </row>
    <row r="5405">
      <c r="A5405" s="24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5" t="n">
        <v>0.021467</v>
      </c>
    </row>
    <row r="5406">
      <c r="A5406" s="24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5" t="n">
        <v>0.004423</v>
      </c>
    </row>
    <row r="5407">
      <c r="A5407" s="24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5" t="n">
        <v>0.002156</v>
      </c>
    </row>
    <row r="5408">
      <c r="A5408" s="24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5" t="n">
        <v>0.001113</v>
      </c>
    </row>
    <row r="5409">
      <c r="A5409" s="24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5" t="n">
        <v>0.000574</v>
      </c>
    </row>
    <row r="5410">
      <c r="A5410" s="24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5" t="n">
        <v>0.018247</v>
      </c>
    </row>
    <row r="5411">
      <c r="A5411" s="24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5" t="n">
        <v>0.007071</v>
      </c>
    </row>
    <row r="5412">
      <c r="A5412" s="24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5" t="n">
        <v>0.018763</v>
      </c>
    </row>
    <row r="5413">
      <c r="A5413" s="24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5" t="n">
        <v>0.011561</v>
      </c>
    </row>
    <row r="5414">
      <c r="A5414" s="24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5" t="n">
        <v>0.15094</v>
      </c>
    </row>
    <row r="5415">
      <c r="A5415" s="24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5" t="n">
        <v>0.229913</v>
      </c>
    </row>
    <row r="5416">
      <c r="A5416" s="24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5" t="n">
        <v>0.100119</v>
      </c>
    </row>
    <row r="5417">
      <c r="A5417" s="24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5" t="n">
        <v>0.070141</v>
      </c>
    </row>
    <row r="5418">
      <c r="A5418" s="24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5" t="n">
        <v>0.06278599999999999</v>
      </c>
    </row>
    <row r="5419">
      <c r="A5419" s="24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5" t="n">
        <v>0.180251</v>
      </c>
    </row>
    <row r="5420">
      <c r="A5420" s="24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5" t="n">
        <v>0.231331</v>
      </c>
    </row>
    <row r="5421">
      <c r="A5421" s="24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5" t="n">
        <v>0.140628</v>
      </c>
    </row>
    <row r="5422">
      <c r="A5422" s="24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5" t="n">
        <v>0.11295</v>
      </c>
    </row>
    <row r="5423">
      <c r="A5423" s="24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5" t="n">
        <v>0.031516</v>
      </c>
    </row>
    <row r="5424">
      <c r="A5424" s="24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5" t="n">
        <v>0.038997</v>
      </c>
    </row>
    <row r="5425">
      <c r="A5425" s="24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5" t="n">
        <v>0.030872</v>
      </c>
    </row>
    <row r="5426">
      <c r="A5426" s="24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5" t="n">
        <v>0.08842700000000001</v>
      </c>
    </row>
    <row r="5427">
      <c r="A5427" s="24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5" t="n">
        <v>0.036595</v>
      </c>
    </row>
    <row r="5428">
      <c r="A5428" s="24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5" t="n">
        <v>0.033071</v>
      </c>
    </row>
    <row r="5429">
      <c r="A5429" s="24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5" t="n">
        <v>0.069298</v>
      </c>
    </row>
    <row r="5430">
      <c r="A5430" s="24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5" t="n">
        <v>0.142079</v>
      </c>
    </row>
    <row r="5431">
      <c r="A5431" s="24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5" t="n">
        <v>0.057131</v>
      </c>
    </row>
    <row r="5432">
      <c r="A5432" s="24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5" t="n">
        <v>0.020871</v>
      </c>
    </row>
    <row r="5433">
      <c r="A5433" s="24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5" t="n">
        <v>0.0235</v>
      </c>
    </row>
    <row r="5434">
      <c r="A5434" s="24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5" t="n">
        <v>0.010607</v>
      </c>
    </row>
    <row r="5435">
      <c r="A5435" s="24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5" t="n">
        <v>0.020149</v>
      </c>
    </row>
    <row r="5436">
      <c r="A5436" s="24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5" t="n">
        <v>0.050903</v>
      </c>
    </row>
    <row r="5437">
      <c r="A5437" s="24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5" t="n">
        <v>0.016138</v>
      </c>
    </row>
    <row r="5438">
      <c r="A5438" s="24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5" t="n">
        <v>0.008548</v>
      </c>
    </row>
    <row r="5439">
      <c r="A5439" s="24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5" t="n">
        <v>0.004634</v>
      </c>
    </row>
    <row r="5440">
      <c r="A5440" s="24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5" t="n">
        <v>0.008291</v>
      </c>
    </row>
    <row r="5441">
      <c r="A5441" s="24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5" t="n">
        <v>0.060694</v>
      </c>
    </row>
    <row r="5442">
      <c r="A5442" s="24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5" t="n">
        <v>0.060003</v>
      </c>
    </row>
    <row r="5443">
      <c r="A5443" s="24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5" t="n">
        <v>0.015548</v>
      </c>
    </row>
    <row r="5444">
      <c r="A5444" s="24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5" t="n">
        <v>0.010831</v>
      </c>
    </row>
    <row r="5445">
      <c r="A5445" s="24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5" t="n">
        <v>0.027108</v>
      </c>
    </row>
    <row r="5446">
      <c r="A5446" s="24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5" t="n">
        <v>0.035703</v>
      </c>
    </row>
    <row r="5447">
      <c r="A5447" s="24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5" t="n">
        <v>0.137961</v>
      </c>
    </row>
    <row r="5448">
      <c r="A5448" s="24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5" t="n">
        <v>0.065523</v>
      </c>
    </row>
    <row r="5449">
      <c r="A5449" s="24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5" t="n">
        <v>0.064316</v>
      </c>
    </row>
    <row r="5450">
      <c r="A5450" s="24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5" t="n">
        <v>0.042467</v>
      </c>
    </row>
    <row r="5451">
      <c r="A5451" s="24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5" t="n">
        <v>0.021182</v>
      </c>
    </row>
    <row r="5452">
      <c r="A5452" s="24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5" t="n">
        <v>0.006908</v>
      </c>
    </row>
    <row r="5453">
      <c r="A5453" s="24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5" t="n">
        <v>0.003492</v>
      </c>
    </row>
    <row r="5454">
      <c r="A5454" s="24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5" t="n">
        <v>0.001802</v>
      </c>
    </row>
    <row r="5455">
      <c r="A5455" s="24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5" t="n">
        <v>0.0009300000000000001</v>
      </c>
    </row>
    <row r="5456">
      <c r="A5456" s="24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5" t="n">
        <v>0.00048</v>
      </c>
    </row>
    <row r="5457">
      <c r="A5457" s="24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5" t="n">
        <v>0.000248</v>
      </c>
    </row>
    <row r="5458">
      <c r="A5458" s="24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5" t="n">
        <v>0.000128</v>
      </c>
    </row>
    <row r="5459">
      <c r="A5459" s="24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5" t="n">
        <v>6.600000000000001e-05</v>
      </c>
    </row>
    <row r="5460">
      <c r="A5460" s="24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5" t="n">
        <v>3.4e-05</v>
      </c>
    </row>
    <row r="5461">
      <c r="A5461" s="24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5" t="n">
        <v>1.8e-05</v>
      </c>
    </row>
    <row r="5462">
      <c r="A5462" s="24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5" t="n">
        <v>9e-06</v>
      </c>
    </row>
    <row r="5463">
      <c r="A5463" s="24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5" t="n">
        <v>0.018886</v>
      </c>
    </row>
    <row r="5464">
      <c r="A5464" s="24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5" t="n">
        <v>0.010643</v>
      </c>
    </row>
    <row r="5465">
      <c r="A5465" s="24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5" t="n">
        <v>0.05141</v>
      </c>
    </row>
    <row r="5466">
      <c r="A5466" s="24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5" t="n">
        <v>0.045278</v>
      </c>
    </row>
    <row r="5467">
      <c r="A5467" s="24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5" t="n">
        <v>0.041267</v>
      </c>
    </row>
    <row r="5468">
      <c r="A5468" s="24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5" t="n">
        <v>0.025034</v>
      </c>
    </row>
    <row r="5469">
      <c r="A5469" s="24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5" t="n">
        <v>0.035993</v>
      </c>
    </row>
    <row r="5470">
      <c r="A5470" s="24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5" t="n">
        <v>0.080052</v>
      </c>
    </row>
    <row r="5471">
      <c r="A5471" s="24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5" t="n">
        <v>0.034665</v>
      </c>
    </row>
    <row r="5472">
      <c r="A5472" s="24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5" t="n">
        <v>0.141989</v>
      </c>
    </row>
    <row r="5473">
      <c r="A5473" s="24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5" t="n">
        <v>0.06303400000000001</v>
      </c>
    </row>
    <row r="5474">
      <c r="A5474" s="24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5" t="n">
        <v>0.060284</v>
      </c>
    </row>
    <row r="5475">
      <c r="A5475" s="24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5" t="n">
        <v>0.028428</v>
      </c>
    </row>
    <row r="5476">
      <c r="A5476" s="24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5" t="n">
        <v>0.045523</v>
      </c>
    </row>
    <row r="5477">
      <c r="A5477" s="24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5" t="n">
        <v>0.019376</v>
      </c>
    </row>
    <row r="5478">
      <c r="A5478" s="24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5" t="n">
        <v>0.016178</v>
      </c>
    </row>
    <row r="5479">
      <c r="A5479" s="24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5" t="n">
        <v>0.017446</v>
      </c>
    </row>
    <row r="5480">
      <c r="A5480" s="24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5" t="n">
        <v>0.130389</v>
      </c>
    </row>
    <row r="5481">
      <c r="A5481" s="24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5" t="n">
        <v>0.075583</v>
      </c>
    </row>
    <row r="5482">
      <c r="A5482" s="24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5" t="n">
        <v>0.053045</v>
      </c>
    </row>
    <row r="5483">
      <c r="A5483" s="24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5" t="n">
        <v>0.036361</v>
      </c>
    </row>
    <row r="5484">
      <c r="A5484" s="24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5" t="n">
        <v>0.038594</v>
      </c>
    </row>
    <row r="5485">
      <c r="A5485" s="24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5" t="n">
        <v>0.010349</v>
      </c>
    </row>
    <row r="5486">
      <c r="A5486" s="24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5" t="n">
        <v>0.004857</v>
      </c>
    </row>
    <row r="5487">
      <c r="A5487" s="24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5" t="n">
        <v>0.002388</v>
      </c>
    </row>
    <row r="5488">
      <c r="A5488" s="24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5" t="n">
        <v>0.001231</v>
      </c>
    </row>
    <row r="5489">
      <c r="A5489" s="24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5" t="n">
        <v>0.000635</v>
      </c>
    </row>
    <row r="5490">
      <c r="A5490" s="24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5" t="n">
        <v>0.000328</v>
      </c>
    </row>
    <row r="5491">
      <c r="A5491" s="24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5" t="n">
        <v>0.000169</v>
      </c>
    </row>
    <row r="5492">
      <c r="A5492" s="24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5" t="n">
        <v>8.7e-05</v>
      </c>
    </row>
    <row r="5493">
      <c r="A5493" s="24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5" t="n">
        <v>4.5e-05</v>
      </c>
    </row>
    <row r="5494">
      <c r="A5494" s="24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5" t="n">
        <v>2.3e-05</v>
      </c>
    </row>
    <row r="5495">
      <c r="A5495" s="24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5" t="n">
        <v>1.2e-05</v>
      </c>
    </row>
    <row r="5496">
      <c r="A5496" s="24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5" t="n">
        <v>6e-06</v>
      </c>
    </row>
    <row r="5497">
      <c r="A5497" s="24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5" t="n">
        <v>0.045703</v>
      </c>
    </row>
    <row r="5498">
      <c r="A5498" s="24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5" t="n">
        <v>0.015356</v>
      </c>
    </row>
    <row r="5499">
      <c r="A5499" s="24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5" t="n">
        <v>0.030097</v>
      </c>
    </row>
    <row r="5500">
      <c r="A5500" s="24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5" t="n">
        <v>0.042237</v>
      </c>
    </row>
    <row r="5501">
      <c r="A5501" s="24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5" t="n">
        <v>0.021732</v>
      </c>
    </row>
    <row r="5502">
      <c r="A5502" s="24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5" t="n">
        <v>0.064206</v>
      </c>
    </row>
    <row r="5503">
      <c r="A5503" s="24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5" t="n">
        <v>0.058633</v>
      </c>
    </row>
    <row r="5504">
      <c r="A5504" s="24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5" t="n">
        <v>0.061751</v>
      </c>
    </row>
    <row r="5505">
      <c r="A5505" s="24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5" t="n">
        <v>0.15929</v>
      </c>
    </row>
    <row r="5506">
      <c r="A5506" s="24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5" t="n">
        <v>0.206288</v>
      </c>
    </row>
    <row r="5507">
      <c r="A5507" s="24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5" t="n">
        <v>0.060082</v>
      </c>
    </row>
    <row r="5508">
      <c r="A5508" s="24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5" t="n">
        <v>0.045742</v>
      </c>
    </row>
    <row r="5509">
      <c r="A5509" s="24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5" t="n">
        <v>0.04897</v>
      </c>
    </row>
    <row r="5510">
      <c r="A5510" s="24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5" t="n">
        <v>0.035609</v>
      </c>
    </row>
    <row r="5511">
      <c r="A5511" s="24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5" t="n">
        <v>0.014719</v>
      </c>
    </row>
    <row r="5512">
      <c r="A5512" s="24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5" t="n">
        <v>0.009265000000000001</v>
      </c>
    </row>
    <row r="5513">
      <c r="A5513" s="24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5" t="n">
        <v>0.013356</v>
      </c>
    </row>
    <row r="5514">
      <c r="A5514" s="24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5" t="n">
        <v>0.007526</v>
      </c>
    </row>
    <row r="5515">
      <c r="A5515" s="24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5" t="n">
        <v>0.01305</v>
      </c>
    </row>
    <row r="5516">
      <c r="A5516" s="24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5" t="n">
        <v>0.019275</v>
      </c>
    </row>
    <row r="5517">
      <c r="A5517" s="24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5" t="n">
        <v>0.013058</v>
      </c>
    </row>
    <row r="5518">
      <c r="A5518" s="24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5" t="n">
        <v>0.088246</v>
      </c>
    </row>
    <row r="5519">
      <c r="A5519" s="24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5" t="n">
        <v>0.041081</v>
      </c>
    </row>
    <row r="5520">
      <c r="A5520" s="24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5" t="n">
        <v>0.043385</v>
      </c>
    </row>
    <row r="5521">
      <c r="A5521" s="24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5" t="n">
        <v>0.039563</v>
      </c>
    </row>
    <row r="5522">
      <c r="A5522" s="24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5" t="n">
        <v>0.028143</v>
      </c>
    </row>
    <row r="5523">
      <c r="A5523" s="24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5" t="n">
        <v>0.015485</v>
      </c>
    </row>
    <row r="5524">
      <c r="A5524" s="24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5" t="n">
        <v>0.050951</v>
      </c>
    </row>
    <row r="5525">
      <c r="A5525" s="24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5" t="n">
        <v>0.059882</v>
      </c>
    </row>
    <row r="5526">
      <c r="A5526" s="24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5" t="n">
        <v>0.07485600000000001</v>
      </c>
    </row>
    <row r="5527">
      <c r="A5527" s="24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5" t="n">
        <v>0.060043</v>
      </c>
    </row>
    <row r="5528">
      <c r="A5528" s="24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5" t="n">
        <v>0.039415</v>
      </c>
    </row>
    <row r="5529">
      <c r="A5529" s="24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5" t="n">
        <v>0.06442299999999999</v>
      </c>
    </row>
    <row r="5530">
      <c r="A5530" s="24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5" t="n">
        <v>0.069748</v>
      </c>
    </row>
    <row r="5531">
      <c r="A5531" s="24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5" t="n">
        <v>0.105638</v>
      </c>
    </row>
    <row r="5532">
      <c r="A5532" s="24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5" t="n">
        <v>0.068691</v>
      </c>
    </row>
    <row r="5533">
      <c r="A5533" s="24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5" t="n">
        <v>0.021098</v>
      </c>
    </row>
    <row r="5534">
      <c r="A5534" s="24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5" t="n">
        <v>0.014433</v>
      </c>
    </row>
    <row r="5535">
      <c r="A5535" s="24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5" t="n">
        <v>0.005945</v>
      </c>
    </row>
    <row r="5536">
      <c r="A5536" s="24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5" t="n">
        <v>0.014262</v>
      </c>
    </row>
    <row r="5537">
      <c r="A5537" s="24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5" t="n">
        <v>0.013545</v>
      </c>
    </row>
    <row r="5538">
      <c r="A5538" s="24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5" t="n">
        <v>0.034209</v>
      </c>
    </row>
    <row r="5539">
      <c r="A5539" s="24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5" t="n">
        <v>0.0173</v>
      </c>
    </row>
    <row r="5540">
      <c r="A5540" s="24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5" t="n">
        <v>0.009934</v>
      </c>
    </row>
    <row r="5541">
      <c r="A5541" s="24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5" t="n">
        <v>0.056783</v>
      </c>
    </row>
    <row r="5542">
      <c r="A5542" s="24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5" t="n">
        <v>0.028502</v>
      </c>
    </row>
    <row r="5543">
      <c r="A5543" s="24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5" t="n">
        <v>0.060797</v>
      </c>
    </row>
    <row r="5544">
      <c r="A5544" s="24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5" t="n">
        <v>0.262854</v>
      </c>
    </row>
    <row r="5545">
      <c r="A5545" s="24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5" t="n">
        <v>0.350179</v>
      </c>
    </row>
    <row r="5546">
      <c r="A5546" s="24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5" t="n">
        <v>0.384164</v>
      </c>
    </row>
    <row r="5547">
      <c r="A5547" s="24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5" t="n">
        <v>0.11921</v>
      </c>
    </row>
    <row r="5548">
      <c r="A5548" s="24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5" t="n">
        <v>0.238908</v>
      </c>
    </row>
    <row r="5549">
      <c r="A5549" s="24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5" t="n">
        <v>0.065581</v>
      </c>
    </row>
    <row r="5550">
      <c r="A5550" s="24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5" t="n">
        <v>0.09261800000000001</v>
      </c>
    </row>
    <row r="5551">
      <c r="A5551" s="24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5" t="n">
        <v>0.06167</v>
      </c>
    </row>
    <row r="5552">
      <c r="A5552" s="24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5" t="n">
        <v>0.215012</v>
      </c>
    </row>
    <row r="5553">
      <c r="A5553" s="24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5" t="n">
        <v>0.226552</v>
      </c>
    </row>
    <row r="5554">
      <c r="A5554" s="24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5" t="n">
        <v>0.09109200000000001</v>
      </c>
    </row>
    <row r="5555">
      <c r="A5555" s="24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5" t="n">
        <v>0.090778</v>
      </c>
    </row>
    <row r="5556">
      <c r="A5556" s="24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5" t="n">
        <v>0.086565</v>
      </c>
    </row>
    <row r="5557">
      <c r="A5557" s="24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5" t="n">
        <v>0.221598</v>
      </c>
    </row>
    <row r="5558">
      <c r="A5558" s="24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5" t="n">
        <v>0.253589</v>
      </c>
    </row>
    <row r="5559">
      <c r="A5559" s="24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5" t="n">
        <v>0.07947799999999999</v>
      </c>
    </row>
    <row r="5560">
      <c r="A5560" s="24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5" t="n">
        <v>0.090008</v>
      </c>
    </row>
    <row r="5561">
      <c r="A5561" s="24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5" t="n">
        <v>0.07294200000000001</v>
      </c>
    </row>
    <row r="5562">
      <c r="A5562" s="24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5" t="n">
        <v>0.087064</v>
      </c>
    </row>
    <row r="5563">
      <c r="A5563" s="24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5" t="n">
        <v>0.036732</v>
      </c>
    </row>
    <row r="5564">
      <c r="A5564" s="24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5" t="n">
        <v>0.055346</v>
      </c>
    </row>
    <row r="5565">
      <c r="A5565" s="24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5" t="n">
        <v>0.051888</v>
      </c>
    </row>
    <row r="5566">
      <c r="A5566" s="24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5" t="n">
        <v>0.078651</v>
      </c>
    </row>
    <row r="5567">
      <c r="A5567" s="24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5" t="n">
        <v>0.343573</v>
      </c>
    </row>
    <row r="5568">
      <c r="A5568" s="24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5" t="n">
        <v>0.387421</v>
      </c>
    </row>
    <row r="5569">
      <c r="A5569" s="24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5" t="n">
        <v>0.398726</v>
      </c>
    </row>
    <row r="5570">
      <c r="A5570" s="24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5" t="n">
        <v>0.388525</v>
      </c>
    </row>
    <row r="5571">
      <c r="A5571" s="24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5" t="n">
        <v>0.096855</v>
      </c>
    </row>
    <row r="5572">
      <c r="A5572" s="24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5" t="n">
        <v>0.1153</v>
      </c>
    </row>
    <row r="5573">
      <c r="A5573" s="24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5" t="n">
        <v>0.195786</v>
      </c>
    </row>
    <row r="5574">
      <c r="A5574" s="24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5" t="n">
        <v>0.330254</v>
      </c>
    </row>
    <row r="5575">
      <c r="A5575" s="24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5" t="n">
        <v>0.387957</v>
      </c>
    </row>
    <row r="5576">
      <c r="A5576" s="24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5" t="n">
        <v>0.40249</v>
      </c>
    </row>
    <row r="5577">
      <c r="A5577" s="24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5" t="n">
        <v>0.389313</v>
      </c>
    </row>
    <row r="5578">
      <c r="A5578" s="24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5" t="n">
        <v>0.275326</v>
      </c>
    </row>
    <row r="5579">
      <c r="A5579" s="24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5" t="n">
        <v>0.101705</v>
      </c>
    </row>
    <row r="5580">
      <c r="A5580" s="24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5" t="n">
        <v>0.078226</v>
      </c>
    </row>
    <row r="5581">
      <c r="A5581" s="24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5" t="n">
        <v>0.063415</v>
      </c>
    </row>
    <row r="5582">
      <c r="A5582" s="24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5" t="n">
        <v>0.084136</v>
      </c>
    </row>
    <row r="5583">
      <c r="A5583" s="24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5" t="n">
        <v>0.30539</v>
      </c>
    </row>
    <row r="5584">
      <c r="A5584" s="24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5" t="n">
        <v>0.307176</v>
      </c>
    </row>
    <row r="5585">
      <c r="A5585" s="24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5" t="n">
        <v>0.234313</v>
      </c>
    </row>
    <row r="5586">
      <c r="A5586" s="24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5" t="n">
        <v>0.091626</v>
      </c>
    </row>
    <row r="5587">
      <c r="A5587" s="24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5" t="n">
        <v>0.225221</v>
      </c>
    </row>
    <row r="5588">
      <c r="A5588" s="24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5" t="n">
        <v>0.17932</v>
      </c>
    </row>
    <row r="5589">
      <c r="A5589" s="24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5" t="n">
        <v>0.13298</v>
      </c>
    </row>
    <row r="5590">
      <c r="A5590" s="24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5" t="n">
        <v>0.462086</v>
      </c>
    </row>
    <row r="5591">
      <c r="A5591" s="24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5" t="n">
        <v>0.487808</v>
      </c>
    </row>
    <row r="5592">
      <c r="A5592" s="24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5" t="n">
        <v>0.396473</v>
      </c>
    </row>
    <row r="5593">
      <c r="A5593" s="24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5" t="n">
        <v>0.403041</v>
      </c>
    </row>
    <row r="5594">
      <c r="A5594" s="24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5" t="n">
        <v>0.363875</v>
      </c>
    </row>
    <row r="5595">
      <c r="A5595" s="24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5" t="n">
        <v>0.094598</v>
      </c>
    </row>
    <row r="5596">
      <c r="A5596" s="24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5" t="n">
        <v>0.128899</v>
      </c>
    </row>
    <row r="5597">
      <c r="A5597" s="24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5" t="n">
        <v>0.110465</v>
      </c>
    </row>
    <row r="5598">
      <c r="A5598" s="24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5" t="n">
        <v>0.277482</v>
      </c>
    </row>
    <row r="5599">
      <c r="A5599" s="24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5" t="n">
        <v>0.108638</v>
      </c>
    </row>
    <row r="5600">
      <c r="A5600" s="24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5" t="n">
        <v>0.08223800000000001</v>
      </c>
    </row>
    <row r="5601">
      <c r="A5601" s="24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5" t="n">
        <v>0.09701700000000001</v>
      </c>
    </row>
    <row r="5602">
      <c r="A5602" s="24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5" t="n">
        <v>0.100442</v>
      </c>
    </row>
    <row r="5603">
      <c r="A5603" s="24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5" t="n">
        <v>0.036796</v>
      </c>
    </row>
    <row r="5604">
      <c r="A5604" s="24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5" t="n">
        <v>0.08854099999999999</v>
      </c>
    </row>
    <row r="5605">
      <c r="A5605" s="24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5" t="n">
        <v>0.343888</v>
      </c>
    </row>
    <row r="5606">
      <c r="A5606" s="24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5" t="n">
        <v>0.227027</v>
      </c>
    </row>
    <row r="5607">
      <c r="A5607" s="24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5" t="n">
        <v>0.10078</v>
      </c>
    </row>
    <row r="5608">
      <c r="A5608" s="24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5" t="n">
        <v>0.070702</v>
      </c>
    </row>
    <row r="5609">
      <c r="A5609" s="24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5" t="n">
        <v>0.056405</v>
      </c>
    </row>
    <row r="5610">
      <c r="A5610" s="24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5" t="n">
        <v>0.044155</v>
      </c>
    </row>
    <row r="5611">
      <c r="A5611" s="24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5" t="n">
        <v>0.058176</v>
      </c>
    </row>
    <row r="5612">
      <c r="A5612" s="24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5" t="n">
        <v>0.122921</v>
      </c>
    </row>
    <row r="5613">
      <c r="A5613" s="24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5" t="n">
        <v>0.147422</v>
      </c>
    </row>
    <row r="5614">
      <c r="A5614" s="24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5" t="n">
        <v>0.105711</v>
      </c>
    </row>
    <row r="5615">
      <c r="A5615" s="24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5" t="n">
        <v>0.060692</v>
      </c>
    </row>
    <row r="5616">
      <c r="A5616" s="24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5" t="n">
        <v>0.279729</v>
      </c>
    </row>
    <row r="5617">
      <c r="A5617" s="24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5" t="n">
        <v>0.131957</v>
      </c>
    </row>
    <row r="5618">
      <c r="A5618" s="24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5" t="n">
        <v>0.235738</v>
      </c>
    </row>
    <row r="5619">
      <c r="A5619" s="24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5" t="n">
        <v>0.193508</v>
      </c>
    </row>
    <row r="5620">
      <c r="A5620" s="24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5" t="n">
        <v>0.07274899999999999</v>
      </c>
    </row>
    <row r="5621">
      <c r="A5621" s="24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5" t="n">
        <v>0.07606499999999999</v>
      </c>
    </row>
    <row r="5622">
      <c r="A5622" s="24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5" t="n">
        <v>0.126215</v>
      </c>
    </row>
    <row r="5623">
      <c r="A5623" s="24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5" t="n">
        <v>0.144826</v>
      </c>
    </row>
    <row r="5624">
      <c r="A5624" s="24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5" t="n">
        <v>0.099047</v>
      </c>
    </row>
    <row r="5625">
      <c r="A5625" s="24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5" t="n">
        <v>0.07888299999999999</v>
      </c>
    </row>
    <row r="5626">
      <c r="A5626" s="24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5" t="n">
        <v>0.057338</v>
      </c>
    </row>
    <row r="5627">
      <c r="A5627" s="24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5" t="n">
        <v>0.342546</v>
      </c>
    </row>
    <row r="5628">
      <c r="A5628" s="24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5" t="n">
        <v>0.253696</v>
      </c>
    </row>
    <row r="5629">
      <c r="A5629" s="24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5" t="n">
        <v>0.326402</v>
      </c>
    </row>
    <row r="5630">
      <c r="A5630" s="24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5" t="n">
        <v>0.203296</v>
      </c>
    </row>
    <row r="5631">
      <c r="A5631" s="24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5" t="n">
        <v>0.111366</v>
      </c>
    </row>
    <row r="5632">
      <c r="A5632" s="24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5" t="n">
        <v>0.110923</v>
      </c>
    </row>
    <row r="5633">
      <c r="A5633" s="24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5" t="n">
        <v>0.046266</v>
      </c>
    </row>
    <row r="5634">
      <c r="A5634" s="24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5" t="n">
        <v>0.086337</v>
      </c>
    </row>
    <row r="5635">
      <c r="A5635" s="24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5" t="n">
        <v>0.347223</v>
      </c>
    </row>
    <row r="5636">
      <c r="A5636" s="24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5" t="n">
        <v>0.384227</v>
      </c>
    </row>
    <row r="5637">
      <c r="A5637" s="24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5" t="n">
        <v>0.34667</v>
      </c>
    </row>
    <row r="5638">
      <c r="A5638" s="24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5" t="n">
        <v>0.096243</v>
      </c>
    </row>
    <row r="5639">
      <c r="A5639" s="24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5" t="n">
        <v>0.118485</v>
      </c>
    </row>
    <row r="5640">
      <c r="A5640" s="24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5" t="n">
        <v>0.069285</v>
      </c>
    </row>
    <row r="5641">
      <c r="A5641" s="24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5" t="n">
        <v>0.028389</v>
      </c>
    </row>
    <row r="5642">
      <c r="A5642" s="24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5" t="n">
        <v>0.026161</v>
      </c>
    </row>
    <row r="5643">
      <c r="A5643" s="24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5" t="n">
        <v>0.045686</v>
      </c>
    </row>
    <row r="5644">
      <c r="A5644" s="24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5" t="n">
        <v>0.019482</v>
      </c>
    </row>
    <row r="5645">
      <c r="A5645" s="24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5" t="n">
        <v>0.022023</v>
      </c>
    </row>
    <row r="5646">
      <c r="A5646" s="24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5" t="n">
        <v>0.336339</v>
      </c>
    </row>
    <row r="5647">
      <c r="A5647" s="24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5" t="n">
        <v>0.38023</v>
      </c>
    </row>
    <row r="5648">
      <c r="A5648" s="24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5" t="n">
        <v>0.39242</v>
      </c>
    </row>
    <row r="5649">
      <c r="A5649" s="24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5" t="n">
        <v>0.399426</v>
      </c>
    </row>
    <row r="5650">
      <c r="A5650" s="24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5" t="n">
        <v>0.244624</v>
      </c>
    </row>
    <row r="5651">
      <c r="A5651" s="24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5" t="n">
        <v>0.108378</v>
      </c>
    </row>
    <row r="5652">
      <c r="A5652" s="24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5" t="n">
        <v>0.178359</v>
      </c>
    </row>
    <row r="5653">
      <c r="A5653" s="24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5" t="n">
        <v>0.313394</v>
      </c>
    </row>
    <row r="5654">
      <c r="A5654" s="24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5" t="n">
        <v>0.098402</v>
      </c>
    </row>
    <row r="5655">
      <c r="A5655" s="24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5" t="n">
        <v>0.208733</v>
      </c>
    </row>
    <row r="5656">
      <c r="A5656" s="24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5" t="n">
        <v>0.369353</v>
      </c>
    </row>
    <row r="5657">
      <c r="A5657" s="24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5" t="n">
        <v>0.467912</v>
      </c>
    </row>
    <row r="5658">
      <c r="A5658" s="24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5" t="n">
        <v>0.478591</v>
      </c>
    </row>
    <row r="5659">
      <c r="A5659" s="24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5" t="n">
        <v>0.406353</v>
      </c>
    </row>
    <row r="5660">
      <c r="A5660" s="24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5" t="n">
        <v>0.404537</v>
      </c>
    </row>
    <row r="5661">
      <c r="A5661" s="24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5" t="n">
        <v>0.409936</v>
      </c>
    </row>
    <row r="5662">
      <c r="A5662" s="24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5" t="n">
        <v>0.415968</v>
      </c>
    </row>
    <row r="5663">
      <c r="A5663" s="24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5" t="n">
        <v>0.41578</v>
      </c>
    </row>
    <row r="5664">
      <c r="A5664" s="24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5" t="n">
        <v>0.416674</v>
      </c>
    </row>
    <row r="5665">
      <c r="A5665" s="24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5" t="n">
        <v>0.415247</v>
      </c>
    </row>
    <row r="5666">
      <c r="A5666" s="24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5" t="n">
        <v>0.410592</v>
      </c>
    </row>
    <row r="5667">
      <c r="A5667" s="24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5" t="n">
        <v>0.344017</v>
      </c>
    </row>
    <row r="5668">
      <c r="A5668" s="24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5" t="n">
        <v>0.120511</v>
      </c>
    </row>
    <row r="5669">
      <c r="A5669" s="24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5" t="n">
        <v>0.098112</v>
      </c>
    </row>
    <row r="5670">
      <c r="A5670" s="24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5" t="n">
        <v>0.04737</v>
      </c>
    </row>
    <row r="5671">
      <c r="A5671" s="24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5" t="n">
        <v>0.158869</v>
      </c>
    </row>
    <row r="5672">
      <c r="A5672" s="24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5" t="n">
        <v>0.364905</v>
      </c>
    </row>
    <row r="5673">
      <c r="A5673" s="24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5" t="n">
        <v>0.470145</v>
      </c>
    </row>
    <row r="5674">
      <c r="A5674" s="24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5" t="n">
        <v>0.472102</v>
      </c>
    </row>
    <row r="5675">
      <c r="A5675" s="24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5" t="n">
        <v>0.400617</v>
      </c>
    </row>
    <row r="5676">
      <c r="A5676" s="24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5" t="n">
        <v>0.403829</v>
      </c>
    </row>
    <row r="5677">
      <c r="A5677" s="24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5" t="n">
        <v>0.268995</v>
      </c>
    </row>
    <row r="5678">
      <c r="A5678" s="24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5" t="n">
        <v>0.143743</v>
      </c>
    </row>
    <row r="5679">
      <c r="A5679" s="24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5" t="n">
        <v>0.371621</v>
      </c>
    </row>
    <row r="5680">
      <c r="A5680" s="24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5" t="n">
        <v>0.398681</v>
      </c>
    </row>
    <row r="5681">
      <c r="A5681" s="24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5" t="n">
        <v>0.445903</v>
      </c>
    </row>
    <row r="5682">
      <c r="A5682" s="24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5" t="n">
        <v>0.465153</v>
      </c>
    </row>
    <row r="5683">
      <c r="A5683" s="24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5" t="n">
        <v>0.658807</v>
      </c>
    </row>
    <row r="5684">
      <c r="A5684" s="24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5" t="n">
        <v>0.638002</v>
      </c>
    </row>
    <row r="5685">
      <c r="A5685" s="24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5" t="n">
        <v>0.406409</v>
      </c>
    </row>
    <row r="5686">
      <c r="A5686" s="24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5" t="n">
        <v>0.408705</v>
      </c>
    </row>
    <row r="5687">
      <c r="A5687" s="24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5" t="n">
        <v>0.355839</v>
      </c>
    </row>
    <row r="5688">
      <c r="A5688" s="24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5" t="n">
        <v>0.27377</v>
      </c>
    </row>
    <row r="5689">
      <c r="A5689" s="24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5" t="n">
        <v>0.234242</v>
      </c>
    </row>
    <row r="5690">
      <c r="A5690" s="24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5" t="n">
        <v>0.208563</v>
      </c>
    </row>
    <row r="5691">
      <c r="A5691" s="24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5" t="n">
        <v>0.10184</v>
      </c>
    </row>
    <row r="5692">
      <c r="A5692" s="24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5" t="n">
        <v>0.148961</v>
      </c>
    </row>
    <row r="5693">
      <c r="A5693" s="24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5" t="n">
        <v>0.156904</v>
      </c>
    </row>
    <row r="5694">
      <c r="A5694" s="24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5" t="n">
        <v>0.898548</v>
      </c>
    </row>
    <row r="5695">
      <c r="A5695" s="24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5" t="n">
        <v>1.555797</v>
      </c>
    </row>
    <row r="5696">
      <c r="A5696" s="24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5" t="n">
        <v>1.910223</v>
      </c>
    </row>
    <row r="5697">
      <c r="A5697" s="24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5" t="n">
        <v>1.37753</v>
      </c>
    </row>
    <row r="5698">
      <c r="A5698" s="24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5" t="n">
        <v>0.498797</v>
      </c>
    </row>
    <row r="5699">
      <c r="A5699" s="24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5" t="n">
        <v>0.406932</v>
      </c>
    </row>
    <row r="5700">
      <c r="A5700" s="24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5" t="n">
        <v>0.405549</v>
      </c>
    </row>
    <row r="5701">
      <c r="A5701" s="24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5" t="n">
        <v>0.162713</v>
      </c>
    </row>
    <row r="5702">
      <c r="A5702" s="24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5" t="n">
        <v>0.073577</v>
      </c>
    </row>
    <row r="5703">
      <c r="A5703" s="24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5" t="n">
        <v>0.154476</v>
      </c>
    </row>
    <row r="5704">
      <c r="A5704" s="24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5" t="n">
        <v>0.360233</v>
      </c>
    </row>
    <row r="5705">
      <c r="A5705" s="24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5" t="n">
        <v>0.22799</v>
      </c>
    </row>
    <row r="5706">
      <c r="A5706" s="24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5" t="n">
        <v>0.102306</v>
      </c>
    </row>
    <row r="5707">
      <c r="A5707" s="24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5" t="n">
        <v>0.045419</v>
      </c>
    </row>
    <row r="5708">
      <c r="A5708" s="24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5" t="n">
        <v>0.04065</v>
      </c>
    </row>
    <row r="5709">
      <c r="A5709" s="24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5" t="n">
        <v>0.030315</v>
      </c>
    </row>
    <row r="5710">
      <c r="A5710" s="24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5" t="n">
        <v>0.059098</v>
      </c>
    </row>
    <row r="5711">
      <c r="A5711" s="24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5" t="n">
        <v>0.028475</v>
      </c>
    </row>
    <row r="5712">
      <c r="A5712" s="24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5" t="n">
        <v>0.087518</v>
      </c>
    </row>
    <row r="5713">
      <c r="A5713" s="24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5" t="n">
        <v>0.112585</v>
      </c>
    </row>
    <row r="5714">
      <c r="A5714" s="24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5" t="n">
        <v>0.032019</v>
      </c>
    </row>
    <row r="5715">
      <c r="A5715" s="24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5" t="n">
        <v>0.018684</v>
      </c>
    </row>
    <row r="5716">
      <c r="A5716" s="24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5" t="n">
        <v>0.028263</v>
      </c>
    </row>
    <row r="5717">
      <c r="A5717" s="24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5" t="n">
        <v>0.014896</v>
      </c>
    </row>
    <row r="5718">
      <c r="A5718" s="24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5" t="n">
        <v>0.008803</v>
      </c>
    </row>
    <row r="5719">
      <c r="A5719" s="24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5" t="n">
        <v>0.014447</v>
      </c>
    </row>
    <row r="5720">
      <c r="A5720" s="24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5" t="n">
        <v>0.008574</v>
      </c>
    </row>
    <row r="5721">
      <c r="A5721" s="24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5" t="n">
        <v>0.011689</v>
      </c>
    </row>
    <row r="5722">
      <c r="A5722" s="24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5" t="n">
        <v>0.012442</v>
      </c>
    </row>
    <row r="5723">
      <c r="A5723" s="24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5" t="n">
        <v>0.334469</v>
      </c>
    </row>
    <row r="5724">
      <c r="A5724" s="24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5" t="n">
        <v>0.373936</v>
      </c>
    </row>
    <row r="5725">
      <c r="A5725" s="24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5" t="n">
        <v>0.272681</v>
      </c>
    </row>
    <row r="5726">
      <c r="A5726" s="24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5" t="n">
        <v>0.388834</v>
      </c>
    </row>
    <row r="5727">
      <c r="A5727" s="24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5" t="n">
        <v>0.312162</v>
      </c>
    </row>
    <row r="5728">
      <c r="A5728" s="24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5" t="n">
        <v>0.376959</v>
      </c>
    </row>
    <row r="5729">
      <c r="A5729" s="24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5" t="n">
        <v>0.164152</v>
      </c>
    </row>
    <row r="5730">
      <c r="A5730" s="24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5" t="n">
        <v>0.057068</v>
      </c>
    </row>
    <row r="5731">
      <c r="A5731" s="24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5" t="n">
        <v>0.143462</v>
      </c>
    </row>
    <row r="5732">
      <c r="A5732" s="24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5" t="n">
        <v>0.357215</v>
      </c>
    </row>
    <row r="5733">
      <c r="A5733" s="24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5" t="n">
        <v>0.389146</v>
      </c>
    </row>
    <row r="5734">
      <c r="A5734" s="24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5" t="n">
        <v>0.404385</v>
      </c>
    </row>
    <row r="5735">
      <c r="A5735" s="24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5" t="n">
        <v>0.406465</v>
      </c>
    </row>
    <row r="5736">
      <c r="A5736" s="24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5" t="n">
        <v>0.41403</v>
      </c>
    </row>
    <row r="5737">
      <c r="A5737" s="24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5" t="n">
        <v>0.421815</v>
      </c>
    </row>
    <row r="5738">
      <c r="A5738" s="24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5" t="n">
        <v>0.417569</v>
      </c>
    </row>
    <row r="5739">
      <c r="A5739" s="24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5" t="n">
        <v>0.458439</v>
      </c>
    </row>
    <row r="5740">
      <c r="A5740" s="24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5" t="n">
        <v>0.455616</v>
      </c>
    </row>
    <row r="5741">
      <c r="A5741" s="24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5" t="n">
        <v>0.491902</v>
      </c>
    </row>
    <row r="5742">
      <c r="A5742" s="24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5" t="n">
        <v>0.580519</v>
      </c>
    </row>
    <row r="5743">
      <c r="A5743" s="24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5" t="n">
        <v>0.497307</v>
      </c>
    </row>
    <row r="5744">
      <c r="A5744" s="24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5" t="n">
        <v>0.407444</v>
      </c>
    </row>
    <row r="5745">
      <c r="A5745" s="24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5" t="n">
        <v>0.407917</v>
      </c>
    </row>
    <row r="5746">
      <c r="A5746" s="24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5" t="n">
        <v>0.214142</v>
      </c>
    </row>
    <row r="5747">
      <c r="A5747" s="24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5" t="n">
        <v>0.225476</v>
      </c>
    </row>
    <row r="5748">
      <c r="A5748" s="24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5" t="n">
        <v>0.157208</v>
      </c>
    </row>
    <row r="5749">
      <c r="A5749" s="24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5" t="n">
        <v>0.136317</v>
      </c>
    </row>
    <row r="5750">
      <c r="A5750" s="24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5" t="n">
        <v>0.080294</v>
      </c>
    </row>
    <row r="5751">
      <c r="A5751" s="24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5" t="n">
        <v>0.125883</v>
      </c>
    </row>
    <row r="5752">
      <c r="A5752" s="24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5" t="n">
        <v>0.048841</v>
      </c>
    </row>
    <row r="5753">
      <c r="A5753" s="24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5" t="n">
        <v>0.342756</v>
      </c>
    </row>
    <row r="5754">
      <c r="A5754" s="24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5" t="n">
        <v>0.380857</v>
      </c>
    </row>
    <row r="5755">
      <c r="A5755" s="24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5" t="n">
        <v>0.396709</v>
      </c>
    </row>
    <row r="5756">
      <c r="A5756" s="24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5" t="n">
        <v>0.279346</v>
      </c>
    </row>
    <row r="5757">
      <c r="A5757" s="24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5" t="n">
        <v>0.099273</v>
      </c>
    </row>
    <row r="5758">
      <c r="A5758" s="24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5" t="n">
        <v>0.264274</v>
      </c>
    </row>
    <row r="5759">
      <c r="A5759" s="24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5" t="n">
        <v>0.162291</v>
      </c>
    </row>
    <row r="5760">
      <c r="A5760" s="24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5" t="n">
        <v>0.180456</v>
      </c>
    </row>
    <row r="5761">
      <c r="A5761" s="24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5" t="n">
        <v>0.174216</v>
      </c>
    </row>
    <row r="5762">
      <c r="A5762" s="24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5" t="n">
        <v>0.253505</v>
      </c>
    </row>
    <row r="5763">
      <c r="A5763" s="24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5" t="n">
        <v>0.321699</v>
      </c>
    </row>
    <row r="5764">
      <c r="A5764" s="24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5" t="n">
        <v>0.394313</v>
      </c>
    </row>
    <row r="5765">
      <c r="A5765" s="24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5" t="n">
        <v>0.404341</v>
      </c>
    </row>
    <row r="5766">
      <c r="A5766" s="24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5" t="n">
        <v>0.396558</v>
      </c>
    </row>
    <row r="5767">
      <c r="A5767" s="24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5" t="n">
        <v>0.230968</v>
      </c>
    </row>
    <row r="5768">
      <c r="A5768" s="24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5" t="n">
        <v>0.171608</v>
      </c>
    </row>
    <row r="5769">
      <c r="A5769" s="24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5" t="n">
        <v>0.116045</v>
      </c>
    </row>
    <row r="5770">
      <c r="A5770" s="24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5" t="n">
        <v>0.066289</v>
      </c>
    </row>
    <row r="5771">
      <c r="A5771" s="24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5" t="n">
        <v>0.02947</v>
      </c>
    </row>
    <row r="5772">
      <c r="A5772" s="24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5" t="n">
        <v>0.037566</v>
      </c>
    </row>
    <row r="5773">
      <c r="A5773" s="24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5" t="n">
        <v>0.129178</v>
      </c>
    </row>
    <row r="5774">
      <c r="A5774" s="24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5" t="n">
        <v>0.114192</v>
      </c>
    </row>
    <row r="5775">
      <c r="A5775" s="24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5" t="n">
        <v>0.349805</v>
      </c>
    </row>
    <row r="5776">
      <c r="A5776" s="24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5" t="n">
        <v>0.171217</v>
      </c>
    </row>
    <row r="5777">
      <c r="A5777" s="24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5" t="n">
        <v>0.369663</v>
      </c>
    </row>
    <row r="5778">
      <c r="A5778" s="24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5" t="n">
        <v>0.396847</v>
      </c>
    </row>
    <row r="5779">
      <c r="A5779" s="24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5" t="n">
        <v>0.404983</v>
      </c>
    </row>
    <row r="5780">
      <c r="A5780" s="24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5" t="n">
        <v>0.317514</v>
      </c>
    </row>
    <row r="5781">
      <c r="A5781" s="24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5" t="n">
        <v>0.11146</v>
      </c>
    </row>
    <row r="5782">
      <c r="A5782" s="24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5" t="n">
        <v>0.106902</v>
      </c>
    </row>
    <row r="5783">
      <c r="A5783" s="24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5" t="n">
        <v>0.357923</v>
      </c>
    </row>
    <row r="5784">
      <c r="A5784" s="24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5" t="n">
        <v>0.292367</v>
      </c>
    </row>
    <row r="5785">
      <c r="A5785" s="24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5" t="n">
        <v>0.116225</v>
      </c>
    </row>
    <row r="5786">
      <c r="A5786" s="24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5" t="n">
        <v>0.249779</v>
      </c>
    </row>
    <row r="5787">
      <c r="A5787" s="24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5" t="n">
        <v>0.131318</v>
      </c>
    </row>
    <row r="5788">
      <c r="A5788" s="24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5" t="n">
        <v>0.06356100000000001</v>
      </c>
    </row>
    <row r="5789">
      <c r="A5789" s="24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5" t="n">
        <v>0.021351</v>
      </c>
    </row>
    <row r="5790">
      <c r="A5790" s="24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5" t="n">
        <v>0.010812</v>
      </c>
    </row>
    <row r="5791">
      <c r="A5791" s="24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5" t="n">
        <v>0.00558</v>
      </c>
    </row>
    <row r="5792">
      <c r="A5792" s="24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5" t="n">
        <v>0.123766</v>
      </c>
    </row>
    <row r="5793">
      <c r="A5793" s="24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5" t="n">
        <v>0.074918</v>
      </c>
    </row>
    <row r="5794">
      <c r="A5794" s="24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5" t="n">
        <v>0.052234</v>
      </c>
    </row>
    <row r="5795">
      <c r="A5795" s="24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5" t="n">
        <v>0.019057</v>
      </c>
    </row>
    <row r="5796">
      <c r="A5796" s="24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5" t="n">
        <v>0.011038</v>
      </c>
    </row>
    <row r="5797">
      <c r="A5797" s="24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5" t="n">
        <v>0.008194</v>
      </c>
    </row>
    <row r="5798">
      <c r="A5798" s="24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5" t="n">
        <v>0.010914</v>
      </c>
    </row>
    <row r="5799">
      <c r="A5799" s="24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5" t="n">
        <v>0.019627</v>
      </c>
    </row>
    <row r="5800">
      <c r="A5800" s="24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5" t="n">
        <v>0.015768</v>
      </c>
    </row>
    <row r="5801">
      <c r="A5801" s="24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5" t="n">
        <v>0.018498</v>
      </c>
    </row>
    <row r="5802">
      <c r="A5802" s="24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5" t="n">
        <v>0.015969</v>
      </c>
    </row>
    <row r="5803">
      <c r="A5803" s="24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5" t="n">
        <v>0.010773</v>
      </c>
    </row>
    <row r="5804">
      <c r="A5804" s="24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5" t="n">
        <v>0.020822</v>
      </c>
    </row>
    <row r="5805">
      <c r="A5805" s="24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5" t="n">
        <v>0.040367</v>
      </c>
    </row>
    <row r="5806">
      <c r="A5806" s="24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5" t="n">
        <v>0.040393</v>
      </c>
    </row>
    <row r="5807">
      <c r="A5807" s="24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5" t="n">
        <v>0.03243</v>
      </c>
    </row>
    <row r="5808">
      <c r="A5808" s="24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5" t="n">
        <v>0.165175</v>
      </c>
    </row>
    <row r="5809">
      <c r="A5809" s="24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5" t="n">
        <v>0.091365</v>
      </c>
    </row>
    <row r="5810">
      <c r="A5810" s="24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5" t="n">
        <v>0.165902</v>
      </c>
    </row>
    <row r="5811">
      <c r="A5811" s="24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5" t="n">
        <v>0.073305</v>
      </c>
    </row>
    <row r="5812">
      <c r="A5812" s="24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5" t="n">
        <v>0.026833</v>
      </c>
    </row>
    <row r="5813">
      <c r="A5813" s="24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5" t="n">
        <v>0.024403</v>
      </c>
    </row>
    <row r="5814">
      <c r="A5814" s="24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5" t="n">
        <v>0.030201</v>
      </c>
    </row>
    <row r="5815">
      <c r="A5815" s="24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5" t="n">
        <v>0.198864</v>
      </c>
    </row>
    <row r="5816">
      <c r="A5816" s="24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5" t="n">
        <v>0.049021</v>
      </c>
    </row>
    <row r="5817">
      <c r="A5817" s="24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5" t="n">
        <v>0.025229</v>
      </c>
    </row>
    <row r="5818">
      <c r="A5818" s="24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5" t="n">
        <v>0.023338</v>
      </c>
    </row>
    <row r="5819">
      <c r="A5819" s="24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5" t="n">
        <v>0.060694</v>
      </c>
    </row>
    <row r="5820">
      <c r="A5820" s="24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5" t="n">
        <v>0.056562</v>
      </c>
    </row>
    <row r="5821">
      <c r="A5821" s="24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5" t="n">
        <v>0.123554</v>
      </c>
    </row>
    <row r="5822">
      <c r="A5822" s="24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5" t="n">
        <v>0.042745</v>
      </c>
    </row>
    <row r="5823">
      <c r="A5823" s="24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5" t="n">
        <v>0.301192</v>
      </c>
    </row>
    <row r="5824">
      <c r="A5824" s="24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5" t="n">
        <v>0.339387</v>
      </c>
    </row>
    <row r="5825">
      <c r="A5825" s="24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5" t="n">
        <v>0.081266</v>
      </c>
    </row>
    <row r="5826">
      <c r="A5826" s="24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5" t="n">
        <v>0.080623</v>
      </c>
    </row>
    <row r="5827">
      <c r="A5827" s="24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5" t="n">
        <v>0.033477</v>
      </c>
    </row>
    <row r="5828">
      <c r="A5828" s="24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5" t="n">
        <v>0.082312</v>
      </c>
    </row>
    <row r="5829">
      <c r="A5829" s="24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5" t="n">
        <v>0.027239</v>
      </c>
    </row>
    <row r="5830">
      <c r="A5830" s="24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5" t="n">
        <v>0.015612</v>
      </c>
    </row>
    <row r="5831">
      <c r="A5831" s="24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5" t="n">
        <v>0.13538</v>
      </c>
    </row>
    <row r="5832">
      <c r="A5832" s="24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5" t="n">
        <v>0.055124</v>
      </c>
    </row>
    <row r="5833">
      <c r="A5833" s="24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5" t="n">
        <v>0.028622</v>
      </c>
    </row>
    <row r="5834">
      <c r="A5834" s="24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5" t="n">
        <v>0.110849</v>
      </c>
    </row>
    <row r="5835">
      <c r="A5835" s="24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5" t="n">
        <v>0.055121</v>
      </c>
    </row>
    <row r="5836">
      <c r="A5836" s="24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5" t="n">
        <v>0.06642199999999999</v>
      </c>
    </row>
    <row r="5837">
      <c r="A5837" s="24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5" t="n">
        <v>0.040662</v>
      </c>
    </row>
    <row r="5838">
      <c r="A5838" s="24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5" t="n">
        <v>0.033537</v>
      </c>
    </row>
    <row r="5839">
      <c r="A5839" s="24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5" t="n">
        <v>0.035266</v>
      </c>
    </row>
    <row r="5840">
      <c r="A5840" s="24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5" t="n">
        <v>0.03891</v>
      </c>
    </row>
    <row r="5841">
      <c r="A5841" s="24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5" t="n">
        <v>0.015941</v>
      </c>
    </row>
    <row r="5842">
      <c r="A5842" s="24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5" t="n">
        <v>0.024082</v>
      </c>
    </row>
    <row r="5843">
      <c r="A5843" s="24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5" t="n">
        <v>0.011856</v>
      </c>
    </row>
    <row r="5844">
      <c r="A5844" s="24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5" t="n">
        <v>0.014187</v>
      </c>
    </row>
    <row r="5845">
      <c r="A5845" s="24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5" t="n">
        <v>0.15268</v>
      </c>
    </row>
    <row r="5846">
      <c r="A5846" s="24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5" t="n">
        <v>0.052731</v>
      </c>
    </row>
    <row r="5847">
      <c r="A5847" s="24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5" t="n">
        <v>0.083815</v>
      </c>
    </row>
    <row r="5848">
      <c r="A5848" s="24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5" t="n">
        <v>0.17037</v>
      </c>
    </row>
    <row r="5849">
      <c r="A5849" s="24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5" t="n">
        <v>0.186027</v>
      </c>
    </row>
    <row r="5850">
      <c r="A5850" s="24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5" t="n">
        <v>0.320841</v>
      </c>
    </row>
    <row r="5851">
      <c r="A5851" s="24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5" t="n">
        <v>0.099414</v>
      </c>
    </row>
    <row r="5852">
      <c r="A5852" s="24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5" t="n">
        <v>0.050941</v>
      </c>
    </row>
    <row r="5853">
      <c r="A5853" s="24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5" t="n">
        <v>0.069892</v>
      </c>
    </row>
    <row r="5854">
      <c r="A5854" s="24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5" t="n">
        <v>0.098941</v>
      </c>
    </row>
    <row r="5855">
      <c r="A5855" s="24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5" t="n">
        <v>0.097167</v>
      </c>
    </row>
    <row r="5856">
      <c r="A5856" s="24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5" t="n">
        <v>0.035642</v>
      </c>
    </row>
    <row r="5857">
      <c r="A5857" s="24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5" t="n">
        <v>0.154073</v>
      </c>
    </row>
    <row r="5858">
      <c r="A5858" s="24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5" t="n">
        <v>0.044004</v>
      </c>
    </row>
    <row r="5859">
      <c r="A5859" s="24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5" t="n">
        <v>0.047265</v>
      </c>
    </row>
    <row r="5860">
      <c r="A5860" s="24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5" t="n">
        <v>0.036185</v>
      </c>
    </row>
    <row r="5861">
      <c r="A5861" s="24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5" t="n">
        <v>0.058926</v>
      </c>
    </row>
    <row r="5862">
      <c r="A5862" s="24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5" t="n">
        <v>0.042436</v>
      </c>
    </row>
    <row r="5863">
      <c r="A5863" s="24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5" t="n">
        <v>0.133518</v>
      </c>
    </row>
    <row r="5864">
      <c r="A5864" s="24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5" t="n">
        <v>0.03142</v>
      </c>
    </row>
    <row r="5865">
      <c r="A5865" s="24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5" t="n">
        <v>0.03292</v>
      </c>
    </row>
    <row r="5866">
      <c r="A5866" s="24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5" t="n">
        <v>0.023605</v>
      </c>
    </row>
    <row r="5867">
      <c r="A5867" s="24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5" t="n">
        <v>0.24422</v>
      </c>
    </row>
    <row r="5868">
      <c r="A5868" s="24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5" t="n">
        <v>0.083927</v>
      </c>
    </row>
    <row r="5869">
      <c r="A5869" s="24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5" t="n">
        <v>0.110962</v>
      </c>
    </row>
    <row r="5870">
      <c r="A5870" s="24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5" t="n">
        <v>0.07400900000000001</v>
      </c>
    </row>
    <row r="5871">
      <c r="A5871" s="24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5" t="n">
        <v>0.113226</v>
      </c>
    </row>
    <row r="5872">
      <c r="A5872" s="24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5" t="n">
        <v>0.05959</v>
      </c>
    </row>
    <row r="5873">
      <c r="A5873" s="24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5" t="n">
        <v>0.185154</v>
      </c>
    </row>
    <row r="5874">
      <c r="A5874" s="24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5" t="n">
        <v>0.073529</v>
      </c>
    </row>
    <row r="5875">
      <c r="A5875" s="24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5" t="n">
        <v>0.119914</v>
      </c>
    </row>
    <row r="5876">
      <c r="A5876" s="24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5" t="n">
        <v>0.340219</v>
      </c>
    </row>
    <row r="5877">
      <c r="A5877" s="24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5" t="n">
        <v>0.117609</v>
      </c>
    </row>
    <row r="5878">
      <c r="A5878" s="24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5" t="n">
        <v>0.07094499999999999</v>
      </c>
    </row>
    <row r="5879">
      <c r="A5879" s="24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5" t="n">
        <v>0.356843</v>
      </c>
    </row>
    <row r="5880">
      <c r="A5880" s="24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5" t="n">
        <v>0.387449</v>
      </c>
    </row>
    <row r="5881">
      <c r="A5881" s="24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5" t="n">
        <v>0.391631</v>
      </c>
    </row>
    <row r="5882">
      <c r="A5882" s="24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5" t="n">
        <v>0.154234</v>
      </c>
    </row>
    <row r="5883">
      <c r="A5883" s="24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5" t="n">
        <v>0.241271</v>
      </c>
    </row>
    <row r="5884">
      <c r="A5884" s="24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5" t="n">
        <v>0.107997</v>
      </c>
    </row>
    <row r="5885">
      <c r="A5885" s="24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5" t="n">
        <v>0.045719</v>
      </c>
    </row>
    <row r="5886">
      <c r="A5886" s="24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5" t="n">
        <v>0.08461200000000001</v>
      </c>
    </row>
    <row r="5887">
      <c r="A5887" s="24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5" t="n">
        <v>0.037503</v>
      </c>
    </row>
    <row r="5888">
      <c r="A5888" s="24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5" t="n">
        <v>0.061075</v>
      </c>
    </row>
    <row r="5889">
      <c r="A5889" s="24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5" t="n">
        <v>0.066175</v>
      </c>
    </row>
    <row r="5890">
      <c r="A5890" s="24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5" t="n">
        <v>0.122911</v>
      </c>
    </row>
    <row r="5891">
      <c r="A5891" s="24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5" t="n">
        <v>0.08984300000000001</v>
      </c>
    </row>
    <row r="5892">
      <c r="A5892" s="24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5" t="n">
        <v>0.046259</v>
      </c>
    </row>
    <row r="5893">
      <c r="A5893" s="24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5" t="n">
        <v>0.030547</v>
      </c>
    </row>
    <row r="5894">
      <c r="A5894" s="24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5" t="n">
        <v>0.02472</v>
      </c>
    </row>
    <row r="5895">
      <c r="A5895" s="24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5" t="n">
        <v>0.042993</v>
      </c>
    </row>
    <row r="5896">
      <c r="A5896" s="24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5" t="n">
        <v>0.059515</v>
      </c>
    </row>
    <row r="5897">
      <c r="A5897" s="24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5" t="n">
        <v>0.082594</v>
      </c>
    </row>
    <row r="5898">
      <c r="A5898" s="24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5" t="n">
        <v>0.059054</v>
      </c>
    </row>
    <row r="5899">
      <c r="A5899" s="24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5" t="n">
        <v>0.036682</v>
      </c>
    </row>
    <row r="5900">
      <c r="A5900" s="24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5" t="n">
        <v>0.03236</v>
      </c>
    </row>
    <row r="5901">
      <c r="A5901" s="24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5" t="n">
        <v>0.041052</v>
      </c>
    </row>
    <row r="5902">
      <c r="A5902" s="24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5" t="n">
        <v>0.079898</v>
      </c>
    </row>
    <row r="5903">
      <c r="A5903" s="24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5" t="n">
        <v>0.02839</v>
      </c>
    </row>
    <row r="5904">
      <c r="A5904" s="24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5" t="n">
        <v>0.110003</v>
      </c>
    </row>
    <row r="5905">
      <c r="A5905" s="24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5" t="n">
        <v>0.091627</v>
      </c>
    </row>
    <row r="5906">
      <c r="A5906" s="24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5" t="n">
        <v>0.205486</v>
      </c>
    </row>
    <row r="5907">
      <c r="A5907" s="24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5" t="n">
        <v>0.102369</v>
      </c>
    </row>
    <row r="5908">
      <c r="A5908" s="24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5" t="n">
        <v>0.057913</v>
      </c>
    </row>
    <row r="5909">
      <c r="A5909" s="24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5" t="n">
        <v>0.120263</v>
      </c>
    </row>
    <row r="5910">
      <c r="A5910" s="24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5" t="n">
        <v>0.349811</v>
      </c>
    </row>
    <row r="5911">
      <c r="A5911" s="24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5" t="n">
        <v>0.302221</v>
      </c>
    </row>
    <row r="5912">
      <c r="A5912" s="24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5" t="n">
        <v>0.104467</v>
      </c>
    </row>
    <row r="5913">
      <c r="A5913" s="24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5" t="n">
        <v>0.097994</v>
      </c>
    </row>
    <row r="5914">
      <c r="A5914" s="24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5" t="n">
        <v>0.110014</v>
      </c>
    </row>
    <row r="5915">
      <c r="A5915" s="24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5" t="n">
        <v>0.157451</v>
      </c>
    </row>
    <row r="5916">
      <c r="A5916" s="24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5" t="n">
        <v>0.311759</v>
      </c>
    </row>
    <row r="5917">
      <c r="A5917" s="24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5" t="n">
        <v>0.193345</v>
      </c>
    </row>
    <row r="5918">
      <c r="A5918" s="24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5" t="n">
        <v>0.242565</v>
      </c>
    </row>
    <row r="5919">
      <c r="A5919" s="24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5" t="n">
        <v>0.239918</v>
      </c>
    </row>
    <row r="5920">
      <c r="A5920" s="24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5" t="n">
        <v>0.154008</v>
      </c>
    </row>
    <row r="5921">
      <c r="A5921" s="24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5" t="n">
        <v>0.151905</v>
      </c>
    </row>
    <row r="5922">
      <c r="A5922" s="24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5" t="n">
        <v>0.361881</v>
      </c>
    </row>
    <row r="5923">
      <c r="A5923" s="24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5" t="n">
        <v>0.121414</v>
      </c>
    </row>
    <row r="5924">
      <c r="A5924" s="24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5" t="n">
        <v>0.076806</v>
      </c>
    </row>
    <row r="5925">
      <c r="A5925" s="24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5" t="n">
        <v>0.070892</v>
      </c>
    </row>
    <row r="5926">
      <c r="A5926" s="24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5" t="n">
        <v>0.020758</v>
      </c>
    </row>
    <row r="5927">
      <c r="A5927" s="24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5" t="n">
        <v>0.040429</v>
      </c>
    </row>
    <row r="5928">
      <c r="A5928" s="24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5" t="n">
        <v>0.047059</v>
      </c>
    </row>
    <row r="5929">
      <c r="A5929" s="24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5" t="n">
        <v>0.081368</v>
      </c>
    </row>
    <row r="5930">
      <c r="A5930" s="24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5" t="n">
        <v>0.175145</v>
      </c>
    </row>
    <row r="5931">
      <c r="A5931" s="24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5" t="n">
        <v>0.032667</v>
      </c>
    </row>
    <row r="5932">
      <c r="A5932" s="24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5" t="n">
        <v>0.08654299999999999</v>
      </c>
    </row>
    <row r="5933">
      <c r="A5933" s="24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5" t="n">
        <v>0.121937</v>
      </c>
    </row>
    <row r="5934">
      <c r="A5934" s="24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5" t="n">
        <v>0.059444</v>
      </c>
    </row>
    <row r="5935">
      <c r="A5935" s="24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5" t="n">
        <v>0.293001</v>
      </c>
    </row>
    <row r="5936">
      <c r="A5936" s="24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5" t="n">
        <v>0.09432500000000001</v>
      </c>
    </row>
    <row r="5937">
      <c r="A5937" s="24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5" t="n">
        <v>0.110886</v>
      </c>
    </row>
    <row r="5938">
      <c r="A5938" s="24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5" t="n">
        <v>0.139372</v>
      </c>
    </row>
    <row r="5939">
      <c r="A5939" s="24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5" t="n">
        <v>0.06006</v>
      </c>
    </row>
    <row r="5940">
      <c r="A5940" s="24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5" t="n">
        <v>0.09388199999999999</v>
      </c>
    </row>
    <row r="5941">
      <c r="A5941" s="24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5" t="n">
        <v>0.160127</v>
      </c>
    </row>
    <row r="5942">
      <c r="A5942" s="24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5" t="n">
        <v>0.261427</v>
      </c>
    </row>
    <row r="5943">
      <c r="A5943" s="24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5" t="n">
        <v>0.210648</v>
      </c>
    </row>
    <row r="5944">
      <c r="A5944" s="24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5" t="n">
        <v>0.372159</v>
      </c>
    </row>
    <row r="5945">
      <c r="A5945" s="24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5" t="n">
        <v>0.271059</v>
      </c>
    </row>
    <row r="5946">
      <c r="A5946" s="24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5" t="n">
        <v>0.09367200000000001</v>
      </c>
    </row>
    <row r="5947">
      <c r="A5947" s="24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5" t="n">
        <v>0.050807</v>
      </c>
    </row>
    <row r="5948">
      <c r="A5948" s="24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5" t="n">
        <v>0.043242</v>
      </c>
    </row>
    <row r="5949">
      <c r="A5949" s="24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5" t="n">
        <v>0.048778</v>
      </c>
    </row>
    <row r="5950">
      <c r="A5950" s="24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5" t="n">
        <v>0.080382</v>
      </c>
    </row>
    <row r="5951">
      <c r="A5951" s="24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5" t="n">
        <v>0.23407</v>
      </c>
    </row>
    <row r="5952">
      <c r="A5952" s="24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5" t="n">
        <v>0.064859</v>
      </c>
    </row>
    <row r="5953">
      <c r="A5953" s="24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5" t="n">
        <v>0.03901</v>
      </c>
    </row>
    <row r="5954">
      <c r="A5954" s="24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5" t="n">
        <v>0.021764</v>
      </c>
    </row>
    <row r="5955">
      <c r="A5955" s="24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5" t="n">
        <v>0.08309900000000001</v>
      </c>
    </row>
    <row r="5956">
      <c r="A5956" s="24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5" t="n">
        <v>0.297792</v>
      </c>
    </row>
    <row r="5957">
      <c r="A5957" s="24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5" t="n">
        <v>0.138638</v>
      </c>
    </row>
    <row r="5958">
      <c r="A5958" s="24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5" t="n">
        <v>0.073657</v>
      </c>
    </row>
    <row r="5959">
      <c r="A5959" s="24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5" t="n">
        <v>0.196824</v>
      </c>
    </row>
    <row r="5960">
      <c r="A5960" s="24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5" t="n">
        <v>0.213157</v>
      </c>
    </row>
    <row r="5961">
      <c r="A5961" s="24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5" t="n">
        <v>0.107089</v>
      </c>
    </row>
    <row r="5962">
      <c r="A5962" s="24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5" t="n">
        <v>0.063392</v>
      </c>
    </row>
    <row r="5963">
      <c r="A5963" s="24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5" t="n">
        <v>0.185737</v>
      </c>
    </row>
    <row r="5964">
      <c r="A5964" s="24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5" t="n">
        <v>0.210976</v>
      </c>
    </row>
    <row r="5965">
      <c r="A5965" s="24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5" t="n">
        <v>0.113444</v>
      </c>
    </row>
    <row r="5966">
      <c r="A5966" s="24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5" t="n">
        <v>0.060629</v>
      </c>
    </row>
    <row r="5967">
      <c r="A5967" s="24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5" t="n">
        <v>0.122733</v>
      </c>
    </row>
    <row r="5968">
      <c r="A5968" s="24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5" t="n">
        <v>0.108388</v>
      </c>
    </row>
    <row r="5969">
      <c r="A5969" s="24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5" t="n">
        <v>0.173573</v>
      </c>
    </row>
    <row r="5970">
      <c r="A5970" s="24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5" t="n">
        <v>0.076029</v>
      </c>
    </row>
    <row r="5971">
      <c r="A5971" s="24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5" t="n">
        <v>0.030951</v>
      </c>
    </row>
    <row r="5972">
      <c r="A5972" s="24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5" t="n">
        <v>0.163368</v>
      </c>
    </row>
    <row r="5973">
      <c r="A5973" s="24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5" t="n">
        <v>0.097492</v>
      </c>
    </row>
    <row r="5974">
      <c r="A5974" s="24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5" t="n">
        <v>0.152399</v>
      </c>
    </row>
    <row r="5975">
      <c r="A5975" s="24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5" t="n">
        <v>0.203724</v>
      </c>
    </row>
    <row r="5976">
      <c r="A5976" s="24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5" t="n">
        <v>0.328875</v>
      </c>
    </row>
    <row r="5977">
      <c r="A5977" s="24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5" t="n">
        <v>0.279887</v>
      </c>
    </row>
    <row r="5978">
      <c r="A5978" s="24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5" t="n">
        <v>0.388825</v>
      </c>
    </row>
    <row r="5979">
      <c r="A5979" s="24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5" t="n">
        <v>0.40171</v>
      </c>
    </row>
    <row r="5980">
      <c r="A5980" s="24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5" t="n">
        <v>0.408005</v>
      </c>
    </row>
    <row r="5981">
      <c r="A5981" s="24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5" t="n">
        <v>0.416828</v>
      </c>
    </row>
    <row r="5982">
      <c r="A5982" s="24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5" t="n">
        <v>0.413652</v>
      </c>
    </row>
    <row r="5983">
      <c r="A5983" s="24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5" t="n">
        <v>0.411789</v>
      </c>
    </row>
    <row r="5984">
      <c r="A5984" s="24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5" t="n">
        <v>0.416871</v>
      </c>
    </row>
    <row r="5985">
      <c r="A5985" s="24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5" t="n">
        <v>0.413319</v>
      </c>
    </row>
    <row r="5986">
      <c r="A5986" s="24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5" t="n">
        <v>0.410999</v>
      </c>
    </row>
    <row r="5987">
      <c r="A5987" s="24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5" t="n">
        <v>0.45435</v>
      </c>
    </row>
    <row r="5988">
      <c r="A5988" s="24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5" t="n">
        <v>0.453986</v>
      </c>
    </row>
    <row r="5989">
      <c r="A5989" s="24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5" t="n">
        <v>0.411688</v>
      </c>
    </row>
    <row r="5990">
      <c r="A5990" s="24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5" t="n">
        <v>0.410097</v>
      </c>
    </row>
    <row r="5991">
      <c r="A5991" s="24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5" t="n">
        <v>0.411758</v>
      </c>
    </row>
    <row r="5992">
      <c r="A5992" s="24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5" t="n">
        <v>0.411835</v>
      </c>
    </row>
    <row r="5993">
      <c r="A5993" s="24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5" t="n">
        <v>0.415934</v>
      </c>
    </row>
    <row r="5994">
      <c r="A5994" s="24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5" t="n">
        <v>0.415719</v>
      </c>
    </row>
    <row r="5995">
      <c r="A5995" s="24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5" t="n">
        <v>0.420713</v>
      </c>
    </row>
    <row r="5996">
      <c r="A5996" s="24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5" t="n">
        <v>0.421156</v>
      </c>
    </row>
    <row r="5997">
      <c r="A5997" s="24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5" t="n">
        <v>0.413707</v>
      </c>
    </row>
    <row r="5998">
      <c r="A5998" s="24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5" t="n">
        <v>0.417033</v>
      </c>
    </row>
    <row r="5999">
      <c r="A5999" s="24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5" t="n">
        <v>0.5171289999999999</v>
      </c>
    </row>
    <row r="6000">
      <c r="A6000" s="24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5" t="n">
        <v>0.574264</v>
      </c>
    </row>
    <row r="6001">
      <c r="A6001" s="24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5" t="n">
        <v>0.733371</v>
      </c>
    </row>
    <row r="6002">
      <c r="A6002" s="24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5" t="n">
        <v>0.769624</v>
      </c>
    </row>
    <row r="6003">
      <c r="A6003" s="24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5" t="n">
        <v>0.685978</v>
      </c>
    </row>
    <row r="6004">
      <c r="A6004" s="24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5" t="n">
        <v>0.841873</v>
      </c>
    </row>
    <row r="6005">
      <c r="A6005" s="24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5" t="n">
        <v>0.662388</v>
      </c>
    </row>
    <row r="6006">
      <c r="A6006" s="24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5" t="n">
        <v>0.413076</v>
      </c>
    </row>
    <row r="6007">
      <c r="A6007" s="24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5" t="n">
        <v>0.6173070000000001</v>
      </c>
    </row>
    <row r="6008">
      <c r="A6008" s="24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5" t="n">
        <v>1.80364</v>
      </c>
    </row>
    <row r="6009">
      <c r="A6009" s="24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5" t="n">
        <v>2.370925</v>
      </c>
    </row>
    <row r="6010">
      <c r="A6010" s="24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5" t="n">
        <v>1.42497</v>
      </c>
    </row>
    <row r="6011">
      <c r="A6011" s="24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5" t="n">
        <v>1.250048</v>
      </c>
    </row>
    <row r="6012">
      <c r="A6012" s="24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5" t="n">
        <v>1.199118</v>
      </c>
    </row>
    <row r="6013">
      <c r="A6013" s="24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5" t="n">
        <v>2.13537</v>
      </c>
    </row>
    <row r="6014">
      <c r="A6014" s="24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5" t="n">
        <v>2.918053</v>
      </c>
    </row>
    <row r="6015">
      <c r="A6015" s="24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5" t="n">
        <v>1.38707</v>
      </c>
    </row>
    <row r="6016">
      <c r="A6016" s="24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5" t="n">
        <v>1.500798</v>
      </c>
    </row>
    <row r="6017">
      <c r="A6017" s="24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5" t="n">
        <v>1.530222</v>
      </c>
    </row>
    <row r="6018">
      <c r="A6018" s="24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5" t="n">
        <v>0.441649</v>
      </c>
    </row>
    <row r="6019">
      <c r="A6019" s="24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5" t="n">
        <v>0.95495</v>
      </c>
    </row>
    <row r="6020">
      <c r="A6020" s="24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5" t="n">
        <v>0.955755</v>
      </c>
    </row>
    <row r="6021">
      <c r="A6021" s="24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5" t="n">
        <v>0.870801</v>
      </c>
    </row>
    <row r="6022">
      <c r="A6022" s="24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5" t="n">
        <v>1.070339</v>
      </c>
    </row>
    <row r="6023">
      <c r="A6023" s="24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5" t="n">
        <v>0.6108789999999999</v>
      </c>
    </row>
    <row r="6024">
      <c r="A6024" s="24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5" t="n">
        <v>0.410457</v>
      </c>
    </row>
    <row r="6025">
      <c r="A6025" s="24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5" t="n">
        <v>0.413562</v>
      </c>
    </row>
    <row r="6026">
      <c r="A6026" s="24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5" t="n">
        <v>0.665916</v>
      </c>
    </row>
    <row r="6027">
      <c r="A6027" s="24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5" t="n">
        <v>0.714454</v>
      </c>
    </row>
    <row r="6028">
      <c r="A6028" s="24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5" t="n">
        <v>0.461224</v>
      </c>
    </row>
    <row r="6029">
      <c r="A6029" s="24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5" t="n">
        <v>0.487654</v>
      </c>
    </row>
    <row r="6030">
      <c r="A6030" s="24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5" t="n">
        <v>0.894109</v>
      </c>
    </row>
    <row r="6031">
      <c r="A6031" s="24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5" t="n">
        <v>1.34556</v>
      </c>
    </row>
    <row r="6032">
      <c r="A6032" s="24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5" t="n">
        <v>0.939322</v>
      </c>
    </row>
    <row r="6033">
      <c r="A6033" s="24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5" t="n">
        <v>0.411421</v>
      </c>
    </row>
    <row r="6034">
      <c r="A6034" s="24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5" t="n">
        <v>0.409842</v>
      </c>
    </row>
    <row r="6035">
      <c r="A6035" s="24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5" t="n">
        <v>0.400367</v>
      </c>
    </row>
    <row r="6036">
      <c r="A6036" s="24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5" t="n">
        <v>0.10337</v>
      </c>
    </row>
    <row r="6037">
      <c r="A6037" s="24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5" t="n">
        <v>0.092621</v>
      </c>
    </row>
    <row r="6038">
      <c r="A6038" s="24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5" t="n">
        <v>0.137205</v>
      </c>
    </row>
    <row r="6039">
      <c r="A6039" s="24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5" t="n">
        <v>0.179547</v>
      </c>
    </row>
    <row r="6040">
      <c r="A6040" s="24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5" t="n">
        <v>0.36337</v>
      </c>
    </row>
    <row r="6041">
      <c r="A6041" s="24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5" t="n">
        <v>0.295154</v>
      </c>
    </row>
    <row r="6042">
      <c r="A6042" s="24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5" t="n">
        <v>0.389456</v>
      </c>
    </row>
    <row r="6043">
      <c r="A6043" s="24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5" t="n">
        <v>0.402899</v>
      </c>
    </row>
    <row r="6044">
      <c r="A6044" s="24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5" t="n">
        <v>0.220635</v>
      </c>
    </row>
    <row r="6045">
      <c r="A6045" s="24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5" t="n">
        <v>0.277238</v>
      </c>
    </row>
    <row r="6046">
      <c r="A6046" s="24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5" t="n">
        <v>0.637994</v>
      </c>
    </row>
    <row r="6047">
      <c r="A6047" s="24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5" t="n">
        <v>1.212591</v>
      </c>
    </row>
    <row r="6048">
      <c r="A6048" s="24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5" t="n">
        <v>1.237151</v>
      </c>
    </row>
    <row r="6049">
      <c r="A6049" s="24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5" t="n">
        <v>1.233231</v>
      </c>
    </row>
    <row r="6050">
      <c r="A6050" s="24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5" t="n">
        <v>2.072218</v>
      </c>
    </row>
    <row r="6051">
      <c r="A6051" s="24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5" t="n">
        <v>1.80095</v>
      </c>
    </row>
    <row r="6052">
      <c r="A6052" s="24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5" t="n">
        <v>0.9781339999999999</v>
      </c>
    </row>
    <row r="6053">
      <c r="A6053" s="24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5" t="n">
        <v>1.410306</v>
      </c>
    </row>
    <row r="6054">
      <c r="A6054" s="24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5" t="n">
        <v>1.12413</v>
      </c>
    </row>
    <row r="6055">
      <c r="A6055" s="24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5" t="n">
        <v>0.5425179999999999</v>
      </c>
    </row>
    <row r="6056">
      <c r="A6056" s="24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5" t="n">
        <v>0.544001</v>
      </c>
    </row>
    <row r="6057">
      <c r="A6057" s="24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5" t="n">
        <v>0.430115</v>
      </c>
    </row>
    <row r="6058">
      <c r="A6058" s="24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5" t="n">
        <v>0.429065</v>
      </c>
    </row>
    <row r="6059">
      <c r="A6059" s="24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5" t="n">
        <v>0.408467</v>
      </c>
    </row>
    <row r="6060">
      <c r="A6060" s="24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5" t="n">
        <v>0.407074</v>
      </c>
    </row>
    <row r="6061">
      <c r="A6061" s="24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5" t="n">
        <v>0.149931</v>
      </c>
    </row>
    <row r="6062">
      <c r="A6062" s="24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5" t="n">
        <v>0.105386</v>
      </c>
    </row>
    <row r="6063">
      <c r="A6063" s="24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5" t="n">
        <v>0.049552</v>
      </c>
    </row>
    <row r="6064">
      <c r="A6064" s="24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5" t="n">
        <v>0.040528</v>
      </c>
    </row>
    <row r="6065">
      <c r="A6065" s="24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5" t="n">
        <v>0.04909</v>
      </c>
    </row>
    <row r="6066">
      <c r="A6066" s="24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5" t="n">
        <v>0.077267</v>
      </c>
    </row>
    <row r="6067">
      <c r="A6067" s="24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5" t="n">
        <v>0.118587</v>
      </c>
    </row>
    <row r="6068">
      <c r="A6068" s="24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5" t="n">
        <v>0.065997</v>
      </c>
    </row>
    <row r="6069">
      <c r="A6069" s="24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5" t="n">
        <v>0.048204</v>
      </c>
    </row>
    <row r="6070">
      <c r="A6070" s="24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5" t="n">
        <v>0.669967</v>
      </c>
    </row>
    <row r="6071">
      <c r="A6071" s="24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5" t="n">
        <v>0.708676</v>
      </c>
    </row>
    <row r="6072">
      <c r="A6072" s="24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5" t="n">
        <v>0.393891</v>
      </c>
    </row>
    <row r="6073">
      <c r="A6073" s="24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5" t="n">
        <v>0.400486</v>
      </c>
    </row>
    <row r="6074">
      <c r="A6074" s="24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5" t="n">
        <v>0.403361</v>
      </c>
    </row>
    <row r="6075">
      <c r="A6075" s="24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5" t="n">
        <v>0.412876</v>
      </c>
    </row>
    <row r="6076">
      <c r="A6076" s="24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5" t="n">
        <v>0.422384</v>
      </c>
    </row>
    <row r="6077">
      <c r="A6077" s="24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5" t="n">
        <v>0.431183</v>
      </c>
    </row>
    <row r="6078">
      <c r="A6078" s="24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5" t="n">
        <v>0.425538</v>
      </c>
    </row>
    <row r="6079">
      <c r="A6079" s="24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5" t="n">
        <v>0.687789</v>
      </c>
    </row>
    <row r="6080">
      <c r="A6080" s="24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5" t="n">
        <v>0.689287</v>
      </c>
    </row>
    <row r="6081">
      <c r="A6081" s="24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5" t="n">
        <v>0.49742</v>
      </c>
    </row>
    <row r="6082">
      <c r="A6082" s="24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5" t="n">
        <v>0.529033</v>
      </c>
    </row>
    <row r="6083">
      <c r="A6083" s="24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5" t="n">
        <v>0.442933</v>
      </c>
    </row>
    <row r="6084">
      <c r="A6084" s="24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5" t="n">
        <v>0.408042</v>
      </c>
    </row>
    <row r="6085">
      <c r="A6085" s="24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5" t="n">
        <v>0.408099</v>
      </c>
    </row>
    <row r="6086">
      <c r="A6086" s="24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5" t="n">
        <v>0.176368</v>
      </c>
    </row>
    <row r="6087">
      <c r="A6087" s="24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5" t="n">
        <v>0.172277</v>
      </c>
    </row>
    <row r="6088">
      <c r="A6088" s="24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5" t="n">
        <v>0.063171</v>
      </c>
    </row>
    <row r="6089">
      <c r="A6089" s="24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5" t="n">
        <v>0.092617</v>
      </c>
    </row>
    <row r="6090">
      <c r="A6090" s="24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5" t="n">
        <v>0.033055</v>
      </c>
    </row>
    <row r="6091">
      <c r="A6091" s="24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5" t="n">
        <v>0.090157</v>
      </c>
    </row>
    <row r="6092">
      <c r="A6092" s="24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5" t="n">
        <v>0.345918</v>
      </c>
    </row>
    <row r="6093">
      <c r="A6093" s="24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5" t="n">
        <v>0.430572</v>
      </c>
    </row>
    <row r="6094">
      <c r="A6094" s="24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5" t="n">
        <v>0.445318</v>
      </c>
    </row>
    <row r="6095">
      <c r="A6095" s="24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5" t="n">
        <v>0.403358</v>
      </c>
    </row>
    <row r="6096">
      <c r="A6096" s="24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5" t="n">
        <v>0.403373</v>
      </c>
    </row>
    <row r="6097">
      <c r="A6097" s="24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5" t="n">
        <v>0.404214</v>
      </c>
    </row>
    <row r="6098">
      <c r="A6098" s="24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5" t="n">
        <v>0.40969</v>
      </c>
    </row>
    <row r="6099">
      <c r="A6099" s="24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5" t="n">
        <v>0.291571</v>
      </c>
    </row>
    <row r="6100">
      <c r="A6100" s="24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5" t="n">
        <v>0.313232</v>
      </c>
    </row>
    <row r="6101">
      <c r="A6101" s="24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5" t="n">
        <v>0.18337</v>
      </c>
    </row>
    <row r="6102">
      <c r="A6102" s="24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5" t="n">
        <v>0.128694</v>
      </c>
    </row>
    <row r="6103">
      <c r="A6103" s="24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5" t="n">
        <v>0.36291</v>
      </c>
    </row>
    <row r="6104">
      <c r="A6104" s="24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5" t="n">
        <v>0.29104</v>
      </c>
    </row>
    <row r="6105">
      <c r="A6105" s="24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5" t="n">
        <v>0.133605</v>
      </c>
    </row>
    <row r="6106">
      <c r="A6106" s="24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5" t="n">
        <v>0.246268</v>
      </c>
    </row>
    <row r="6107">
      <c r="A6107" s="24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5" t="n">
        <v>0.377287</v>
      </c>
    </row>
    <row r="6108">
      <c r="A6108" s="24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5" t="n">
        <v>0.400256</v>
      </c>
    </row>
    <row r="6109">
      <c r="A6109" s="24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5" t="n">
        <v>0.406177</v>
      </c>
    </row>
    <row r="6110">
      <c r="A6110" s="24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5" t="n">
        <v>0.409244</v>
      </c>
    </row>
    <row r="6111">
      <c r="A6111" s="24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5" t="n">
        <v>0.522474</v>
      </c>
    </row>
    <row r="6112">
      <c r="A6112" s="24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5" t="n">
        <v>0.5214220000000001</v>
      </c>
    </row>
    <row r="6113">
      <c r="A6113" s="24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5" t="n">
        <v>0.410681</v>
      </c>
    </row>
    <row r="6114">
      <c r="A6114" s="24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5" t="n">
        <v>0.409742</v>
      </c>
    </row>
    <row r="6115">
      <c r="A6115" s="24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5" t="n">
        <v>0.50656</v>
      </c>
    </row>
    <row r="6116">
      <c r="A6116" s="24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5" t="n">
        <v>0.55527</v>
      </c>
    </row>
    <row r="6117">
      <c r="A6117" s="24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5" t="n">
        <v>0.45693</v>
      </c>
    </row>
    <row r="6118">
      <c r="A6118" s="24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5" t="n">
        <v>0.406686</v>
      </c>
    </row>
    <row r="6119">
      <c r="A6119" s="24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5" t="n">
        <v>0.409203</v>
      </c>
    </row>
    <row r="6120">
      <c r="A6120" s="24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5" t="n">
        <v>0.387249</v>
      </c>
    </row>
    <row r="6121">
      <c r="A6121" s="24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5" t="n">
        <v>0.230875</v>
      </c>
    </row>
    <row r="6122">
      <c r="A6122" s="24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5" t="n">
        <v>0.393827</v>
      </c>
    </row>
    <row r="6123">
      <c r="A6123" s="24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5" t="n">
        <v>0.403623</v>
      </c>
    </row>
    <row r="6124">
      <c r="A6124" s="24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5" t="n">
        <v>0.180207</v>
      </c>
    </row>
    <row r="6125">
      <c r="A6125" s="24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5" t="n">
        <v>0.258783</v>
      </c>
    </row>
    <row r="6126">
      <c r="A6126" s="24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5" t="n">
        <v>0.215661</v>
      </c>
    </row>
    <row r="6127">
      <c r="A6127" s="24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5" t="n">
        <v>0.055921</v>
      </c>
    </row>
    <row r="6128">
      <c r="A6128" s="24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5" t="n">
        <v>0.356286</v>
      </c>
    </row>
    <row r="6129">
      <c r="A6129" s="24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5" t="n">
        <v>0.38722</v>
      </c>
    </row>
    <row r="6130">
      <c r="A6130" s="24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5" t="n">
        <v>0.319154</v>
      </c>
    </row>
    <row r="6131">
      <c r="A6131" s="24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5" t="n">
        <v>0.19481</v>
      </c>
    </row>
    <row r="6132">
      <c r="A6132" s="24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5" t="n">
        <v>0.150028</v>
      </c>
    </row>
    <row r="6133">
      <c r="A6133" s="24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5" t="n">
        <v>0.11948</v>
      </c>
    </row>
    <row r="6134">
      <c r="A6134" s="24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5" t="n">
        <v>0.359413</v>
      </c>
    </row>
    <row r="6135">
      <c r="A6135" s="24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5" t="n">
        <v>0.387257</v>
      </c>
    </row>
    <row r="6136">
      <c r="A6136" s="24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5" t="n">
        <v>0.146665</v>
      </c>
    </row>
    <row r="6137">
      <c r="A6137" s="24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5" t="n">
        <v>0.230623</v>
      </c>
    </row>
    <row r="6138">
      <c r="A6138" s="24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5" t="n">
        <v>0.145049</v>
      </c>
    </row>
    <row r="6139">
      <c r="A6139" s="24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5" t="n">
        <v>0.070381</v>
      </c>
    </row>
    <row r="6140">
      <c r="A6140" s="24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5" t="n">
        <v>0.039453</v>
      </c>
    </row>
    <row r="6141">
      <c r="A6141" s="24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5" t="n">
        <v>0.017452</v>
      </c>
    </row>
    <row r="6142">
      <c r="A6142" s="24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5" t="n">
        <v>0.019481</v>
      </c>
    </row>
    <row r="6143">
      <c r="A6143" s="24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5" t="n">
        <v>0.112931</v>
      </c>
    </row>
    <row r="6144">
      <c r="A6144" s="24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5" t="n">
        <v>0.08344</v>
      </c>
    </row>
    <row r="6145">
      <c r="A6145" s="24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5" t="n">
        <v>0.061144</v>
      </c>
    </row>
    <row r="6146">
      <c r="A6146" s="24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5" t="n">
        <v>0.043259</v>
      </c>
    </row>
    <row r="6147">
      <c r="A6147" s="24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5" t="n">
        <v>0.019177</v>
      </c>
    </row>
    <row r="6148">
      <c r="A6148" s="24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5" t="n">
        <v>0.010239</v>
      </c>
    </row>
    <row r="6149">
      <c r="A6149" s="24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5" t="n">
        <v>0.019787</v>
      </c>
    </row>
    <row r="6150">
      <c r="A6150" s="24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5" t="n">
        <v>0.004172</v>
      </c>
    </row>
    <row r="6151">
      <c r="A6151" s="24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5" t="n">
        <v>0.002038</v>
      </c>
    </row>
    <row r="6152">
      <c r="A6152" s="24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5" t="n">
        <v>0.001052</v>
      </c>
    </row>
    <row r="6153">
      <c r="A6153" s="24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5" t="n">
        <v>0.000543</v>
      </c>
    </row>
    <row r="6154">
      <c r="A6154" s="24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5" t="n">
        <v>0.00028</v>
      </c>
    </row>
    <row r="6155">
      <c r="A6155" s="24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5" t="n">
        <v>0.000145</v>
      </c>
    </row>
    <row r="6156">
      <c r="A6156" s="24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5" t="n">
        <v>7.499999999999999e-05</v>
      </c>
    </row>
    <row r="6157">
      <c r="A6157" s="24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5" t="n">
        <v>0.001109</v>
      </c>
    </row>
    <row r="6158">
      <c r="A6158" s="24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5" t="n">
        <v>0.044887</v>
      </c>
    </row>
    <row r="6159">
      <c r="A6159" s="24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5" t="n">
        <v>0.062685</v>
      </c>
    </row>
    <row r="6160">
      <c r="A6160" s="24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5" t="n">
        <v>0.018177</v>
      </c>
    </row>
    <row r="6161">
      <c r="A6161" s="24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5" t="n">
        <v>0.006147</v>
      </c>
    </row>
    <row r="6162">
      <c r="A6162" s="24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5" t="n">
        <v>0.003118</v>
      </c>
    </row>
    <row r="6163">
      <c r="A6163" s="24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5" t="n">
        <v>0.09300899999999999</v>
      </c>
    </row>
    <row r="6164">
      <c r="A6164" s="24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5" t="n">
        <v>0.044295</v>
      </c>
    </row>
    <row r="6165">
      <c r="A6165" s="24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5" t="n">
        <v>0.019611</v>
      </c>
    </row>
    <row r="6166">
      <c r="A6166" s="24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5" t="n">
        <v>0.011712</v>
      </c>
    </row>
    <row r="6167">
      <c r="A6167" s="24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5" t="n">
        <v>0.037092</v>
      </c>
    </row>
    <row r="6168">
      <c r="A6168" s="24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5" t="n">
        <v>0.052394</v>
      </c>
    </row>
    <row r="6169">
      <c r="A6169" s="24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5" t="n">
        <v>0.293875</v>
      </c>
    </row>
    <row r="6170">
      <c r="A6170" s="24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5" t="n">
        <v>0.227808</v>
      </c>
    </row>
    <row r="6171">
      <c r="A6171" s="24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5" t="n">
        <v>0.071246</v>
      </c>
    </row>
    <row r="6172">
      <c r="A6172" s="24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5" t="n">
        <v>0.08845799999999999</v>
      </c>
    </row>
    <row r="6173">
      <c r="A6173" s="24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5" t="n">
        <v>0.130746</v>
      </c>
    </row>
    <row r="6174">
      <c r="A6174" s="24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5" t="n">
        <v>0.071684</v>
      </c>
    </row>
    <row r="6175">
      <c r="A6175" s="24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5" t="n">
        <v>0.196093</v>
      </c>
    </row>
    <row r="6176">
      <c r="A6176" s="24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5" t="n">
        <v>0.085784</v>
      </c>
    </row>
    <row r="6177">
      <c r="A6177" s="24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5" t="n">
        <v>0.060068</v>
      </c>
    </row>
    <row r="6178">
      <c r="A6178" s="24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5" t="n">
        <v>0.151641</v>
      </c>
    </row>
    <row r="6179">
      <c r="A6179" s="24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5" t="n">
        <v>0.256107</v>
      </c>
    </row>
    <row r="6180">
      <c r="A6180" s="24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5" t="n">
        <v>0.25887</v>
      </c>
    </row>
    <row r="6181">
      <c r="A6181" s="24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5" t="n">
        <v>0.151426</v>
      </c>
    </row>
    <row r="6182">
      <c r="A6182" s="24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5" t="n">
        <v>0.233494</v>
      </c>
    </row>
    <row r="6183">
      <c r="A6183" s="24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5" t="n">
        <v>0.155207</v>
      </c>
    </row>
    <row r="6184">
      <c r="A6184" s="24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5" t="n">
        <v>0.053356</v>
      </c>
    </row>
    <row r="6185">
      <c r="A6185" s="24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5" t="n">
        <v>0.148203</v>
      </c>
    </row>
    <row r="6186">
      <c r="A6186" s="24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5" t="n">
        <v>0.036726</v>
      </c>
    </row>
    <row r="6187">
      <c r="A6187" s="24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5" t="n">
        <v>0.022092</v>
      </c>
    </row>
    <row r="6188">
      <c r="A6188" s="24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5" t="n">
        <v>0.0228</v>
      </c>
    </row>
    <row r="6189">
      <c r="A6189" s="24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5" t="n">
        <v>0.01929</v>
      </c>
    </row>
    <row r="6190">
      <c r="A6190" s="24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5" t="n">
        <v>0.033085</v>
      </c>
    </row>
    <row r="6191">
      <c r="A6191" s="24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5" t="n">
        <v>0.333275</v>
      </c>
    </row>
    <row r="6192">
      <c r="A6192" s="24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5" t="n">
        <v>0.077192</v>
      </c>
    </row>
    <row r="6193">
      <c r="A6193" s="24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5" t="n">
        <v>0.036294</v>
      </c>
    </row>
    <row r="6194">
      <c r="A6194" s="24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5" t="n">
        <v>0.021159</v>
      </c>
    </row>
    <row r="6195">
      <c r="A6195" s="24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5" t="n">
        <v>0.008466</v>
      </c>
    </row>
    <row r="6196">
      <c r="A6196" s="24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5" t="n">
        <v>0.004324</v>
      </c>
    </row>
    <row r="6197">
      <c r="A6197" s="24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5" t="n">
        <v>0.002232</v>
      </c>
    </row>
    <row r="6198">
      <c r="A6198" s="24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5" t="n">
        <v>0.016467</v>
      </c>
    </row>
    <row r="6199">
      <c r="A6199" s="24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5" t="n">
        <v>0.04385</v>
      </c>
    </row>
    <row r="6200">
      <c r="A6200" s="24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5" t="n">
        <v>0.055273</v>
      </c>
    </row>
    <row r="6201">
      <c r="A6201" s="24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5" t="n">
        <v>0.038263</v>
      </c>
    </row>
    <row r="6202">
      <c r="A6202" s="24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5" t="n">
        <v>0.146622</v>
      </c>
    </row>
    <row r="6203">
      <c r="A6203" s="24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5" t="n">
        <v>0.081707</v>
      </c>
    </row>
    <row r="6204">
      <c r="A6204" s="24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5" t="n">
        <v>0.186855</v>
      </c>
    </row>
    <row r="6205">
      <c r="A6205" s="24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5" t="n">
        <v>0.102293</v>
      </c>
    </row>
    <row r="6206">
      <c r="A6206" s="24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5" t="n">
        <v>0.070687</v>
      </c>
    </row>
    <row r="6207">
      <c r="A6207" s="24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5" t="n">
        <v>0.062543</v>
      </c>
    </row>
    <row r="6208">
      <c r="A6208" s="24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5" t="n">
        <v>0.072227</v>
      </c>
    </row>
    <row r="6209">
      <c r="A6209" s="24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5" t="n">
        <v>0.249993</v>
      </c>
    </row>
    <row r="6210">
      <c r="A6210" s="24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5" t="n">
        <v>0.187624</v>
      </c>
    </row>
    <row r="6211">
      <c r="A6211" s="24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5" t="n">
        <v>0.064222</v>
      </c>
    </row>
    <row r="6212">
      <c r="A6212" s="24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5" t="n">
        <v>0.030769</v>
      </c>
    </row>
    <row r="6213">
      <c r="A6213" s="24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5" t="n">
        <v>0.024932</v>
      </c>
    </row>
    <row r="6214">
      <c r="A6214" s="24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5" t="n">
        <v>0.030829</v>
      </c>
    </row>
    <row r="6215">
      <c r="A6215" s="24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5" t="n">
        <v>0.032345</v>
      </c>
    </row>
    <row r="6216">
      <c r="A6216" s="24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5" t="n">
        <v>0.170189</v>
      </c>
    </row>
    <row r="6217">
      <c r="A6217" s="24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5" t="n">
        <v>0.219403</v>
      </c>
    </row>
    <row r="6218">
      <c r="A6218" s="24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5" t="n">
        <v>0.068773</v>
      </c>
    </row>
    <row r="6219">
      <c r="A6219" s="24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5" t="n">
        <v>0.156587</v>
      </c>
    </row>
    <row r="6220">
      <c r="A6220" s="24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5" t="n">
        <v>0.177439</v>
      </c>
    </row>
    <row r="6221">
      <c r="A6221" s="24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5" t="n">
        <v>0.114596</v>
      </c>
    </row>
    <row r="6222">
      <c r="A6222" s="24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5" t="n">
        <v>0.243006</v>
      </c>
    </row>
    <row r="6223">
      <c r="A6223" s="24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5" t="n">
        <v>0.10024</v>
      </c>
    </row>
    <row r="6224">
      <c r="A6224" s="24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5" t="n">
        <v>0.041729</v>
      </c>
    </row>
    <row r="6225">
      <c r="A6225" s="24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5" t="n">
        <v>0.098923</v>
      </c>
    </row>
    <row r="6226">
      <c r="A6226" s="24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5" t="n">
        <v>0.195373</v>
      </c>
    </row>
    <row r="6227">
      <c r="A6227" s="24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5" t="n">
        <v>0.366434</v>
      </c>
    </row>
    <row r="6228">
      <c r="A6228" s="24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5" t="n">
        <v>0.391242</v>
      </c>
    </row>
    <row r="6229">
      <c r="A6229" s="24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5" t="n">
        <v>0.39664</v>
      </c>
    </row>
    <row r="6230">
      <c r="A6230" s="24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5" t="n">
        <v>0.320544</v>
      </c>
    </row>
    <row r="6231">
      <c r="A6231" s="24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5" t="n">
        <v>0.399948</v>
      </c>
    </row>
    <row r="6232">
      <c r="A6232" s="24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5" t="n">
        <v>0.259137</v>
      </c>
    </row>
    <row r="6233">
      <c r="A6233" s="24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5" t="n">
        <v>0.108367</v>
      </c>
    </row>
    <row r="6234">
      <c r="A6234" s="24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5" t="n">
        <v>0.080846</v>
      </c>
    </row>
    <row r="6235">
      <c r="A6235" s="24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5" t="n">
        <v>0.048414</v>
      </c>
    </row>
    <row r="6236">
      <c r="A6236" s="24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5" t="n">
        <v>0.187529</v>
      </c>
    </row>
    <row r="6237">
      <c r="A6237" s="24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5" t="n">
        <v>0.045267</v>
      </c>
    </row>
    <row r="6238">
      <c r="A6238" s="24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5" t="n">
        <v>0.035555</v>
      </c>
    </row>
    <row r="6239">
      <c r="A6239" s="24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5" t="n">
        <v>0.0217</v>
      </c>
    </row>
    <row r="6240">
      <c r="A6240" s="24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5" t="n">
        <v>0.109036</v>
      </c>
    </row>
    <row r="6241">
      <c r="A6241" s="24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5" t="n">
        <v>0.024065</v>
      </c>
    </row>
    <row r="6242">
      <c r="A6242" s="24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5" t="n">
        <v>0.012847</v>
      </c>
    </row>
    <row r="6243">
      <c r="A6243" s="24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5" t="n">
        <v>0.016422</v>
      </c>
    </row>
    <row r="6244">
      <c r="A6244" s="24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5" t="n">
        <v>0.016758</v>
      </c>
    </row>
    <row r="6245">
      <c r="A6245" s="24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5" t="n">
        <v>0.028075</v>
      </c>
    </row>
    <row r="6246">
      <c r="A6246" s="24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5" t="n">
        <v>0.043993</v>
      </c>
    </row>
    <row r="6247">
      <c r="A6247" s="24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5" t="n">
        <v>0.183548</v>
      </c>
    </row>
    <row r="6248">
      <c r="A6248" s="24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5" t="n">
        <v>0.050918</v>
      </c>
    </row>
    <row r="6249">
      <c r="A6249" s="24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5" t="n">
        <v>0.10786</v>
      </c>
    </row>
    <row r="6250">
      <c r="A6250" s="24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5" t="n">
        <v>0.028942</v>
      </c>
    </row>
    <row r="6251">
      <c r="A6251" s="24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5" t="n">
        <v>0.025918</v>
      </c>
    </row>
    <row r="6252">
      <c r="A6252" s="24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5" t="n">
        <v>0.034332</v>
      </c>
    </row>
    <row r="6253">
      <c r="A6253" s="24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5" t="n">
        <v>0.012966</v>
      </c>
    </row>
    <row r="6254">
      <c r="A6254" s="24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5" t="n">
        <v>0.016428</v>
      </c>
    </row>
    <row r="6255">
      <c r="A6255" s="24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5" t="n">
        <v>0.018157</v>
      </c>
    </row>
    <row r="6256">
      <c r="A6256" s="24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5" t="n">
        <v>0.094308</v>
      </c>
    </row>
    <row r="6257">
      <c r="A6257" s="24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5" t="n">
        <v>0.078114</v>
      </c>
    </row>
    <row r="6258">
      <c r="A6258" s="24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5" t="n">
        <v>0.038179</v>
      </c>
    </row>
    <row r="6259">
      <c r="A6259" s="24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5" t="n">
        <v>0.204146</v>
      </c>
    </row>
    <row r="6260">
      <c r="A6260" s="24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5" t="n">
        <v>0.040763</v>
      </c>
    </row>
    <row r="6261">
      <c r="A6261" s="24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5" t="n">
        <v>0.027614</v>
      </c>
    </row>
    <row r="6262">
      <c r="A6262" s="24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5" t="n">
        <v>0.010506</v>
      </c>
    </row>
    <row r="6263">
      <c r="A6263" s="24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5" t="n">
        <v>0.007398</v>
      </c>
    </row>
    <row r="6264">
      <c r="A6264" s="24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5" t="n">
        <v>0.011273</v>
      </c>
    </row>
    <row r="6265">
      <c r="A6265" s="24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5" t="n">
        <v>0.006238</v>
      </c>
    </row>
    <row r="6266">
      <c r="A6266" s="24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5" t="n">
        <v>0.002269</v>
      </c>
    </row>
    <row r="6267">
      <c r="A6267" s="24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5" t="n">
        <v>0.007939999999999999</v>
      </c>
    </row>
    <row r="6268">
      <c r="A6268" s="24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5" t="n">
        <v>0.020778</v>
      </c>
    </row>
    <row r="6269">
      <c r="A6269" s="24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5" t="n">
        <v>0.011473</v>
      </c>
    </row>
    <row r="6270">
      <c r="A6270" s="24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5" t="n">
        <v>0.210649</v>
      </c>
    </row>
    <row r="6271">
      <c r="A6271" s="24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5" t="n">
        <v>0.186876</v>
      </c>
    </row>
    <row r="6272">
      <c r="A6272" s="24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5" t="n">
        <v>0.09586600000000001</v>
      </c>
    </row>
    <row r="6273">
      <c r="A6273" s="24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5" t="n">
        <v>0.036335</v>
      </c>
    </row>
    <row r="6274">
      <c r="A6274" s="24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5" t="n">
        <v>0.078253</v>
      </c>
    </row>
    <row r="6275">
      <c r="A6275" s="24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5" t="n">
        <v>0.343098</v>
      </c>
    </row>
    <row r="6276">
      <c r="A6276" s="24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5" t="n">
        <v>0.09547899999999999</v>
      </c>
    </row>
    <row r="6277">
      <c r="A6277" s="24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5" t="n">
        <v>0.161421</v>
      </c>
    </row>
    <row r="6278">
      <c r="A6278" s="24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5" t="n">
        <v>0.052834</v>
      </c>
    </row>
    <row r="6279">
      <c r="A6279" s="24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5" t="n">
        <v>0.045658</v>
      </c>
    </row>
    <row r="6280">
      <c r="A6280" s="24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5" t="n">
        <v>0.04208</v>
      </c>
    </row>
    <row r="6281">
      <c r="A6281" s="24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5" t="n">
        <v>0.250219</v>
      </c>
    </row>
    <row r="6282">
      <c r="A6282" s="24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5" t="n">
        <v>0.366683</v>
      </c>
    </row>
    <row r="6283">
      <c r="A6283" s="24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5" t="n">
        <v>0.199663</v>
      </c>
    </row>
    <row r="6284">
      <c r="A6284" s="24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5" t="n">
        <v>0.105385</v>
      </c>
    </row>
    <row r="6285">
      <c r="A6285" s="24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5" t="n">
        <v>0.106474</v>
      </c>
    </row>
    <row r="6286">
      <c r="A6286" s="24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5" t="n">
        <v>0.08941300000000001</v>
      </c>
    </row>
    <row r="6287">
      <c r="A6287" s="24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5" t="n">
        <v>0.348644</v>
      </c>
    </row>
    <row r="6288">
      <c r="A6288" s="24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5" t="n">
        <v>0.118231</v>
      </c>
    </row>
    <row r="6289">
      <c r="A6289" s="24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5" t="n">
        <v>0.101218</v>
      </c>
    </row>
    <row r="6290">
      <c r="A6290" s="24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5" t="n">
        <v>0.058755</v>
      </c>
    </row>
    <row r="6291">
      <c r="A6291" s="24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5" t="n">
        <v>0.022362</v>
      </c>
    </row>
    <row r="6292">
      <c r="A6292" s="24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5" t="n">
        <v>0.017363</v>
      </c>
    </row>
    <row r="6293">
      <c r="A6293" s="24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5" t="n">
        <v>0.050364</v>
      </c>
    </row>
    <row r="6294">
      <c r="A6294" s="24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5" t="n">
        <v>0.029544</v>
      </c>
    </row>
    <row r="6295">
      <c r="A6295" s="24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5" t="n">
        <v>0.238486</v>
      </c>
    </row>
    <row r="6296">
      <c r="A6296" s="24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5" t="n">
        <v>0.271238</v>
      </c>
    </row>
    <row r="6297">
      <c r="A6297" s="24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5" t="n">
        <v>0.123739</v>
      </c>
    </row>
    <row r="6298">
      <c r="A6298" s="24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5" t="n">
        <v>0.050317</v>
      </c>
    </row>
    <row r="6299">
      <c r="A6299" s="24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5" t="n">
        <v>0.028721</v>
      </c>
    </row>
    <row r="6300">
      <c r="A6300" s="24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5" t="n">
        <v>0.026009</v>
      </c>
    </row>
    <row r="6301">
      <c r="A6301" s="24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5" t="n">
        <v>0.017873</v>
      </c>
    </row>
    <row r="6302">
      <c r="A6302" s="24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5" t="n">
        <v>0.142601</v>
      </c>
    </row>
    <row r="6303">
      <c r="A6303" s="24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5" t="n">
        <v>0.024747</v>
      </c>
    </row>
    <row r="6304">
      <c r="A6304" s="24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5" t="n">
        <v>0.030404</v>
      </c>
    </row>
    <row r="6305">
      <c r="A6305" s="24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5" t="n">
        <v>0.336589</v>
      </c>
    </row>
    <row r="6306">
      <c r="A6306" s="24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5" t="n">
        <v>0.210056</v>
      </c>
    </row>
    <row r="6307">
      <c r="A6307" s="24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5" t="n">
        <v>0.085746</v>
      </c>
    </row>
    <row r="6308">
      <c r="A6308" s="24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5" t="n">
        <v>0.053068</v>
      </c>
    </row>
    <row r="6309">
      <c r="A6309" s="24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5" t="n">
        <v>0.043128</v>
      </c>
    </row>
    <row r="6310">
      <c r="A6310" s="24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5" t="n">
        <v>0.020699</v>
      </c>
    </row>
    <row r="6311">
      <c r="A6311" s="24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5" t="n">
        <v>0.010683</v>
      </c>
    </row>
    <row r="6312">
      <c r="A6312" s="24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5" t="n">
        <v>0.004762</v>
      </c>
    </row>
    <row r="6313">
      <c r="A6313" s="24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5" t="n">
        <v>0.029544</v>
      </c>
    </row>
    <row r="6314">
      <c r="A6314" s="24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5" t="n">
        <v>0.021241</v>
      </c>
    </row>
    <row r="6315">
      <c r="A6315" s="24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5" t="n">
        <v>0.012287</v>
      </c>
    </row>
    <row r="6316">
      <c r="A6316" s="24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5" t="n">
        <v>0.044333</v>
      </c>
    </row>
    <row r="6317">
      <c r="A6317" s="24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5" t="n">
        <v>0.059245</v>
      </c>
    </row>
    <row r="6318">
      <c r="A6318" s="24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5" t="n">
        <v>0.053879</v>
      </c>
    </row>
    <row r="6319">
      <c r="A6319" s="24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5" t="n">
        <v>0.052984</v>
      </c>
    </row>
    <row r="6320">
      <c r="A6320" s="24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5" t="n">
        <v>0.249774</v>
      </c>
    </row>
    <row r="6321">
      <c r="A6321" s="24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5" t="n">
        <v>0.204282</v>
      </c>
    </row>
    <row r="6322">
      <c r="A6322" s="24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5" t="n">
        <v>0.079878</v>
      </c>
    </row>
    <row r="6323">
      <c r="A6323" s="24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5" t="n">
        <v>0.056976</v>
      </c>
    </row>
    <row r="6324">
      <c r="A6324" s="24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5" t="n">
        <v>0.060866</v>
      </c>
    </row>
    <row r="6325">
      <c r="A6325" s="24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5" t="n">
        <v>0.334745</v>
      </c>
    </row>
    <row r="6326">
      <c r="A6326" s="24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5" t="n">
        <v>0.378346</v>
      </c>
    </row>
    <row r="6327">
      <c r="A6327" s="24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5" t="n">
        <v>0.148761</v>
      </c>
    </row>
    <row r="6328">
      <c r="A6328" s="24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5" t="n">
        <v>0.118638</v>
      </c>
    </row>
    <row r="6329">
      <c r="A6329" s="24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5" t="n">
        <v>0.1366</v>
      </c>
    </row>
    <row r="6330">
      <c r="A6330" s="24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5" t="n">
        <v>0.086031</v>
      </c>
    </row>
    <row r="6331">
      <c r="A6331" s="24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5" t="n">
        <v>0.293164</v>
      </c>
    </row>
    <row r="6332">
      <c r="A6332" s="24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5" t="n">
        <v>0.377088</v>
      </c>
    </row>
    <row r="6333">
      <c r="A6333" s="24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5" t="n">
        <v>0.38842</v>
      </c>
    </row>
    <row r="6334">
      <c r="A6334" s="24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5" t="n">
        <v>0.115555</v>
      </c>
    </row>
    <row r="6335">
      <c r="A6335" s="24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5" t="n">
        <v>0.048739</v>
      </c>
    </row>
    <row r="6336">
      <c r="A6336" s="24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5" t="n">
        <v>0.042375</v>
      </c>
    </row>
    <row r="6337">
      <c r="A6337" s="24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5" t="n">
        <v>0.041158</v>
      </c>
    </row>
    <row r="6338">
      <c r="A6338" s="24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5" t="n">
        <v>0.054561</v>
      </c>
    </row>
    <row r="6339">
      <c r="A6339" s="24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5" t="n">
        <v>0.266201</v>
      </c>
    </row>
    <row r="6340">
      <c r="A6340" s="24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5" t="n">
        <v>0.200539</v>
      </c>
    </row>
    <row r="6341">
      <c r="A6341" s="24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5" t="n">
        <v>0.164651</v>
      </c>
    </row>
    <row r="6342">
      <c r="A6342" s="24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5" t="n">
        <v>0.086613</v>
      </c>
    </row>
    <row r="6343">
      <c r="A6343" s="24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5" t="n">
        <v>0.171936</v>
      </c>
    </row>
    <row r="6344">
      <c r="A6344" s="24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5" t="n">
        <v>0.132616</v>
      </c>
    </row>
    <row r="6345">
      <c r="A6345" s="24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5" t="n">
        <v>0.333664</v>
      </c>
    </row>
    <row r="6346">
      <c r="A6346" s="24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5" t="n">
        <v>0.131697</v>
      </c>
    </row>
    <row r="6347">
      <c r="A6347" s="24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5" t="n">
        <v>0.364486</v>
      </c>
    </row>
    <row r="6348">
      <c r="A6348" s="24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5" t="n">
        <v>0.310326</v>
      </c>
    </row>
    <row r="6349">
      <c r="A6349" s="24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5" t="n">
        <v>0.285151</v>
      </c>
    </row>
    <row r="6350">
      <c r="A6350" s="24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5" t="n">
        <v>0.394305</v>
      </c>
    </row>
    <row r="6351">
      <c r="A6351" s="24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5" t="n">
        <v>1.030604</v>
      </c>
    </row>
    <row r="6352">
      <c r="A6352" s="24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5" t="n">
        <v>1.796168</v>
      </c>
    </row>
    <row r="6353">
      <c r="A6353" s="24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5" t="n">
        <v>1.420037</v>
      </c>
    </row>
    <row r="6354">
      <c r="A6354" s="24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5" t="n">
        <v>0.84998</v>
      </c>
    </row>
    <row r="6355">
      <c r="A6355" s="24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5" t="n">
        <v>0.672875</v>
      </c>
    </row>
    <row r="6356">
      <c r="A6356" s="24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5" t="n">
        <v>0.478618</v>
      </c>
    </row>
    <row r="6357">
      <c r="A6357" s="24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5" t="n">
        <v>0.410531</v>
      </c>
    </row>
    <row r="6358">
      <c r="A6358" s="24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5" t="n">
        <v>0.407915</v>
      </c>
    </row>
    <row r="6359">
      <c r="A6359" s="24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5" t="n">
        <v>0.413703</v>
      </c>
    </row>
    <row r="6360">
      <c r="A6360" s="24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5" t="n">
        <v>0.416857</v>
      </c>
    </row>
    <row r="6361">
      <c r="A6361" s="24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5" t="n">
        <v>0.41256</v>
      </c>
    </row>
    <row r="6362">
      <c r="A6362" s="24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5" t="n">
        <v>0.420844</v>
      </c>
    </row>
    <row r="6363">
      <c r="A6363" s="24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5" t="n">
        <v>0.7114509999999999</v>
      </c>
    </row>
    <row r="6364">
      <c r="A6364" s="24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5" t="n">
        <v>0.954885</v>
      </c>
    </row>
    <row r="6365">
      <c r="A6365" s="24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5" t="n">
        <v>0.661558</v>
      </c>
    </row>
    <row r="6366">
      <c r="A6366" s="24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5" t="n">
        <v>0.407358</v>
      </c>
    </row>
    <row r="6367">
      <c r="A6367" s="24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5" t="n">
        <v>0.409973</v>
      </c>
    </row>
    <row r="6368">
      <c r="A6368" s="24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5" t="n">
        <v>0.363358</v>
      </c>
    </row>
    <row r="6369">
      <c r="A6369" s="24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5" t="n">
        <v>0.111552</v>
      </c>
    </row>
    <row r="6370">
      <c r="A6370" s="24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5" t="n">
        <v>0.06390700000000001</v>
      </c>
    </row>
    <row r="6371">
      <c r="A6371" s="24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5" t="n">
        <v>0.025456</v>
      </c>
    </row>
    <row r="6372">
      <c r="A6372" s="24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5" t="n">
        <v>0.016751</v>
      </c>
    </row>
    <row r="6373">
      <c r="A6373" s="24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5" t="n">
        <v>0.33641</v>
      </c>
    </row>
    <row r="6374">
      <c r="A6374" s="24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5" t="n">
        <v>0.283503</v>
      </c>
    </row>
    <row r="6375">
      <c r="A6375" s="24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5" t="n">
        <v>0.207408</v>
      </c>
    </row>
    <row r="6376">
      <c r="A6376" s="24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5" t="n">
        <v>0.08445</v>
      </c>
    </row>
    <row r="6377">
      <c r="A6377" s="24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5" t="n">
        <v>0.153197</v>
      </c>
    </row>
    <row r="6378">
      <c r="A6378" s="24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5" t="n">
        <v>0.080592</v>
      </c>
    </row>
    <row r="6379">
      <c r="A6379" s="24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5" t="n">
        <v>0.045589</v>
      </c>
    </row>
    <row r="6380">
      <c r="A6380" s="24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5" t="n">
        <v>0.034254</v>
      </c>
    </row>
    <row r="6381">
      <c r="A6381" s="24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5" t="n">
        <v>0.260703</v>
      </c>
    </row>
    <row r="6382">
      <c r="A6382" s="24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5" t="n">
        <v>0.636992</v>
      </c>
    </row>
    <row r="6383">
      <c r="A6383" s="24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5" t="n">
        <v>0.708835</v>
      </c>
    </row>
    <row r="6384">
      <c r="A6384" s="24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5" t="n">
        <v>0.446029</v>
      </c>
    </row>
    <row r="6385">
      <c r="A6385" s="24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5" t="n">
        <v>0.400483</v>
      </c>
    </row>
    <row r="6386">
      <c r="A6386" s="24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5" t="n">
        <v>0.413764</v>
      </c>
    </row>
    <row r="6387">
      <c r="A6387" s="24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5" t="n">
        <v>0.462164</v>
      </c>
    </row>
    <row r="6388">
      <c r="A6388" s="24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5" t="n">
        <v>0.565116</v>
      </c>
    </row>
    <row r="6389">
      <c r="A6389" s="24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5" t="n">
        <v>0.6462059999999999</v>
      </c>
    </row>
    <row r="6390">
      <c r="A6390" s="24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5" t="n">
        <v>0.5355220000000001</v>
      </c>
    </row>
    <row r="6391">
      <c r="A6391" s="24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5" t="n">
        <v>0.412033</v>
      </c>
    </row>
    <row r="6392">
      <c r="A6392" s="24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5" t="n">
        <v>0.78212</v>
      </c>
    </row>
    <row r="6393">
      <c r="A6393" s="24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5" t="n">
        <v>1.569214</v>
      </c>
    </row>
    <row r="6394">
      <c r="A6394" s="24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5" t="n">
        <v>1.484626</v>
      </c>
    </row>
    <row r="6395">
      <c r="A6395" s="24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5" t="n">
        <v>0.696715</v>
      </c>
    </row>
    <row r="6396">
      <c r="A6396" s="24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5" t="n">
        <v>0.410588</v>
      </c>
    </row>
    <row r="6397">
      <c r="A6397" s="24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5" t="n">
        <v>0.41308</v>
      </c>
    </row>
    <row r="6398">
      <c r="A6398" s="24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5" t="n">
        <v>0.450331</v>
      </c>
    </row>
    <row r="6399">
      <c r="A6399" s="24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5" t="n">
        <v>0.7090340000000001</v>
      </c>
    </row>
    <row r="6400">
      <c r="A6400" s="24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5" t="n">
        <v>0.674196</v>
      </c>
    </row>
    <row r="6401">
      <c r="A6401" s="24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5" t="n">
        <v>0.488717</v>
      </c>
    </row>
    <row r="6402">
      <c r="A6402" s="24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5" t="n">
        <v>0.487112</v>
      </c>
    </row>
    <row r="6403">
      <c r="A6403" s="24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5" t="n">
        <v>0.408477</v>
      </c>
    </row>
    <row r="6404">
      <c r="A6404" s="24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5" t="n">
        <v>0.407422</v>
      </c>
    </row>
    <row r="6405">
      <c r="A6405" s="24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5" t="n">
        <v>0.265735</v>
      </c>
    </row>
    <row r="6406">
      <c r="A6406" s="24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5" t="n">
        <v>0.215187</v>
      </c>
    </row>
    <row r="6407">
      <c r="A6407" s="24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5" t="n">
        <v>0.296077</v>
      </c>
    </row>
    <row r="6408">
      <c r="A6408" s="24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5" t="n">
        <v>0.190023</v>
      </c>
    </row>
    <row r="6409">
      <c r="A6409" s="24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5" t="n">
        <v>0.11159</v>
      </c>
    </row>
    <row r="6410">
      <c r="A6410" s="24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5" t="n">
        <v>0.127158</v>
      </c>
    </row>
    <row r="6411">
      <c r="A6411" s="24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5" t="n">
        <v>0.358222</v>
      </c>
    </row>
    <row r="6412">
      <c r="A6412" s="24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5" t="n">
        <v>0.305866</v>
      </c>
    </row>
    <row r="6413">
      <c r="A6413" s="24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5" t="n">
        <v>0.333976</v>
      </c>
    </row>
    <row r="6414">
      <c r="A6414" s="24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5" t="n">
        <v>0.395337</v>
      </c>
    </row>
    <row r="6415">
      <c r="A6415" s="24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5" t="n">
        <v>0.406394</v>
      </c>
    </row>
    <row r="6416">
      <c r="A6416" s="24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5" t="n">
        <v>0.264332</v>
      </c>
    </row>
    <row r="6417">
      <c r="A6417" s="24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5" t="n">
        <v>0.130684</v>
      </c>
    </row>
    <row r="6418">
      <c r="A6418" s="24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5" t="n">
        <v>0.368704</v>
      </c>
    </row>
    <row r="6419">
      <c r="A6419" s="24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5" t="n">
        <v>0.148649</v>
      </c>
    </row>
    <row r="6420">
      <c r="A6420" s="24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5" t="n">
        <v>0.096849</v>
      </c>
    </row>
    <row r="6421">
      <c r="A6421" s="24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5" t="n">
        <v>0.100735</v>
      </c>
    </row>
    <row r="6422">
      <c r="A6422" s="24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5" t="n">
        <v>0.068827</v>
      </c>
    </row>
    <row r="6423">
      <c r="A6423" s="24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5" t="n">
        <v>0.345738</v>
      </c>
    </row>
    <row r="6424">
      <c r="A6424" s="24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5" t="n">
        <v>0.186167</v>
      </c>
    </row>
    <row r="6425">
      <c r="A6425" s="24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5" t="n">
        <v>0.051709</v>
      </c>
    </row>
    <row r="6426">
      <c r="A6426" s="24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5" t="n">
        <v>0.022867</v>
      </c>
    </row>
    <row r="6427">
      <c r="A6427" s="24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5" t="n">
        <v>0.01174</v>
      </c>
    </row>
    <row r="6428">
      <c r="A6428" s="24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5" t="n">
        <v>0.074973</v>
      </c>
    </row>
    <row r="6429">
      <c r="A6429" s="24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5" t="n">
        <v>0.056757</v>
      </c>
    </row>
    <row r="6430">
      <c r="A6430" s="24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5" t="n">
        <v>0.123739</v>
      </c>
    </row>
    <row r="6431">
      <c r="A6431" s="24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5" t="n">
        <v>0.037901</v>
      </c>
    </row>
    <row r="6432">
      <c r="A6432" s="24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5" t="n">
        <v>0.130486</v>
      </c>
    </row>
    <row r="6433">
      <c r="A6433" s="24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5" t="n">
        <v>0.082452</v>
      </c>
    </row>
    <row r="6434">
      <c r="A6434" s="24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5" t="n">
        <v>0.351206</v>
      </c>
    </row>
    <row r="6435">
      <c r="A6435" s="24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5" t="n">
        <v>1.373219</v>
      </c>
    </row>
    <row r="6436">
      <c r="A6436" s="24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5" t="n">
        <v>1.668751</v>
      </c>
    </row>
    <row r="6437">
      <c r="A6437" s="24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5" t="n">
        <v>0.688216</v>
      </c>
    </row>
    <row r="6438">
      <c r="A6438" s="24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5" t="n">
        <v>0.403755</v>
      </c>
    </row>
    <row r="6439">
      <c r="A6439" s="24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5" t="n">
        <v>0.405862</v>
      </c>
    </row>
    <row r="6440">
      <c r="A6440" s="24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5" t="n">
        <v>0.351297</v>
      </c>
    </row>
    <row r="6441">
      <c r="A6441" s="24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5" t="n">
        <v>0.164599</v>
      </c>
    </row>
    <row r="6442">
      <c r="A6442" s="24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5" t="n">
        <v>0.063361</v>
      </c>
    </row>
    <row r="6443">
      <c r="A6443" s="24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5" t="n">
        <v>0.039743</v>
      </c>
    </row>
    <row r="6444">
      <c r="A6444" s="24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5" t="n">
        <v>0.056838</v>
      </c>
    </row>
    <row r="6445">
      <c r="A6445" s="24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5" t="n">
        <v>0.019125</v>
      </c>
    </row>
    <row r="6446">
      <c r="A6446" s="24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5" t="n">
        <v>0.05525</v>
      </c>
    </row>
    <row r="6447">
      <c r="A6447" s="24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5" t="n">
        <v>0.032375</v>
      </c>
    </row>
    <row r="6448">
      <c r="A6448" s="24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5" t="n">
        <v>0.037751</v>
      </c>
    </row>
    <row r="6449">
      <c r="A6449" s="24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5" t="n">
        <v>0.338278</v>
      </c>
    </row>
    <row r="6450">
      <c r="A6450" s="24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5" t="n">
        <v>0.727334</v>
      </c>
    </row>
    <row r="6451">
      <c r="A6451" s="24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5" t="n">
        <v>0.7394849999999999</v>
      </c>
    </row>
    <row r="6452">
      <c r="A6452" s="24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5" t="n">
        <v>0.397611</v>
      </c>
    </row>
    <row r="6453">
      <c r="A6453" s="24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5" t="n">
        <v>0.402073</v>
      </c>
    </row>
    <row r="6454">
      <c r="A6454" s="24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5" t="n">
        <v>0.143211</v>
      </c>
    </row>
    <row r="6455">
      <c r="A6455" s="24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5" t="n">
        <v>0.066717</v>
      </c>
    </row>
    <row r="6456">
      <c r="A6456" s="24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5" t="n">
        <v>0.118307</v>
      </c>
    </row>
    <row r="6457">
      <c r="A6457" s="24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5" t="n">
        <v>0.052014</v>
      </c>
    </row>
    <row r="6458">
      <c r="A6458" s="24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5" t="n">
        <v>0.08473899999999999</v>
      </c>
    </row>
    <row r="6459">
      <c r="A6459" s="24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5" t="n">
        <v>0.248249</v>
      </c>
    </row>
    <row r="6460">
      <c r="A6460" s="24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5" t="n">
        <v>0.136926</v>
      </c>
    </row>
    <row r="6461">
      <c r="A6461" s="24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5" t="n">
        <v>1.13894</v>
      </c>
    </row>
    <row r="6462">
      <c r="A6462" s="24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5" t="n">
        <v>1.166602</v>
      </c>
    </row>
    <row r="6463">
      <c r="A6463" s="24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5" t="n">
        <v>0.395712</v>
      </c>
    </row>
    <row r="6464">
      <c r="A6464" s="24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5" t="n">
        <v>0.399159</v>
      </c>
    </row>
    <row r="6465">
      <c r="A6465" s="24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5" t="n">
        <v>0.357468</v>
      </c>
    </row>
    <row r="6466">
      <c r="A6466" s="24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5" t="n">
        <v>0.105654</v>
      </c>
    </row>
    <row r="6467">
      <c r="A6467" s="24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5" t="n">
        <v>0.047315</v>
      </c>
    </row>
    <row r="6468">
      <c r="A6468" s="24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5" t="n">
        <v>0.02259</v>
      </c>
    </row>
    <row r="6469">
      <c r="A6469" s="24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5" t="n">
        <v>0.011628</v>
      </c>
    </row>
    <row r="6470">
      <c r="A6470" s="24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5" t="n">
        <v>0.012849</v>
      </c>
    </row>
    <row r="6471">
      <c r="A6471" s="24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5" t="n">
        <v>0.25608</v>
      </c>
    </row>
    <row r="6472">
      <c r="A6472" s="24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5" t="n">
        <v>0.150659</v>
      </c>
    </row>
    <row r="6473">
      <c r="A6473" s="24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5" t="n">
        <v>0.059127</v>
      </c>
    </row>
    <row r="6474">
      <c r="A6474" s="24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5" t="n">
        <v>0.356085</v>
      </c>
    </row>
    <row r="6475">
      <c r="A6475" s="24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5" t="n">
        <v>0.387014</v>
      </c>
    </row>
    <row r="6476">
      <c r="A6476" s="24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5" t="n">
        <v>0.388975</v>
      </c>
    </row>
    <row r="6477">
      <c r="A6477" s="24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5" t="n">
        <v>0.127543</v>
      </c>
    </row>
    <row r="6478">
      <c r="A6478" s="24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5" t="n">
        <v>0.373503</v>
      </c>
    </row>
    <row r="6479">
      <c r="A6479" s="24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5" t="n">
        <v>0.358194</v>
      </c>
    </row>
    <row r="6480">
      <c r="A6480" s="24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5" t="n">
        <v>0.163332</v>
      </c>
    </row>
    <row r="6481">
      <c r="A6481" s="24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5" t="n">
        <v>0.374383</v>
      </c>
    </row>
    <row r="6482">
      <c r="A6482" s="24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5" t="n">
        <v>0.077636</v>
      </c>
    </row>
    <row r="6483">
      <c r="A6483" s="24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5" t="n">
        <v>0.038813</v>
      </c>
    </row>
    <row r="6484">
      <c r="A6484" s="24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5" t="n">
        <v>0.034752</v>
      </c>
    </row>
    <row r="6485">
      <c r="A6485" s="24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5" t="n">
        <v>0.231878</v>
      </c>
    </row>
    <row r="6486">
      <c r="A6486" s="24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5" t="n">
        <v>0.073133</v>
      </c>
    </row>
    <row r="6487">
      <c r="A6487" s="24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5" t="n">
        <v>0.051159</v>
      </c>
    </row>
    <row r="6488">
      <c r="A6488" s="24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5" t="n">
        <v>0.022248</v>
      </c>
    </row>
    <row r="6489">
      <c r="A6489" s="24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5" t="n">
        <v>0.034314</v>
      </c>
    </row>
    <row r="6490">
      <c r="A6490" s="24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5" t="n">
        <v>0.04624</v>
      </c>
    </row>
    <row r="6491">
      <c r="A6491" s="24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5" t="n">
        <v>0.020328</v>
      </c>
    </row>
    <row r="6492">
      <c r="A6492" s="24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5" t="n">
        <v>0.06987</v>
      </c>
    </row>
    <row r="6493">
      <c r="A6493" s="24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5" t="n">
        <v>0.099856</v>
      </c>
    </row>
    <row r="6494">
      <c r="A6494" s="24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5" t="n">
        <v>0.07304099999999999</v>
      </c>
    </row>
    <row r="6495">
      <c r="A6495" s="24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5" t="n">
        <v>0.093223</v>
      </c>
    </row>
    <row r="6496">
      <c r="A6496" s="24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5" t="n">
        <v>0.045716</v>
      </c>
    </row>
    <row r="6497">
      <c r="A6497" s="24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5" t="n">
        <v>0.060079</v>
      </c>
    </row>
    <row r="6498">
      <c r="A6498" s="24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5" t="n">
        <v>0.096442</v>
      </c>
    </row>
    <row r="6499">
      <c r="A6499" s="24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5" t="n">
        <v>0.08068500000000001</v>
      </c>
    </row>
    <row r="6500">
      <c r="A6500" s="24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5" t="n">
        <v>0.042401</v>
      </c>
    </row>
    <row r="6501">
      <c r="A6501" s="24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5" t="n">
        <v>0.059574</v>
      </c>
    </row>
    <row r="6502">
      <c r="A6502" s="24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5" t="n">
        <v>0.012563</v>
      </c>
    </row>
    <row r="6503">
      <c r="A6503" s="24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5" t="n">
        <v>0.006138</v>
      </c>
    </row>
    <row r="6504">
      <c r="A6504" s="24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5" t="n">
        <v>0.003168</v>
      </c>
    </row>
    <row r="6505">
      <c r="A6505" s="24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5" t="n">
        <v>0.08473899999999999</v>
      </c>
    </row>
    <row r="6506">
      <c r="A6506" s="24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5" t="n">
        <v>0.214948</v>
      </c>
    </row>
    <row r="6507">
      <c r="A6507" s="24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5" t="n">
        <v>0.040484</v>
      </c>
    </row>
    <row r="6508">
      <c r="A6508" s="24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5" t="n">
        <v>0.035218</v>
      </c>
    </row>
    <row r="6509">
      <c r="A6509" s="24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5" t="n">
        <v>0.043952</v>
      </c>
    </row>
    <row r="6510">
      <c r="A6510" s="24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5" t="n">
        <v>0.014733</v>
      </c>
    </row>
    <row r="6511">
      <c r="A6511" s="24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5" t="n">
        <v>0.013307</v>
      </c>
    </row>
    <row r="6512">
      <c r="A6512" s="24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5" t="n">
        <v>0.015033</v>
      </c>
    </row>
    <row r="6513">
      <c r="A6513" s="24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5" t="n">
        <v>0.00351</v>
      </c>
    </row>
    <row r="6514">
      <c r="A6514" s="24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5" t="n">
        <v>0.001731</v>
      </c>
    </row>
    <row r="6515">
      <c r="A6515" s="24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5" t="n">
        <v>0.000893</v>
      </c>
    </row>
    <row r="6516">
      <c r="A6516" s="24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5" t="n">
        <v>0.000461</v>
      </c>
    </row>
    <row r="6517">
      <c r="A6517" s="24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5" t="n">
        <v>0.000238</v>
      </c>
    </row>
    <row r="6518">
      <c r="A6518" s="24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5" t="n">
        <v>0.000123</v>
      </c>
    </row>
    <row r="6519">
      <c r="A6519" s="24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5" t="n">
        <v>0.08545899999999999</v>
      </c>
    </row>
    <row r="6520">
      <c r="A6520" s="24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5" t="n">
        <v>0.029231</v>
      </c>
    </row>
    <row r="6521">
      <c r="A6521" s="24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5" t="n">
        <v>0.037786</v>
      </c>
    </row>
    <row r="6522">
      <c r="A6522" s="24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5" t="n">
        <v>0.113608</v>
      </c>
    </row>
    <row r="6523">
      <c r="A6523" s="24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5" t="n">
        <v>0.098744</v>
      </c>
    </row>
    <row r="6524">
      <c r="A6524" s="24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5" t="n">
        <v>0.045477</v>
      </c>
    </row>
    <row r="6525">
      <c r="A6525" s="24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5" t="n">
        <v>0.031989</v>
      </c>
    </row>
    <row r="6526">
      <c r="A6526" s="24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5" t="n">
        <v>0.030099</v>
      </c>
    </row>
    <row r="6527">
      <c r="A6527" s="24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5" t="n">
        <v>0.040006</v>
      </c>
    </row>
    <row r="6528">
      <c r="A6528" s="24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5" t="n">
        <v>0.011387</v>
      </c>
    </row>
    <row r="6529">
      <c r="A6529" s="24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5" t="n">
        <v>0.011971</v>
      </c>
    </row>
    <row r="6530">
      <c r="A6530" s="24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5" t="n">
        <v>0.008156999999999999</v>
      </c>
    </row>
    <row r="6531">
      <c r="A6531" s="24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5" t="n">
        <v>0.00898</v>
      </c>
    </row>
    <row r="6532">
      <c r="A6532" s="24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5" t="n">
        <v>0.125774</v>
      </c>
    </row>
    <row r="6533">
      <c r="A6533" s="24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5" t="n">
        <v>0.094218</v>
      </c>
    </row>
    <row r="6534">
      <c r="A6534" s="24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5" t="n">
        <v>0.023244</v>
      </c>
    </row>
    <row r="6535">
      <c r="A6535" s="24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5" t="n">
        <v>0.040009</v>
      </c>
    </row>
    <row r="6536">
      <c r="A6536" s="24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5" t="n">
        <v>0.040305</v>
      </c>
    </row>
    <row r="6537">
      <c r="A6537" s="24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5" t="n">
        <v>0.042089</v>
      </c>
    </row>
    <row r="6538">
      <c r="A6538" s="24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5" t="n">
        <v>0.029158</v>
      </c>
    </row>
    <row r="6539">
      <c r="A6539" s="24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5" t="n">
        <v>0.027854</v>
      </c>
    </row>
    <row r="6540">
      <c r="A6540" s="24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5" t="n">
        <v>0.045438</v>
      </c>
    </row>
    <row r="6541">
      <c r="A6541" s="24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5" t="n">
        <v>0.031639</v>
      </c>
    </row>
    <row r="6542">
      <c r="A6542" s="24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5" t="n">
        <v>0.06480900000000001</v>
      </c>
    </row>
    <row r="6543">
      <c r="A6543" s="24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5" t="n">
        <v>0.045833</v>
      </c>
    </row>
    <row r="6544">
      <c r="A6544" s="24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5" t="n">
        <v>0.031234</v>
      </c>
    </row>
    <row r="6545">
      <c r="A6545" s="24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5" t="n">
        <v>0.08809500000000001</v>
      </c>
    </row>
    <row r="6546">
      <c r="A6546" s="24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5" t="n">
        <v>0.039885</v>
      </c>
    </row>
    <row r="6547">
      <c r="A6547" s="24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5" t="n">
        <v>0.111497</v>
      </c>
    </row>
    <row r="6548">
      <c r="A6548" s="24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5" t="n">
        <v>0.114121</v>
      </c>
    </row>
    <row r="6549">
      <c r="A6549" s="24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5" t="n">
        <v>0.06404600000000001</v>
      </c>
    </row>
    <row r="6550">
      <c r="A6550" s="24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5" t="n">
        <v>0.031077</v>
      </c>
    </row>
    <row r="6551">
      <c r="A6551" s="24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5" t="n">
        <v>0.089015</v>
      </c>
    </row>
    <row r="6552">
      <c r="A6552" s="24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5" t="n">
        <v>0.027768</v>
      </c>
    </row>
    <row r="6553">
      <c r="A6553" s="24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5" t="n">
        <v>0.022191</v>
      </c>
    </row>
    <row r="6554">
      <c r="A6554" s="24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5" t="n">
        <v>0.019281</v>
      </c>
    </row>
    <row r="6555">
      <c r="A6555" s="24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5" t="n">
        <v>0.014766</v>
      </c>
    </row>
    <row r="6556">
      <c r="A6556" s="24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5" t="n">
        <v>0.015897</v>
      </c>
    </row>
    <row r="6557">
      <c r="A6557" s="24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5" t="n">
        <v>0.012661</v>
      </c>
    </row>
    <row r="6558">
      <c r="A6558" s="24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5" t="n">
        <v>0.014832</v>
      </c>
    </row>
    <row r="6559">
      <c r="A6559" s="24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5" t="n">
        <v>0.007098</v>
      </c>
    </row>
    <row r="6560">
      <c r="A6560" s="24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5" t="n">
        <v>0.013783</v>
      </c>
    </row>
    <row r="6561">
      <c r="A6561" s="24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5" t="n">
        <v>0.017254</v>
      </c>
    </row>
    <row r="6562">
      <c r="A6562" s="24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5" t="n">
        <v>0.039693</v>
      </c>
    </row>
    <row r="6563">
      <c r="A6563" s="24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5" t="n">
        <v>0.029022</v>
      </c>
    </row>
    <row r="6564">
      <c r="A6564" s="24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5" t="n">
        <v>0.168072</v>
      </c>
    </row>
    <row r="6565">
      <c r="A6565" s="24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5" t="n">
        <v>0.312624</v>
      </c>
    </row>
    <row r="6566">
      <c r="A6566" s="24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5" t="n">
        <v>0.08781899999999999</v>
      </c>
    </row>
    <row r="6567">
      <c r="A6567" s="24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5" t="n">
        <v>0.061065</v>
      </c>
    </row>
    <row r="6568">
      <c r="A6568" s="24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5" t="n">
        <v>0.096591</v>
      </c>
    </row>
    <row r="6569">
      <c r="A6569" s="24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5" t="n">
        <v>0.166393</v>
      </c>
    </row>
    <row r="6570">
      <c r="A6570" s="24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5" t="n">
        <v>0.214655</v>
      </c>
    </row>
    <row r="6571">
      <c r="A6571" s="24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5" t="n">
        <v>0.053177</v>
      </c>
    </row>
    <row r="6572">
      <c r="A6572" s="24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5" t="n">
        <v>0.053716</v>
      </c>
    </row>
    <row r="6573">
      <c r="A6573" s="24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5" t="n">
        <v>0.051509</v>
      </c>
    </row>
    <row r="6574">
      <c r="A6574" s="24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5" t="n">
        <v>0.087241</v>
      </c>
    </row>
    <row r="6575">
      <c r="A6575" s="24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5" t="n">
        <v>0.07603</v>
      </c>
    </row>
    <row r="6576">
      <c r="A6576" s="24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5" t="n">
        <v>0.100225</v>
      </c>
    </row>
    <row r="6577">
      <c r="A6577" s="24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5" t="n">
        <v>0.214903</v>
      </c>
    </row>
    <row r="6578">
      <c r="A6578" s="24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5" t="n">
        <v>0.07392700000000001</v>
      </c>
    </row>
    <row r="6579">
      <c r="A6579" s="24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5" t="n">
        <v>0.08956</v>
      </c>
    </row>
    <row r="6580">
      <c r="A6580" s="24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5" t="n">
        <v>0.053011</v>
      </c>
    </row>
    <row r="6581">
      <c r="A6581" s="24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5" t="n">
        <v>0.053832</v>
      </c>
    </row>
    <row r="6582">
      <c r="A6582" s="24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5" t="n">
        <v>0.021721</v>
      </c>
    </row>
    <row r="6583">
      <c r="A6583" s="24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5" t="n">
        <v>0.066177</v>
      </c>
    </row>
    <row r="6584">
      <c r="A6584" s="24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5" t="n">
        <v>0.028656</v>
      </c>
    </row>
    <row r="6585">
      <c r="A6585" s="24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5" t="n">
        <v>0.038521</v>
      </c>
    </row>
    <row r="6586">
      <c r="A6586" s="24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5" t="n">
        <v>0.016218</v>
      </c>
    </row>
    <row r="6587">
      <c r="A6587" s="24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5" t="n">
        <v>0.011682</v>
      </c>
    </row>
    <row r="6588">
      <c r="A6588" s="24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5" t="n">
        <v>0.070229</v>
      </c>
    </row>
    <row r="6589">
      <c r="A6589" s="24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5" t="n">
        <v>0.033618</v>
      </c>
    </row>
    <row r="6590">
      <c r="A6590" s="24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5" t="n">
        <v>0.04105</v>
      </c>
    </row>
    <row r="6591">
      <c r="A6591" s="24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5" t="n">
        <v>0.013318</v>
      </c>
    </row>
    <row r="6592">
      <c r="A6592" s="24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5" t="n">
        <v>0.08523</v>
      </c>
    </row>
    <row r="6593">
      <c r="A6593" s="24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5" t="n">
        <v>0.10459</v>
      </c>
    </row>
    <row r="6594">
      <c r="A6594" s="24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5" t="n">
        <v>0.146682</v>
      </c>
    </row>
    <row r="6595">
      <c r="A6595" s="24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5" t="n">
        <v>0.169648</v>
      </c>
    </row>
    <row r="6596">
      <c r="A6596" s="24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5" t="n">
        <v>0.200956</v>
      </c>
    </row>
    <row r="6597">
      <c r="A6597" s="24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5" t="n">
        <v>0.133721</v>
      </c>
    </row>
    <row r="6598">
      <c r="A6598" s="24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5" t="n">
        <v>0.053027</v>
      </c>
    </row>
    <row r="6599">
      <c r="A6599" s="24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5" t="n">
        <v>0.345606</v>
      </c>
    </row>
    <row r="6600">
      <c r="A6600" s="24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5" t="n">
        <v>0.114459</v>
      </c>
    </row>
    <row r="6601">
      <c r="A6601" s="24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5" t="n">
        <v>0.108288</v>
      </c>
    </row>
    <row r="6602">
      <c r="A6602" s="24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5" t="n">
        <v>0.08539099999999999</v>
      </c>
    </row>
    <row r="6603">
      <c r="A6603" s="24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5" t="n">
        <v>0.069522</v>
      </c>
    </row>
    <row r="6604">
      <c r="A6604" s="24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5" t="n">
        <v>0.037795</v>
      </c>
    </row>
    <row r="6605">
      <c r="A6605" s="24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5" t="n">
        <v>0.126564</v>
      </c>
    </row>
    <row r="6606">
      <c r="A6606" s="24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5" t="n">
        <v>0.058378</v>
      </c>
    </row>
    <row r="6607">
      <c r="A6607" s="24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5" t="n">
        <v>0.153225</v>
      </c>
    </row>
    <row r="6608">
      <c r="A6608" s="24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5" t="n">
        <v>0.107012</v>
      </c>
    </row>
    <row r="6609">
      <c r="A6609" s="24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5" t="n">
        <v>0.173323</v>
      </c>
    </row>
    <row r="6610">
      <c r="A6610" s="24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5" t="n">
        <v>0.281411</v>
      </c>
    </row>
    <row r="6611">
      <c r="A6611" s="24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5" t="n">
        <v>0.060787</v>
      </c>
    </row>
    <row r="6612">
      <c r="A6612" s="24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5" t="n">
        <v>0.059416</v>
      </c>
    </row>
    <row r="6613">
      <c r="A6613" s="24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5" t="n">
        <v>0.042222</v>
      </c>
    </row>
    <row r="6614">
      <c r="A6614" s="24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5" t="n">
        <v>0.019534</v>
      </c>
    </row>
    <row r="6615">
      <c r="A6615" s="24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5" t="n">
        <v>0.027905</v>
      </c>
    </row>
    <row r="6616">
      <c r="A6616" s="24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5" t="n">
        <v>0.011524</v>
      </c>
    </row>
    <row r="6617">
      <c r="A6617" s="24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5" t="n">
        <v>0.050475</v>
      </c>
    </row>
    <row r="6618">
      <c r="A6618" s="24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5" t="n">
        <v>0.028235</v>
      </c>
    </row>
    <row r="6619">
      <c r="A6619" s="24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5" t="n">
        <v>0.029872</v>
      </c>
    </row>
    <row r="6620">
      <c r="A6620" s="24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5" t="n">
        <v>0.013135</v>
      </c>
    </row>
    <row r="6621">
      <c r="A6621" s="24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5" t="n">
        <v>0.011712</v>
      </c>
    </row>
    <row r="6622">
      <c r="A6622" s="24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5" t="n">
        <v>0.02503</v>
      </c>
    </row>
    <row r="6623">
      <c r="A6623" s="24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5" t="n">
        <v>0.046718</v>
      </c>
    </row>
    <row r="6624">
      <c r="A6624" s="24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5" t="n">
        <v>0.073101</v>
      </c>
    </row>
    <row r="6625">
      <c r="A6625" s="24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5" t="n">
        <v>0.020113</v>
      </c>
    </row>
    <row r="6626">
      <c r="A6626" s="24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5" t="n">
        <v>0.119833</v>
      </c>
    </row>
    <row r="6627">
      <c r="A6627" s="24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5" t="n">
        <v>0.024098</v>
      </c>
    </row>
    <row r="6628">
      <c r="A6628" s="24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5" t="n">
        <v>0.021194</v>
      </c>
    </row>
    <row r="6629">
      <c r="A6629" s="24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5" t="n">
        <v>0.017477</v>
      </c>
    </row>
    <row r="6630">
      <c r="A6630" s="24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5" t="n">
        <v>0.010675</v>
      </c>
    </row>
    <row r="6631">
      <c r="A6631" s="24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5" t="n">
        <v>0.011659</v>
      </c>
    </row>
    <row r="6632">
      <c r="A6632" s="24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5" t="n">
        <v>0.007944</v>
      </c>
    </row>
    <row r="6633">
      <c r="A6633" s="24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5" t="n">
        <v>0.003069</v>
      </c>
    </row>
    <row r="6634">
      <c r="A6634" s="24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5" t="n">
        <v>0.001516</v>
      </c>
    </row>
    <row r="6635">
      <c r="A6635" s="24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5" t="n">
        <v>0.003152</v>
      </c>
    </row>
    <row r="6636">
      <c r="A6636" s="24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5" t="n">
        <v>0.009322</v>
      </c>
    </row>
    <row r="6637">
      <c r="A6637" s="24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5" t="n">
        <v>0.012362</v>
      </c>
    </row>
    <row r="6638">
      <c r="A6638" s="24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5" t="n">
        <v>0.026536</v>
      </c>
    </row>
    <row r="6639">
      <c r="A6639" s="24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5" t="n">
        <v>0.331214</v>
      </c>
    </row>
    <row r="6640">
      <c r="A6640" s="24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5" t="n">
        <v>0.094877</v>
      </c>
    </row>
    <row r="6641">
      <c r="A6641" s="24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5" t="n">
        <v>0.355467</v>
      </c>
    </row>
    <row r="6642">
      <c r="A6642" s="24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5" t="n">
        <v>0.100525</v>
      </c>
    </row>
    <row r="6643">
      <c r="A6643" s="24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5" t="n">
        <v>0.23364</v>
      </c>
    </row>
    <row r="6644">
      <c r="A6644" s="24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5" t="n">
        <v>0.17961</v>
      </c>
    </row>
    <row r="6645">
      <c r="A6645" s="24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5" t="n">
        <v>0.139394</v>
      </c>
    </row>
    <row r="6646">
      <c r="A6646" s="24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5" t="n">
        <v>0.362487</v>
      </c>
    </row>
    <row r="6647">
      <c r="A6647" s="24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5" t="n">
        <v>0.390169</v>
      </c>
    </row>
    <row r="6648">
      <c r="A6648" s="24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5" t="n">
        <v>0.358668</v>
      </c>
    </row>
    <row r="6649">
      <c r="A6649" s="24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5" t="n">
        <v>0.260819</v>
      </c>
    </row>
    <row r="6650">
      <c r="A6650" s="24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5" t="n">
        <v>0.113373</v>
      </c>
    </row>
    <row r="6651">
      <c r="A6651" s="24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5" t="n">
        <v>0.251369</v>
      </c>
    </row>
    <row r="6652">
      <c r="A6652" s="24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5" t="n">
        <v>0.377261</v>
      </c>
    </row>
    <row r="6653">
      <c r="A6653" s="24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5" t="n">
        <v>0.209317</v>
      </c>
    </row>
    <row r="6654">
      <c r="A6654" s="24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5" t="n">
        <v>0.076501</v>
      </c>
    </row>
    <row r="6655">
      <c r="A6655" s="24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5" t="n">
        <v>0.038572</v>
      </c>
    </row>
    <row r="6656">
      <c r="A6656" s="24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5" t="n">
        <v>0.016351</v>
      </c>
    </row>
    <row r="6657">
      <c r="A6657" s="24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5" t="n">
        <v>0.008373999999999999</v>
      </c>
    </row>
    <row r="6658">
      <c r="A6658" s="24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5" t="n">
        <v>0.004322</v>
      </c>
    </row>
    <row r="6659">
      <c r="A6659" s="24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5" t="n">
        <v>0.002231</v>
      </c>
    </row>
    <row r="6660">
      <c r="A6660" s="24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5" t="n">
        <v>0.001151</v>
      </c>
    </row>
    <row r="6661">
      <c r="A6661" s="24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5" t="n">
        <v>0.000594</v>
      </c>
    </row>
    <row r="6662">
      <c r="A6662" s="24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5" t="n">
        <v>0.000307</v>
      </c>
    </row>
    <row r="6663">
      <c r="A6663" s="24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5" t="n">
        <v>0.000158</v>
      </c>
    </row>
    <row r="6664">
      <c r="A6664" s="24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5" t="n">
        <v>8.2e-05</v>
      </c>
    </row>
    <row r="6665">
      <c r="A6665" s="24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5" t="n">
        <v>4.2e-05</v>
      </c>
    </row>
    <row r="6666">
      <c r="A6666" s="24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5" t="n">
        <v>0.238199</v>
      </c>
    </row>
    <row r="6667">
      <c r="A6667" s="24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5" t="n">
        <v>0.366528</v>
      </c>
    </row>
    <row r="6668">
      <c r="A6668" s="24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5" t="n">
        <v>0.390049</v>
      </c>
    </row>
    <row r="6669">
      <c r="A6669" s="24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5" t="n">
        <v>0.395333</v>
      </c>
    </row>
    <row r="6670">
      <c r="A6670" s="24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5" t="n">
        <v>0.249458</v>
      </c>
    </row>
    <row r="6671">
      <c r="A6671" s="24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5" t="n">
        <v>0.214672</v>
      </c>
    </row>
    <row r="6672">
      <c r="A6672" s="24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5" t="n">
        <v>0.108144</v>
      </c>
    </row>
    <row r="6673">
      <c r="A6673" s="24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5" t="n">
        <v>0.099731</v>
      </c>
    </row>
    <row r="6674">
      <c r="A6674" s="24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5" t="n">
        <v>0.07956000000000001</v>
      </c>
    </row>
    <row r="6675">
      <c r="A6675" s="24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5" t="n">
        <v>0.103161</v>
      </c>
    </row>
    <row r="6676">
      <c r="A6676" s="24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5" t="n">
        <v>0.04075</v>
      </c>
    </row>
    <row r="6677">
      <c r="A6677" s="24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5" t="n">
        <v>0.031587</v>
      </c>
    </row>
    <row r="6678">
      <c r="A6678" s="24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5" t="n">
        <v>0.022535</v>
      </c>
    </row>
    <row r="6679">
      <c r="A6679" s="24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5" t="n">
        <v>0.040793</v>
      </c>
    </row>
    <row r="6680">
      <c r="A6680" s="24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5" t="n">
        <v>0.024141</v>
      </c>
    </row>
    <row r="6681">
      <c r="A6681" s="24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5" t="n">
        <v>0.195954</v>
      </c>
    </row>
    <row r="6682">
      <c r="A6682" s="24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5" t="n">
        <v>0.147894</v>
      </c>
    </row>
    <row r="6683">
      <c r="A6683" s="24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5" t="n">
        <v>0.250518</v>
      </c>
    </row>
    <row r="6684">
      <c r="A6684" s="24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5" t="n">
        <v>0.190026</v>
      </c>
    </row>
    <row r="6685">
      <c r="A6685" s="24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5" t="n">
        <v>0.07029299999999999</v>
      </c>
    </row>
    <row r="6686">
      <c r="A6686" s="24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5" t="n">
        <v>0.060708</v>
      </c>
    </row>
    <row r="6687">
      <c r="A6687" s="24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5" t="n">
        <v>0.024398</v>
      </c>
    </row>
    <row r="6688">
      <c r="A6688" s="24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5" t="n">
        <v>0.024079</v>
      </c>
    </row>
    <row r="6689">
      <c r="A6689" s="24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5" t="n">
        <v>0.050787</v>
      </c>
    </row>
    <row r="6690">
      <c r="A6690" s="24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5" t="n">
        <v>0.063023</v>
      </c>
    </row>
    <row r="6691">
      <c r="A6691" s="24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5" t="n">
        <v>0.133316</v>
      </c>
    </row>
    <row r="6692">
      <c r="A6692" s="24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5" t="n">
        <v>0.337347</v>
      </c>
    </row>
    <row r="6693">
      <c r="A6693" s="24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5" t="n">
        <v>0.303701</v>
      </c>
    </row>
    <row r="6694">
      <c r="A6694" s="24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5" t="n">
        <v>0.392456</v>
      </c>
    </row>
    <row r="6695">
      <c r="A6695" s="24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5" t="n">
        <v>0.406008</v>
      </c>
    </row>
    <row r="6696">
      <c r="A6696" s="24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5" t="n">
        <v>0.406013</v>
      </c>
    </row>
    <row r="6697">
      <c r="A6697" s="24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5" t="n">
        <v>0.407667</v>
      </c>
    </row>
    <row r="6698">
      <c r="A6698" s="24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5" t="n">
        <v>0.411089</v>
      </c>
    </row>
    <row r="6699">
      <c r="A6699" s="24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5" t="n">
        <v>0.421745</v>
      </c>
    </row>
    <row r="6700">
      <c r="A6700" s="24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5" t="n">
        <v>0.41788</v>
      </c>
    </row>
    <row r="6701">
      <c r="A6701" s="24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5" t="n">
        <v>0.408046</v>
      </c>
    </row>
    <row r="6702">
      <c r="A6702" s="24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5" t="n">
        <v>0.41227</v>
      </c>
    </row>
    <row r="6703">
      <c r="A6703" s="24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5" t="n">
        <v>0.417237</v>
      </c>
    </row>
    <row r="6704">
      <c r="A6704" s="24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5" t="n">
        <v>0.416891</v>
      </c>
    </row>
    <row r="6705">
      <c r="A6705" s="24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5" t="n">
        <v>0.412269</v>
      </c>
    </row>
    <row r="6706">
      <c r="A6706" s="24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5" t="n">
        <v>0.25157</v>
      </c>
    </row>
    <row r="6707">
      <c r="A6707" s="24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5" t="n">
        <v>0.078763</v>
      </c>
    </row>
    <row r="6708">
      <c r="A6708" s="24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5" t="n">
        <v>0.070021</v>
      </c>
    </row>
    <row r="6709">
      <c r="A6709" s="24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5" t="n">
        <v>0.07693</v>
      </c>
    </row>
    <row r="6710">
      <c r="A6710" s="24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5" t="n">
        <v>0.028009</v>
      </c>
    </row>
    <row r="6711">
      <c r="A6711" s="24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5" t="n">
        <v>0.023367</v>
      </c>
    </row>
    <row r="6712">
      <c r="A6712" s="24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5" t="n">
        <v>0.047661</v>
      </c>
    </row>
    <row r="6713">
      <c r="A6713" s="24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5" t="n">
        <v>0.095614</v>
      </c>
    </row>
    <row r="6714">
      <c r="A6714" s="24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5" t="n">
        <v>0.07682899999999999</v>
      </c>
    </row>
    <row r="6715">
      <c r="A6715" s="24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5" t="n">
        <v>0.346721</v>
      </c>
    </row>
    <row r="6716">
      <c r="A6716" s="24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5" t="n">
        <v>0.385183</v>
      </c>
    </row>
    <row r="6717">
      <c r="A6717" s="24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5" t="n">
        <v>0.393921</v>
      </c>
    </row>
    <row r="6718">
      <c r="A6718" s="24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5" t="n">
        <v>0.164021</v>
      </c>
    </row>
    <row r="6719">
      <c r="A6719" s="24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5" t="n">
        <v>0.0901</v>
      </c>
    </row>
    <row r="6720">
      <c r="A6720" s="24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5" t="n">
        <v>0.101649</v>
      </c>
    </row>
    <row r="6721">
      <c r="A6721" s="24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5" t="n">
        <v>0.228474</v>
      </c>
    </row>
    <row r="6722">
      <c r="A6722" s="24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5" t="n">
        <v>0.363628</v>
      </c>
    </row>
    <row r="6723">
      <c r="A6723" s="24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5" t="n">
        <v>0.39501</v>
      </c>
    </row>
    <row r="6724">
      <c r="A6724" s="24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5" t="n">
        <v>0.403091</v>
      </c>
    </row>
    <row r="6725">
      <c r="A6725" s="24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5" t="n">
        <v>0.158785</v>
      </c>
    </row>
    <row r="6726">
      <c r="A6726" s="24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5" t="n">
        <v>0.078581</v>
      </c>
    </row>
    <row r="6727">
      <c r="A6727" s="24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5" t="n">
        <v>0.209021</v>
      </c>
    </row>
    <row r="6728">
      <c r="A6728" s="24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5" t="n">
        <v>0.171338</v>
      </c>
    </row>
    <row r="6729">
      <c r="A6729" s="24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5" t="n">
        <v>0.116964</v>
      </c>
    </row>
    <row r="6730">
      <c r="A6730" s="24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5" t="n">
        <v>0.358764</v>
      </c>
    </row>
    <row r="6731">
      <c r="A6731" s="24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5" t="n">
        <v>0.389631</v>
      </c>
    </row>
    <row r="6732">
      <c r="A6732" s="24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5" t="n">
        <v>0.399226</v>
      </c>
    </row>
    <row r="6733">
      <c r="A6733" s="24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5" t="n">
        <v>0.414844</v>
      </c>
    </row>
    <row r="6734">
      <c r="A6734" s="24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5" t="n">
        <v>0.461981</v>
      </c>
    </row>
    <row r="6735">
      <c r="A6735" s="24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5" t="n">
        <v>1.199811</v>
      </c>
    </row>
    <row r="6736">
      <c r="A6736" s="24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5" t="n">
        <v>1.586223</v>
      </c>
    </row>
    <row r="6737">
      <c r="A6737" s="24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5" t="n">
        <v>0.839679</v>
      </c>
    </row>
    <row r="6738">
      <c r="A6738" s="24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5" t="n">
        <v>0.41039</v>
      </c>
    </row>
    <row r="6739">
      <c r="A6739" s="24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5" t="n">
        <v>0.409411</v>
      </c>
    </row>
    <row r="6740">
      <c r="A6740" s="24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5" t="n">
        <v>0.409382</v>
      </c>
    </row>
    <row r="6741">
      <c r="A6741" s="24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5" t="n">
        <v>0.413318</v>
      </c>
    </row>
    <row r="6742">
      <c r="A6742" s="24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5" t="n">
        <v>0.404311</v>
      </c>
    </row>
    <row r="6743">
      <c r="A6743" s="24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5" t="n">
        <v>0.186785</v>
      </c>
    </row>
    <row r="6744">
      <c r="A6744" s="24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5" t="n">
        <v>0.254662</v>
      </c>
    </row>
    <row r="6745">
      <c r="A6745" s="24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5" t="n">
        <v>0.30156</v>
      </c>
    </row>
    <row r="6746">
      <c r="A6746" s="24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5" t="n">
        <v>0.210664</v>
      </c>
    </row>
    <row r="6747">
      <c r="A6747" s="24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5" t="n">
        <v>0.118744</v>
      </c>
    </row>
    <row r="6748">
      <c r="A6748" s="24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5" t="n">
        <v>0.120125</v>
      </c>
    </row>
    <row r="6749">
      <c r="A6749" s="24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5" t="n">
        <v>0.036326</v>
      </c>
    </row>
    <row r="6750">
      <c r="A6750" s="24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5" t="n">
        <v>0.037739</v>
      </c>
    </row>
    <row r="6751">
      <c r="A6751" s="24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5" t="n">
        <v>0.018034</v>
      </c>
    </row>
    <row r="6752">
      <c r="A6752" s="24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5" t="n">
        <v>0.016364</v>
      </c>
    </row>
    <row r="6753">
      <c r="A6753" s="24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5" t="n">
        <v>0.102457</v>
      </c>
    </row>
    <row r="6754">
      <c r="A6754" s="24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5" t="n">
        <v>0.07928499999999999</v>
      </c>
    </row>
    <row r="6755">
      <c r="A6755" s="24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5" t="n">
        <v>0.059185</v>
      </c>
    </row>
    <row r="6756">
      <c r="A6756" s="24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5" t="n">
        <v>0.049221</v>
      </c>
    </row>
    <row r="6757">
      <c r="A6757" s="24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5" t="n">
        <v>0.023338</v>
      </c>
    </row>
    <row r="6758">
      <c r="A6758" s="24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5" t="n">
        <v>0.026948</v>
      </c>
    </row>
    <row r="6759">
      <c r="A6759" s="24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5" t="n">
        <v>0.190841</v>
      </c>
    </row>
    <row r="6760">
      <c r="A6760" s="24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5" t="n">
        <v>0.164169</v>
      </c>
    </row>
    <row r="6761">
      <c r="A6761" s="24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5" t="n">
        <v>0.361854</v>
      </c>
    </row>
    <row r="6762">
      <c r="A6762" s="24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5" t="n">
        <v>0.39022</v>
      </c>
    </row>
    <row r="6763">
      <c r="A6763" s="24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5" t="n">
        <v>0.283457</v>
      </c>
    </row>
    <row r="6764">
      <c r="A6764" s="24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5" t="n">
        <v>0.128277</v>
      </c>
    </row>
    <row r="6765">
      <c r="A6765" s="24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5" t="n">
        <v>0.066303</v>
      </c>
    </row>
    <row r="6766">
      <c r="A6766" s="24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5" t="n">
        <v>0.042829</v>
      </c>
    </row>
    <row r="6767">
      <c r="A6767" s="24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5" t="n">
        <v>0.055092</v>
      </c>
    </row>
    <row r="6768">
      <c r="A6768" s="24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5" t="n">
        <v>0.038595</v>
      </c>
    </row>
    <row r="6769">
      <c r="A6769" s="24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5" t="n">
        <v>0.050102</v>
      </c>
    </row>
    <row r="6770">
      <c r="A6770" s="24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5" t="n">
        <v>0.07463500000000001</v>
      </c>
    </row>
    <row r="6771">
      <c r="A6771" s="24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5" t="n">
        <v>0.01672</v>
      </c>
    </row>
    <row r="6772">
      <c r="A6772" s="24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5" t="n">
        <v>0.009612000000000001</v>
      </c>
    </row>
    <row r="6773">
      <c r="A6773" s="24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5" t="n">
        <v>0.011642</v>
      </c>
    </row>
    <row r="6774">
      <c r="A6774" s="24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5" t="n">
        <v>0.004861</v>
      </c>
    </row>
    <row r="6775">
      <c r="A6775" s="24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5" t="n">
        <v>0.070618</v>
      </c>
    </row>
    <row r="6776">
      <c r="A6776" s="24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5" t="n">
        <v>0.064862</v>
      </c>
    </row>
    <row r="6777">
      <c r="A6777" s="24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5" t="n">
        <v>0.08513800000000001</v>
      </c>
    </row>
    <row r="6778">
      <c r="A6778" s="24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5" t="n">
        <v>0.050662</v>
      </c>
    </row>
    <row r="6779">
      <c r="A6779" s="24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5" t="n">
        <v>0.019307</v>
      </c>
    </row>
    <row r="6780">
      <c r="A6780" s="24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5" t="n">
        <v>0.023479</v>
      </c>
    </row>
    <row r="6781">
      <c r="A6781" s="24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5" t="n">
        <v>0.020044</v>
      </c>
    </row>
    <row r="6782">
      <c r="A6782" s="24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5" t="n">
        <v>0.038765</v>
      </c>
    </row>
    <row r="6783">
      <c r="A6783" s="24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5" t="n">
        <v>0.016247</v>
      </c>
    </row>
    <row r="6784">
      <c r="A6784" s="24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5" t="n">
        <v>0.041805</v>
      </c>
    </row>
    <row r="6785">
      <c r="A6785" s="24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5" t="n">
        <v>0.069897</v>
      </c>
    </row>
    <row r="6786">
      <c r="A6786" s="24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5" t="n">
        <v>0.035577</v>
      </c>
    </row>
    <row r="6787">
      <c r="A6787" s="24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5" t="n">
        <v>0.019154</v>
      </c>
    </row>
    <row r="6788">
      <c r="A6788" s="24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5" t="n">
        <v>0.010442</v>
      </c>
    </row>
    <row r="6789">
      <c r="A6789" s="24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5" t="n">
        <v>0.020048</v>
      </c>
    </row>
    <row r="6790">
      <c r="A6790" s="24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5" t="n">
        <v>0.028004</v>
      </c>
    </row>
    <row r="6791">
      <c r="A6791" s="24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5" t="n">
        <v>0.013794</v>
      </c>
    </row>
    <row r="6792">
      <c r="A6792" s="24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5" t="n">
        <v>0.014354</v>
      </c>
    </row>
    <row r="6793">
      <c r="A6793" s="24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5" t="n">
        <v>0.009473000000000001</v>
      </c>
    </row>
    <row r="6794">
      <c r="A6794" s="24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5" t="n">
        <v>0.036743</v>
      </c>
    </row>
    <row r="6795">
      <c r="A6795" s="24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5" t="n">
        <v>0.040688</v>
      </c>
    </row>
    <row r="6796">
      <c r="A6796" s="24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5" t="n">
        <v>0.05958</v>
      </c>
    </row>
    <row r="6797">
      <c r="A6797" s="24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5" t="n">
        <v>0.02697</v>
      </c>
    </row>
    <row r="6798">
      <c r="A6798" s="24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5" t="n">
        <v>0.040713</v>
      </c>
    </row>
    <row r="6799">
      <c r="A6799" s="24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5" t="n">
        <v>0.047601</v>
      </c>
    </row>
    <row r="6800">
      <c r="A6800" s="24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5" t="n">
        <v>0.051698</v>
      </c>
    </row>
    <row r="6801">
      <c r="A6801" s="24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5" t="n">
        <v>0.031829</v>
      </c>
    </row>
    <row r="6802">
      <c r="A6802" s="24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5" t="n">
        <v>0.020658</v>
      </c>
    </row>
    <row r="6803">
      <c r="A6803" s="24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5" t="n">
        <v>0.018534</v>
      </c>
    </row>
    <row r="6804">
      <c r="A6804" s="24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5" t="n">
        <v>0.021178</v>
      </c>
    </row>
    <row r="6805">
      <c r="A6805" s="24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5" t="n">
        <v>0.09683</v>
      </c>
    </row>
    <row r="6806">
      <c r="A6806" s="24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5" t="n">
        <v>0.040219</v>
      </c>
    </row>
    <row r="6807">
      <c r="A6807" s="24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5" t="n">
        <v>0.062312</v>
      </c>
    </row>
    <row r="6808">
      <c r="A6808" s="24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5" t="n">
        <v>0.234435</v>
      </c>
    </row>
    <row r="6809">
      <c r="A6809" s="24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5" t="n">
        <v>0.064184</v>
      </c>
    </row>
    <row r="6810">
      <c r="A6810" s="24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5" t="n">
        <v>0.030988</v>
      </c>
    </row>
    <row r="6811">
      <c r="A6811" s="24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5" t="n">
        <v>0.02443</v>
      </c>
    </row>
    <row r="6812">
      <c r="A6812" s="24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5" t="n">
        <v>0.071018</v>
      </c>
    </row>
    <row r="6813">
      <c r="A6813" s="24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5" t="n">
        <v>0.082996</v>
      </c>
    </row>
    <row r="6814">
      <c r="A6814" s="24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5" t="n">
        <v>0.042518</v>
      </c>
    </row>
    <row r="6815">
      <c r="A6815" s="24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5" t="n">
        <v>0.047878</v>
      </c>
    </row>
    <row r="6816">
      <c r="A6816" s="24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5" t="n">
        <v>0.030978</v>
      </c>
    </row>
    <row r="6817">
      <c r="A6817" s="24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5" t="n">
        <v>0.012813</v>
      </c>
    </row>
    <row r="6818">
      <c r="A6818" s="24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5" t="n">
        <v>0.01439</v>
      </c>
    </row>
    <row r="6819">
      <c r="A6819" s="24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5" t="n">
        <v>0.079858</v>
      </c>
    </row>
    <row r="6820">
      <c r="A6820" s="24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5" t="n">
        <v>0.039651</v>
      </c>
    </row>
    <row r="6821">
      <c r="A6821" s="24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5" t="n">
        <v>0.082133</v>
      </c>
    </row>
    <row r="6822">
      <c r="A6822" s="24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5" t="n">
        <v>0.016019</v>
      </c>
    </row>
    <row r="6823">
      <c r="A6823" s="24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5" t="n">
        <v>0.008756999999999999</v>
      </c>
    </row>
    <row r="6824">
      <c r="A6824" s="24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5" t="n">
        <v>0.023471</v>
      </c>
    </row>
    <row r="6825">
      <c r="A6825" s="24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5" t="n">
        <v>0.081355</v>
      </c>
    </row>
    <row r="6826">
      <c r="A6826" s="24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5" t="n">
        <v>0.068537</v>
      </c>
    </row>
    <row r="6827">
      <c r="A6827" s="24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5" t="n">
        <v>0.019257</v>
      </c>
    </row>
    <row r="6828">
      <c r="A6828" s="24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5" t="n">
        <v>0.014001</v>
      </c>
    </row>
    <row r="6829">
      <c r="A6829" s="24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5" t="n">
        <v>0.016547</v>
      </c>
    </row>
    <row r="6830">
      <c r="A6830" s="24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5" t="n">
        <v>0.004022</v>
      </c>
    </row>
    <row r="6831">
      <c r="A6831" s="24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5" t="n">
        <v>0.00199</v>
      </c>
    </row>
    <row r="6832">
      <c r="A6832" s="24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5" t="n">
        <v>0.001027</v>
      </c>
    </row>
    <row r="6833">
      <c r="A6833" s="24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5" t="n">
        <v>0.00053</v>
      </c>
    </row>
    <row r="6834">
      <c r="A6834" s="24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5" t="n">
        <v>0.000274</v>
      </c>
    </row>
    <row r="6835">
      <c r="A6835" s="24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5" t="n">
        <v>0.000141</v>
      </c>
    </row>
    <row r="6836">
      <c r="A6836" s="24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5" t="n">
        <v>0.09325600000000001</v>
      </c>
    </row>
    <row r="6837">
      <c r="A6837" s="24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5" t="n">
        <v>0.167411</v>
      </c>
    </row>
    <row r="6838">
      <c r="A6838" s="24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5" t="n">
        <v>0.049051</v>
      </c>
    </row>
    <row r="6839">
      <c r="A6839" s="24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5" t="n">
        <v>0.096211</v>
      </c>
    </row>
    <row r="6840">
      <c r="A6840" s="24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5" t="n">
        <v>0.050668</v>
      </c>
    </row>
    <row r="6841">
      <c r="A6841" s="24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5" t="n">
        <v>0.08055</v>
      </c>
    </row>
    <row r="6842">
      <c r="A6842" s="24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5" t="n">
        <v>0.051599</v>
      </c>
    </row>
    <row r="6843">
      <c r="A6843" s="24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5" t="n">
        <v>0.026766</v>
      </c>
    </row>
    <row r="6844">
      <c r="A6844" s="24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5" t="n">
        <v>0.026393</v>
      </c>
    </row>
    <row r="6845">
      <c r="A6845" s="24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5" t="n">
        <v>0.031016</v>
      </c>
    </row>
    <row r="6846">
      <c r="A6846" s="24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5" t="n">
        <v>0.030182</v>
      </c>
    </row>
    <row r="6847">
      <c r="A6847" s="24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5" t="n">
        <v>0.022361</v>
      </c>
    </row>
    <row r="6848">
      <c r="A6848" s="24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5" t="n">
        <v>0.318882</v>
      </c>
    </row>
    <row r="6849">
      <c r="A6849" s="24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5" t="n">
        <v>0.376408</v>
      </c>
    </row>
    <row r="6850">
      <c r="A6850" s="24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5" t="n">
        <v>0.380513</v>
      </c>
    </row>
    <row r="6851">
      <c r="A6851" s="24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5" t="n">
        <v>0.168317</v>
      </c>
    </row>
    <row r="6852">
      <c r="A6852" s="24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5" t="n">
        <v>0.119232</v>
      </c>
    </row>
    <row r="6853">
      <c r="A6853" s="24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5" t="n">
        <v>0.114683</v>
      </c>
    </row>
    <row r="6854">
      <c r="A6854" s="24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5" t="n">
        <v>0.172038</v>
      </c>
    </row>
    <row r="6855">
      <c r="A6855" s="24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5" t="n">
        <v>0.330576</v>
      </c>
    </row>
    <row r="6856">
      <c r="A6856" s="24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5" t="n">
        <v>0.24047</v>
      </c>
    </row>
    <row r="6857">
      <c r="A6857" s="24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5" t="n">
        <v>0.221313</v>
      </c>
    </row>
    <row r="6858">
      <c r="A6858" s="24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5" t="n">
        <v>0.131608</v>
      </c>
    </row>
    <row r="6859">
      <c r="A6859" s="24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5" t="n">
        <v>0.060581</v>
      </c>
    </row>
    <row r="6860">
      <c r="A6860" s="24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5" t="n">
        <v>0.106295</v>
      </c>
    </row>
    <row r="6861">
      <c r="A6861" s="24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5" t="n">
        <v>0.212402</v>
      </c>
    </row>
    <row r="6862">
      <c r="A6862" s="24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5" t="n">
        <v>0.366089</v>
      </c>
    </row>
    <row r="6863">
      <c r="A6863" s="24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5" t="n">
        <v>0.391818</v>
      </c>
    </row>
    <row r="6864">
      <c r="A6864" s="24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5" t="n">
        <v>0.290785</v>
      </c>
    </row>
    <row r="6865">
      <c r="A6865" s="24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5" t="n">
        <v>0.370736</v>
      </c>
    </row>
    <row r="6866">
      <c r="A6866" s="24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5" t="n">
        <v>0.403566</v>
      </c>
    </row>
    <row r="6867">
      <c r="A6867" s="24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5" t="n">
        <v>0.246499</v>
      </c>
    </row>
    <row r="6868">
      <c r="A6868" s="24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5" t="n">
        <v>0.117808</v>
      </c>
    </row>
    <row r="6869">
      <c r="A6869" s="24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5" t="n">
        <v>0.097261</v>
      </c>
    </row>
    <row r="6870">
      <c r="A6870" s="24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5" t="n">
        <v>0.354543</v>
      </c>
    </row>
    <row r="6871">
      <c r="A6871" s="24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5" t="n">
        <v>0.218039</v>
      </c>
    </row>
    <row r="6872">
      <c r="A6872" s="24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5" t="n">
        <v>0.062745</v>
      </c>
    </row>
    <row r="6873">
      <c r="A6873" s="24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5" t="n">
        <v>0.034088</v>
      </c>
    </row>
    <row r="6874">
      <c r="A6874" s="24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5" t="n">
        <v>0.039908</v>
      </c>
    </row>
    <row r="6875">
      <c r="A6875" s="24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5" t="n">
        <v>0.106698</v>
      </c>
    </row>
    <row r="6876">
      <c r="A6876" s="24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5" t="n">
        <v>0.348514</v>
      </c>
    </row>
    <row r="6877">
      <c r="A6877" s="24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5" t="n">
        <v>0.354624</v>
      </c>
    </row>
    <row r="6878">
      <c r="A6878" s="24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5" t="n">
        <v>0.147134</v>
      </c>
    </row>
    <row r="6879">
      <c r="A6879" s="24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5" t="n">
        <v>0.046705</v>
      </c>
    </row>
    <row r="6880">
      <c r="A6880" s="24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5" t="n">
        <v>0.112845</v>
      </c>
    </row>
    <row r="6881">
      <c r="A6881" s="24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5" t="n">
        <v>0.351474</v>
      </c>
    </row>
    <row r="6882">
      <c r="A6882" s="24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5" t="n">
        <v>0.20524</v>
      </c>
    </row>
    <row r="6883">
      <c r="A6883" s="24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5" t="n">
        <v>0.054192</v>
      </c>
    </row>
    <row r="6884">
      <c r="A6884" s="24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5" t="n">
        <v>0.035689</v>
      </c>
    </row>
    <row r="6885">
      <c r="A6885" s="24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5" t="n">
        <v>0.037687</v>
      </c>
    </row>
    <row r="6886">
      <c r="A6886" s="24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5" t="n">
        <v>0.153566</v>
      </c>
    </row>
    <row r="6887">
      <c r="A6887" s="24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5" t="n">
        <v>0.06902999999999999</v>
      </c>
    </row>
    <row r="6888">
      <c r="A6888" s="24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5" t="n">
        <v>0.040003</v>
      </c>
    </row>
    <row r="6889">
      <c r="A6889" s="24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5" t="n">
        <v>0.014306</v>
      </c>
    </row>
    <row r="6890">
      <c r="A6890" s="24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5" t="n">
        <v>0.010596</v>
      </c>
    </row>
    <row r="6891">
      <c r="A6891" s="24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5" t="n">
        <v>0.015704</v>
      </c>
    </row>
    <row r="6892">
      <c r="A6892" s="24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5" t="n">
        <v>0.014988</v>
      </c>
    </row>
    <row r="6893">
      <c r="A6893" s="24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5" t="n">
        <v>0.007672</v>
      </c>
    </row>
    <row r="6894">
      <c r="A6894" s="24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5" t="n">
        <v>0.026622</v>
      </c>
    </row>
    <row r="6895">
      <c r="A6895" s="24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5" t="n">
        <v>0.004535</v>
      </c>
    </row>
    <row r="6896">
      <c r="A6896" s="24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5" t="n">
        <v>0.002148</v>
      </c>
    </row>
    <row r="6897">
      <c r="A6897" s="24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5" t="n">
        <v>0.001108</v>
      </c>
    </row>
    <row r="6898">
      <c r="A6898" s="24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5" t="n">
        <v>0.000572</v>
      </c>
    </row>
    <row r="6899">
      <c r="A6899" s="24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5" t="n">
        <v>0.000295</v>
      </c>
    </row>
    <row r="6900">
      <c r="A6900" s="24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5" t="n">
        <v>0.064121</v>
      </c>
    </row>
    <row r="6901">
      <c r="A6901" s="24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5" t="n">
        <v>0.023103</v>
      </c>
    </row>
    <row r="6902">
      <c r="A6902" s="24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5" t="n">
        <v>0.006099</v>
      </c>
    </row>
    <row r="6903">
      <c r="A6903" s="24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5" t="n">
        <v>0.003045</v>
      </c>
    </row>
    <row r="6904">
      <c r="A6904" s="24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5" t="n">
        <v>0.001571</v>
      </c>
    </row>
    <row r="6905">
      <c r="A6905" s="24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5" t="n">
        <v>0.000811</v>
      </c>
    </row>
    <row r="6906">
      <c r="A6906" s="24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5" t="n">
        <v>0.000419</v>
      </c>
    </row>
    <row r="6907">
      <c r="A6907" s="24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5" t="n">
        <v>0.000216</v>
      </c>
    </row>
    <row r="6908">
      <c r="A6908" s="24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5" t="n">
        <v>0.000112</v>
      </c>
    </row>
    <row r="6909">
      <c r="A6909" s="24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5" t="n">
        <v>5.8e-05</v>
      </c>
    </row>
    <row r="6910">
      <c r="A6910" s="24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5" t="n">
        <v>3e-05</v>
      </c>
    </row>
    <row r="6911">
      <c r="A6911" s="24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5" t="n">
        <v>1.5e-05</v>
      </c>
    </row>
    <row r="6912">
      <c r="A6912" s="24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5" t="n">
        <v>8e-06</v>
      </c>
    </row>
    <row r="6913">
      <c r="A6913" s="24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5" t="n">
        <v>4e-06</v>
      </c>
    </row>
    <row r="6914">
      <c r="A6914" s="24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5" t="n">
        <v>2e-06</v>
      </c>
    </row>
    <row r="6915">
      <c r="A6915" s="24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5" t="n">
        <v>1e-06</v>
      </c>
    </row>
    <row r="6916">
      <c r="A6916" s="24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5" t="n">
        <v>1e-06</v>
      </c>
    </row>
    <row r="6917">
      <c r="A6917" s="24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5" t="n">
        <v>0</v>
      </c>
    </row>
    <row r="6918">
      <c r="A6918" s="24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5" t="n">
        <v>0</v>
      </c>
    </row>
    <row r="6919">
      <c r="A6919" s="24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5" t="n">
        <v>0.003471</v>
      </c>
    </row>
    <row r="6920">
      <c r="A6920" s="24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5" t="n">
        <v>0.046329</v>
      </c>
    </row>
    <row r="6921">
      <c r="A6921" s="24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5" t="n">
        <v>0.07840900000000001</v>
      </c>
    </row>
    <row r="6922">
      <c r="A6922" s="24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5" t="n">
        <v>0.02978</v>
      </c>
    </row>
    <row r="6923">
      <c r="A6923" s="24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5" t="n">
        <v>0.033071</v>
      </c>
    </row>
    <row r="6924">
      <c r="A6924" s="24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5" t="n">
        <v>0.014453</v>
      </c>
    </row>
    <row r="6925">
      <c r="A6925" s="24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5" t="n">
        <v>0.011452</v>
      </c>
    </row>
    <row r="6926">
      <c r="A6926" s="24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5" t="n">
        <v>0.066521</v>
      </c>
    </row>
    <row r="6927">
      <c r="A6927" s="24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5" t="n">
        <v>0.026787</v>
      </c>
    </row>
    <row r="6928">
      <c r="A6928" s="24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5" t="n">
        <v>0.015625</v>
      </c>
    </row>
    <row r="6929">
      <c r="A6929" s="24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5" t="n">
        <v>0.013763</v>
      </c>
    </row>
    <row r="6930">
      <c r="A6930" s="24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5" t="n">
        <v>0.015561</v>
      </c>
    </row>
    <row r="6931">
      <c r="A6931" s="24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5" t="n">
        <v>0.007475</v>
      </c>
    </row>
    <row r="6932">
      <c r="A6932" s="24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5" t="n">
        <v>0.01765</v>
      </c>
    </row>
    <row r="6933">
      <c r="A6933" s="24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5" t="n">
        <v>0.016671</v>
      </c>
    </row>
    <row r="6934">
      <c r="A6934" s="24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5" t="n">
        <v>0.011661</v>
      </c>
    </row>
    <row r="6935">
      <c r="A6935" s="24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5" t="n">
        <v>0.0345</v>
      </c>
    </row>
    <row r="6936">
      <c r="A6936" s="24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5" t="n">
        <v>0.022745</v>
      </c>
    </row>
    <row r="6937">
      <c r="A6937" s="24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5" t="n">
        <v>0.02034</v>
      </c>
    </row>
    <row r="6938">
      <c r="A6938" s="24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5" t="n">
        <v>0.100981</v>
      </c>
    </row>
    <row r="6939">
      <c r="A6939" s="24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5" t="n">
        <v>0.019426</v>
      </c>
    </row>
    <row r="6940">
      <c r="A6940" s="24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5" t="n">
        <v>0.025981</v>
      </c>
    </row>
    <row r="6941">
      <c r="A6941" s="24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5" t="n">
        <v>0.014748</v>
      </c>
    </row>
    <row r="6942">
      <c r="A6942" s="24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5" t="n">
        <v>0.019475</v>
      </c>
    </row>
    <row r="6943">
      <c r="A6943" s="24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5" t="n">
        <v>0.004286</v>
      </c>
    </row>
    <row r="6944">
      <c r="A6944" s="24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5" t="n">
        <v>0.002102</v>
      </c>
    </row>
    <row r="6945">
      <c r="A6945" s="24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5" t="n">
        <v>0.001085</v>
      </c>
    </row>
    <row r="6946">
      <c r="A6946" s="24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5" t="n">
        <v>0.278897</v>
      </c>
    </row>
    <row r="6947">
      <c r="A6947" s="24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5" t="n">
        <v>0.143125</v>
      </c>
    </row>
    <row r="6948">
      <c r="A6948" s="24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5" t="n">
        <v>0.140423</v>
      </c>
    </row>
    <row r="6949">
      <c r="A6949" s="24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5" t="n">
        <v>0.052089</v>
      </c>
    </row>
    <row r="6950">
      <c r="A6950" s="24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5" t="n">
        <v>0.029061</v>
      </c>
    </row>
    <row r="6951">
      <c r="A6951" s="24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5" t="n">
        <v>0.054928</v>
      </c>
    </row>
    <row r="6952">
      <c r="A6952" s="24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5" t="n">
        <v>0.06550300000000001</v>
      </c>
    </row>
    <row r="6953">
      <c r="A6953" s="24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5" t="n">
        <v>0.058947</v>
      </c>
    </row>
    <row r="6954">
      <c r="A6954" s="24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5" t="n">
        <v>0.035969</v>
      </c>
    </row>
    <row r="6955">
      <c r="A6955" s="24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5" t="n">
        <v>0.055125</v>
      </c>
    </row>
    <row r="6956">
      <c r="A6956" s="24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5" t="n">
        <v>0.150579</v>
      </c>
    </row>
    <row r="6957">
      <c r="A6957" s="24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5" t="n">
        <v>0.092502</v>
      </c>
    </row>
    <row r="6958">
      <c r="A6958" s="24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5" t="n">
        <v>0.050785</v>
      </c>
    </row>
    <row r="6959">
      <c r="A6959" s="24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5" t="n">
        <v>0.037649</v>
      </c>
    </row>
    <row r="6960">
      <c r="A6960" s="24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5" t="n">
        <v>0.033756</v>
      </c>
    </row>
    <row r="6961">
      <c r="A6961" s="24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5" t="n">
        <v>0.027605</v>
      </c>
    </row>
    <row r="6962">
      <c r="A6962" s="24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5" t="n">
        <v>0.014545</v>
      </c>
    </row>
    <row r="6963">
      <c r="A6963" s="24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5" t="n">
        <v>0.004537</v>
      </c>
    </row>
    <row r="6964">
      <c r="A6964" s="24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5" t="n">
        <v>0.002255</v>
      </c>
    </row>
    <row r="6965">
      <c r="A6965" s="24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5" t="n">
        <v>0.001163</v>
      </c>
    </row>
    <row r="6966">
      <c r="A6966" s="24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5" t="n">
        <v>0.0005999999999999999</v>
      </c>
    </row>
    <row r="6967">
      <c r="A6967" s="24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5" t="n">
        <v>0.00031</v>
      </c>
    </row>
    <row r="6968">
      <c r="A6968" s="24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5" t="n">
        <v>0.00016</v>
      </c>
    </row>
    <row r="6969">
      <c r="A6969" s="24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5" t="n">
        <v>8.3e-05</v>
      </c>
    </row>
    <row r="6970">
      <c r="A6970" s="24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5" t="n">
        <v>4.3e-05</v>
      </c>
    </row>
    <row r="6971">
      <c r="A6971" s="24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5" t="n">
        <v>2.2e-05</v>
      </c>
    </row>
    <row r="6972">
      <c r="A6972" s="24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5" t="n">
        <v>1.1e-05</v>
      </c>
    </row>
    <row r="6973">
      <c r="A6973" s="24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5" t="n">
        <v>6e-06</v>
      </c>
    </row>
    <row r="6974">
      <c r="A6974" s="24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5" t="n">
        <v>3e-06</v>
      </c>
    </row>
    <row r="6975">
      <c r="A6975" s="24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5" t="n">
        <v>2e-06</v>
      </c>
    </row>
    <row r="6976">
      <c r="A6976" s="24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5" t="n">
        <v>0.040037</v>
      </c>
    </row>
    <row r="6977">
      <c r="A6977" s="24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5" t="n">
        <v>0.028077</v>
      </c>
    </row>
    <row r="6978">
      <c r="A6978" s="24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5" t="n">
        <v>0.035357</v>
      </c>
    </row>
    <row r="6979">
      <c r="A6979" s="24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5" t="n">
        <v>0.041787</v>
      </c>
    </row>
    <row r="6980">
      <c r="A6980" s="24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5" t="n">
        <v>0.03481</v>
      </c>
    </row>
    <row r="6981">
      <c r="A6981" s="24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5" t="n">
        <v>0.022572</v>
      </c>
    </row>
    <row r="6982">
      <c r="A6982" s="24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5" t="n">
        <v>0.006003</v>
      </c>
    </row>
    <row r="6983">
      <c r="A6983" s="24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5" t="n">
        <v>0.007492</v>
      </c>
    </row>
    <row r="6984">
      <c r="A6984" s="24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5" t="n">
        <v>0.027498</v>
      </c>
    </row>
    <row r="6985">
      <c r="A6985" s="24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5" t="n">
        <v>0.009897</v>
      </c>
    </row>
    <row r="6986">
      <c r="A6986" s="24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5" t="n">
        <v>0.004437</v>
      </c>
    </row>
    <row r="6987">
      <c r="A6987" s="24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5" t="n">
        <v>0.004534</v>
      </c>
    </row>
    <row r="6988">
      <c r="A6988" s="24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5" t="n">
        <v>0.018932</v>
      </c>
    </row>
    <row r="6989">
      <c r="A6989" s="24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5" t="n">
        <v>0.011058</v>
      </c>
    </row>
    <row r="6990">
      <c r="A6990" s="24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5" t="n">
        <v>0.026232</v>
      </c>
    </row>
    <row r="6991">
      <c r="A6991" s="24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5" t="n">
        <v>0.026996</v>
      </c>
    </row>
    <row r="6992">
      <c r="A6992" s="24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5" t="n">
        <v>0.334156</v>
      </c>
    </row>
    <row r="6993">
      <c r="A6993" s="24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5" t="n">
        <v>0.218485</v>
      </c>
    </row>
    <row r="6994">
      <c r="A6994" s="24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5" t="n">
        <v>0.252048</v>
      </c>
    </row>
    <row r="6995">
      <c r="A6995" s="24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5" t="n">
        <v>0.087142</v>
      </c>
    </row>
    <row r="6996">
      <c r="A6996" s="24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5" t="n">
        <v>0.08953899999999999</v>
      </c>
    </row>
    <row r="6997">
      <c r="A6997" s="24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5" t="n">
        <v>0.064832</v>
      </c>
    </row>
    <row r="6998">
      <c r="A6998" s="24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5" t="n">
        <v>0.038922</v>
      </c>
    </row>
    <row r="6999">
      <c r="A6999" s="24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5" t="n">
        <v>0.036338</v>
      </c>
    </row>
    <row r="7000">
      <c r="A7000" s="24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5" t="n">
        <v>0.052801</v>
      </c>
    </row>
    <row r="7001">
      <c r="A7001" s="24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5" t="n">
        <v>0.035286</v>
      </c>
    </row>
    <row r="7002">
      <c r="A7002" s="24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5" t="n">
        <v>0.147306</v>
      </c>
    </row>
    <row r="7003">
      <c r="A7003" s="24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5" t="n">
        <v>0.033586</v>
      </c>
    </row>
    <row r="7004">
      <c r="A7004" s="24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5" t="n">
        <v>0.036075</v>
      </c>
    </row>
    <row r="7005">
      <c r="A7005" s="24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5" t="n">
        <v>0.149914</v>
      </c>
    </row>
    <row r="7006">
      <c r="A7006" s="24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5" t="n">
        <v>0.134969</v>
      </c>
    </row>
    <row r="7007">
      <c r="A7007" s="24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5" t="n">
        <v>0.091503</v>
      </c>
    </row>
    <row r="7008">
      <c r="A7008" s="24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5" t="n">
        <v>0.235754</v>
      </c>
    </row>
    <row r="7009">
      <c r="A7009" s="24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5" t="n">
        <v>0.129778</v>
      </c>
    </row>
    <row r="7010">
      <c r="A7010" s="24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5" t="n">
        <v>0.265106</v>
      </c>
    </row>
    <row r="7011">
      <c r="A7011" s="24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5" t="n">
        <v>0.37927</v>
      </c>
    </row>
    <row r="7012">
      <c r="A7012" s="24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5" t="n">
        <v>0.397055</v>
      </c>
    </row>
    <row r="7013">
      <c r="A7013" s="24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5" t="n">
        <v>0.330785</v>
      </c>
    </row>
    <row r="7014">
      <c r="A7014" s="24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5" t="n">
        <v>0.110731</v>
      </c>
    </row>
    <row r="7015">
      <c r="A7015" s="24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5" t="n">
        <v>0.053178</v>
      </c>
    </row>
    <row r="7016">
      <c r="A7016" s="24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5" t="n">
        <v>0.039063</v>
      </c>
    </row>
    <row r="7017">
      <c r="A7017" s="24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5" t="n">
        <v>0.110031</v>
      </c>
    </row>
    <row r="7018">
      <c r="A7018" s="24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5" t="n">
        <v>0.347535</v>
      </c>
    </row>
    <row r="7019">
      <c r="A7019" s="24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5" t="n">
        <v>0.235639</v>
      </c>
    </row>
    <row r="7020">
      <c r="A7020" s="24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5" t="n">
        <v>0.068615</v>
      </c>
    </row>
    <row r="7021">
      <c r="A7021" s="24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5" t="n">
        <v>0.082151</v>
      </c>
    </row>
    <row r="7022">
      <c r="A7022" s="24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5" t="n">
        <v>0.081346</v>
      </c>
    </row>
    <row r="7023">
      <c r="A7023" s="24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5" t="n">
        <v>0.065896</v>
      </c>
    </row>
    <row r="7024">
      <c r="A7024" s="24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5" t="n">
        <v>0.191237</v>
      </c>
    </row>
    <row r="7025">
      <c r="A7025" s="24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5" t="n">
        <v>0.357627</v>
      </c>
    </row>
    <row r="7026">
      <c r="A7026" s="24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5" t="n">
        <v>0.391261</v>
      </c>
    </row>
    <row r="7027">
      <c r="A7027" s="24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5" t="n">
        <v>0.398199</v>
      </c>
    </row>
    <row r="7028">
      <c r="A7028" s="24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5" t="n">
        <v>0.103125</v>
      </c>
    </row>
    <row r="7029">
      <c r="A7029" s="24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5" t="n">
        <v>0.108079</v>
      </c>
    </row>
    <row r="7030">
      <c r="A7030" s="24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5" t="n">
        <v>0.035502</v>
      </c>
    </row>
    <row r="7031">
      <c r="A7031" s="24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5" t="n">
        <v>0.170267</v>
      </c>
    </row>
    <row r="7032">
      <c r="A7032" s="24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5" t="n">
        <v>0.218465</v>
      </c>
    </row>
    <row r="7033">
      <c r="A7033" s="24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5" t="n">
        <v>0.146193</v>
      </c>
    </row>
    <row r="7034">
      <c r="A7034" s="24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5" t="n">
        <v>0.091873</v>
      </c>
    </row>
    <row r="7035">
      <c r="A7035" s="24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5" t="n">
        <v>0.203957</v>
      </c>
    </row>
    <row r="7036">
      <c r="A7036" s="24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5" t="n">
        <v>0.183246</v>
      </c>
    </row>
    <row r="7037">
      <c r="A7037" s="24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5" t="n">
        <v>0.240648</v>
      </c>
    </row>
    <row r="7038">
      <c r="A7038" s="24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5" t="n">
        <v>0.116957</v>
      </c>
    </row>
    <row r="7039">
      <c r="A7039" s="24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5" t="n">
        <v>0.062773</v>
      </c>
    </row>
    <row r="7040">
      <c r="A7040" s="24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5" t="n">
        <v>0.036976</v>
      </c>
    </row>
    <row r="7041">
      <c r="A7041" s="24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5" t="n">
        <v>0.014356</v>
      </c>
    </row>
    <row r="7042">
      <c r="A7042" s="24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5" t="n">
        <v>0.029885</v>
      </c>
    </row>
    <row r="7043">
      <c r="A7043" s="24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5" t="n">
        <v>0.059275</v>
      </c>
    </row>
    <row r="7044">
      <c r="A7044" s="24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5" t="n">
        <v>0.049934</v>
      </c>
    </row>
    <row r="7045">
      <c r="A7045" s="24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5" t="n">
        <v>0.042541</v>
      </c>
    </row>
    <row r="7046">
      <c r="A7046" s="24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5" t="n">
        <v>0.020558</v>
      </c>
    </row>
    <row r="7047">
      <c r="A7047" s="24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5" t="n">
        <v>0.044746</v>
      </c>
    </row>
    <row r="7048">
      <c r="A7048" s="24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5" t="n">
        <v>0.019372</v>
      </c>
    </row>
    <row r="7049">
      <c r="A7049" s="24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5" t="n">
        <v>0.206742</v>
      </c>
    </row>
    <row r="7050">
      <c r="A7050" s="24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5" t="n">
        <v>0.075555</v>
      </c>
    </row>
    <row r="7051">
      <c r="A7051" s="24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5" t="n">
        <v>0.063931</v>
      </c>
    </row>
    <row r="7052">
      <c r="A7052" s="24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5" t="n">
        <v>0.119938</v>
      </c>
    </row>
    <row r="7053">
      <c r="A7053" s="24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5" t="n">
        <v>0.042366</v>
      </c>
    </row>
    <row r="7054">
      <c r="A7054" s="24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5" t="n">
        <v>0.09846299999999999</v>
      </c>
    </row>
    <row r="7055">
      <c r="A7055" s="24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5" t="n">
        <v>0.054911</v>
      </c>
    </row>
    <row r="7056">
      <c r="A7056" s="24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5" t="n">
        <v>0.032089</v>
      </c>
    </row>
    <row r="7057">
      <c r="A7057" s="24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5" t="n">
        <v>0.023142</v>
      </c>
    </row>
    <row r="7058">
      <c r="A7058" s="24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5" t="n">
        <v>0.137996</v>
      </c>
    </row>
    <row r="7059">
      <c r="A7059" s="24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5" t="n">
        <v>0.091248</v>
      </c>
    </row>
    <row r="7060">
      <c r="A7060" s="24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5" t="n">
        <v>0.279174</v>
      </c>
    </row>
    <row r="7061">
      <c r="A7061" s="24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5" t="n">
        <v>0.129947</v>
      </c>
    </row>
    <row r="7062">
      <c r="A7062" s="24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5" t="n">
        <v>0.200879</v>
      </c>
    </row>
    <row r="7063">
      <c r="A7063" s="24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5" t="n">
        <v>0.358263</v>
      </c>
    </row>
    <row r="7064">
      <c r="A7064" s="24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5" t="n">
        <v>0.364185</v>
      </c>
    </row>
    <row r="7065">
      <c r="A7065" s="24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5" t="n">
        <v>0.09897300000000001</v>
      </c>
    </row>
    <row r="7066">
      <c r="A7066" s="24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5" t="n">
        <v>0.044615</v>
      </c>
    </row>
    <row r="7067">
      <c r="A7067" s="24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5" t="n">
        <v>0.024018</v>
      </c>
    </row>
    <row r="7068">
      <c r="A7068" s="24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5" t="n">
        <v>0.152948</v>
      </c>
    </row>
    <row r="7069">
      <c r="A7069" s="24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5" t="n">
        <v>0.353778</v>
      </c>
    </row>
    <row r="7070">
      <c r="A7070" s="24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5" t="n">
        <v>0.294872</v>
      </c>
    </row>
    <row r="7071">
      <c r="A7071" s="24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5" t="n">
        <v>0.325399</v>
      </c>
    </row>
    <row r="7072">
      <c r="A7072" s="24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5" t="n">
        <v>0.397481</v>
      </c>
    </row>
    <row r="7073">
      <c r="A7073" s="24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5" t="n">
        <v>0.406216</v>
      </c>
    </row>
    <row r="7074">
      <c r="A7074" s="24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5" t="n">
        <v>0.23874</v>
      </c>
    </row>
    <row r="7075">
      <c r="A7075" s="24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5" t="n">
        <v>0.063889</v>
      </c>
    </row>
    <row r="7076">
      <c r="A7076" s="24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5" t="n">
        <v>0.1021</v>
      </c>
    </row>
    <row r="7077">
      <c r="A7077" s="24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5" t="n">
        <v>0.146593</v>
      </c>
    </row>
    <row r="7078">
      <c r="A7078" s="24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5" t="n">
        <v>0.09486799999999999</v>
      </c>
    </row>
    <row r="7079">
      <c r="A7079" s="24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5" t="n">
        <v>0.106018</v>
      </c>
    </row>
    <row r="7080">
      <c r="A7080" s="24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5" t="n">
        <v>0.059985</v>
      </c>
    </row>
    <row r="7081">
      <c r="A7081" s="24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5" t="n">
        <v>0.048518</v>
      </c>
    </row>
    <row r="7082">
      <c r="A7082" s="24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5" t="n">
        <v>0.340237</v>
      </c>
    </row>
    <row r="7083">
      <c r="A7083" s="24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5" t="n">
        <v>0.288646</v>
      </c>
    </row>
    <row r="7084">
      <c r="A7084" s="24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5" t="n">
        <v>0.193954</v>
      </c>
    </row>
    <row r="7085">
      <c r="A7085" s="24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5" t="n">
        <v>0.228409</v>
      </c>
    </row>
    <row r="7086">
      <c r="A7086" s="24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5" t="n">
        <v>0.19892</v>
      </c>
    </row>
    <row r="7087">
      <c r="A7087" s="24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5" t="n">
        <v>0.351168</v>
      </c>
    </row>
    <row r="7088">
      <c r="A7088" s="24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5" t="n">
        <v>0.54322</v>
      </c>
    </row>
    <row r="7089">
      <c r="A7089" s="24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5" t="n">
        <v>0.6876060000000001</v>
      </c>
    </row>
    <row r="7090">
      <c r="A7090" s="24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5" t="n">
        <v>0.540365</v>
      </c>
    </row>
    <row r="7091">
      <c r="A7091" s="24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5" t="n">
        <v>0.410696</v>
      </c>
    </row>
    <row r="7092">
      <c r="A7092" s="24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5" t="n">
        <v>0.409305</v>
      </c>
    </row>
    <row r="7093">
      <c r="A7093" s="24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5" t="n">
        <v>0.408713</v>
      </c>
    </row>
    <row r="7094">
      <c r="A7094" s="24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5" t="n">
        <v>0.417365</v>
      </c>
    </row>
    <row r="7095">
      <c r="A7095" s="24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5" t="n">
        <v>0.416185</v>
      </c>
    </row>
    <row r="7096">
      <c r="A7096" s="24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5" t="n">
        <v>0.412385</v>
      </c>
    </row>
    <row r="7097">
      <c r="A7097" s="24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5" t="n">
        <v>0.4152</v>
      </c>
    </row>
    <row r="7098">
      <c r="A7098" s="24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5" t="n">
        <v>0.410663</v>
      </c>
    </row>
    <row r="7099">
      <c r="A7099" s="24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5" t="n">
        <v>0.293</v>
      </c>
    </row>
    <row r="7100">
      <c r="A7100" s="24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5" t="n">
        <v>0.124563</v>
      </c>
    </row>
    <row r="7101">
      <c r="A7101" s="24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5" t="n">
        <v>0.374708</v>
      </c>
    </row>
    <row r="7102">
      <c r="A7102" s="24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5" t="n">
        <v>0.570499</v>
      </c>
    </row>
    <row r="7103">
      <c r="A7103" s="24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5" t="n">
        <v>0.968791</v>
      </c>
    </row>
    <row r="7104">
      <c r="A7104" s="24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5" t="n">
        <v>0.801046</v>
      </c>
    </row>
    <row r="7105">
      <c r="A7105" s="24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5" t="n">
        <v>0.48439</v>
      </c>
    </row>
    <row r="7106">
      <c r="A7106" s="24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5" t="n">
        <v>0.97904</v>
      </c>
    </row>
    <row r="7107">
      <c r="A7107" s="24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5" t="n">
        <v>0.906436</v>
      </c>
    </row>
    <row r="7108">
      <c r="A7108" s="24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5" t="n">
        <v>0.411225</v>
      </c>
    </row>
    <row r="7109">
      <c r="A7109" s="24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5" t="n">
        <v>0.409775</v>
      </c>
    </row>
    <row r="7110">
      <c r="A7110" s="24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5" t="n">
        <v>0.412014</v>
      </c>
    </row>
    <row r="7111">
      <c r="A7111" s="24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5" t="n">
        <v>0.440011</v>
      </c>
    </row>
    <row r="7112">
      <c r="A7112" s="24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5" t="n">
        <v>0.614986</v>
      </c>
    </row>
    <row r="7113">
      <c r="A7113" s="24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5" t="n">
        <v>0.5885320000000001</v>
      </c>
    </row>
    <row r="7114">
      <c r="A7114" s="24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5" t="n">
        <v>0.593268</v>
      </c>
    </row>
    <row r="7115">
      <c r="A7115" s="24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5" t="n">
        <v>0.876737</v>
      </c>
    </row>
    <row r="7116">
      <c r="A7116" s="24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5" t="n">
        <v>0.6979379999999999</v>
      </c>
    </row>
    <row r="7117">
      <c r="A7117" s="24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5" t="n">
        <v>0.410594</v>
      </c>
    </row>
    <row r="7118">
      <c r="A7118" s="24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5" t="n">
        <v>0.409193</v>
      </c>
    </row>
    <row r="7119">
      <c r="A7119" s="24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5" t="n">
        <v>0.411901</v>
      </c>
    </row>
    <row r="7120">
      <c r="A7120" s="24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5" t="n">
        <v>0.413402</v>
      </c>
    </row>
    <row r="7121">
      <c r="A7121" s="24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5" t="n">
        <v>0.408863</v>
      </c>
    </row>
    <row r="7122">
      <c r="A7122" s="24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5" t="n">
        <v>0.416614</v>
      </c>
    </row>
    <row r="7123">
      <c r="A7123" s="24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5" t="n">
        <v>0.419019</v>
      </c>
    </row>
    <row r="7124">
      <c r="A7124" s="24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5" t="n">
        <v>0.704999</v>
      </c>
    </row>
    <row r="7125">
      <c r="A7125" s="24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5" t="n">
        <v>0.980704</v>
      </c>
    </row>
    <row r="7126">
      <c r="A7126" s="24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5" t="n">
        <v>1.161095</v>
      </c>
    </row>
    <row r="7127">
      <c r="A7127" s="24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5" t="n">
        <v>0.8939240000000001</v>
      </c>
    </row>
    <row r="7128">
      <c r="A7128" s="24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5" t="n">
        <v>0.41935</v>
      </c>
    </row>
    <row r="7129">
      <c r="A7129" s="24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5" t="n">
        <v>0.413144</v>
      </c>
    </row>
    <row r="7130">
      <c r="A7130" s="24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5" t="n">
        <v>0.416052</v>
      </c>
    </row>
    <row r="7131">
      <c r="A7131" s="24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5" t="n">
        <v>0.410678</v>
      </c>
    </row>
    <row r="7132">
      <c r="A7132" s="24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5" t="n">
        <v>0.407249</v>
      </c>
    </row>
    <row r="7133">
      <c r="A7133" s="24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5" t="n">
        <v>0.251607</v>
      </c>
    </row>
    <row r="7134">
      <c r="A7134" s="24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5" t="n">
        <v>0.268915</v>
      </c>
    </row>
    <row r="7135">
      <c r="A7135" s="24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5" t="n">
        <v>0.206583</v>
      </c>
    </row>
    <row r="7136">
      <c r="A7136" s="24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5" t="n">
        <v>0.092566</v>
      </c>
    </row>
    <row r="7137">
      <c r="A7137" s="24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5" t="n">
        <v>0.096744</v>
      </c>
    </row>
    <row r="7138">
      <c r="A7138" s="24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5" t="n">
        <v>0.20208</v>
      </c>
    </row>
    <row r="7139">
      <c r="A7139" s="24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5" t="n">
        <v>0.364486</v>
      </c>
    </row>
    <row r="7140">
      <c r="A7140" s="24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5" t="n">
        <v>0.394283</v>
      </c>
    </row>
    <row r="7141">
      <c r="A7141" s="24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5" t="n">
        <v>0.404117</v>
      </c>
    </row>
    <row r="7142">
      <c r="A7142" s="24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5" t="n">
        <v>0.411419</v>
      </c>
    </row>
    <row r="7143">
      <c r="A7143" s="24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5" t="n">
        <v>0.412213</v>
      </c>
    </row>
    <row r="7144">
      <c r="A7144" s="24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5" t="n">
        <v>0.405971</v>
      </c>
    </row>
    <row r="7145">
      <c r="A7145" s="24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5" t="n">
        <v>0.163183</v>
      </c>
    </row>
    <row r="7146">
      <c r="A7146" s="24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5" t="n">
        <v>0.145052</v>
      </c>
    </row>
    <row r="7147">
      <c r="A7147" s="24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5" t="n">
        <v>0.325528</v>
      </c>
    </row>
    <row r="7148">
      <c r="A7148" s="24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5" t="n">
        <v>0.105283</v>
      </c>
    </row>
    <row r="7149">
      <c r="A7149" s="24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5" t="n">
        <v>0.143808</v>
      </c>
    </row>
    <row r="7150">
      <c r="A7150" s="24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5" t="n">
        <v>0.102313</v>
      </c>
    </row>
    <row r="7151">
      <c r="A7151" s="24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5" t="n">
        <v>0.042559</v>
      </c>
    </row>
    <row r="7152">
      <c r="A7152" s="24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5" t="n">
        <v>0.099798</v>
      </c>
    </row>
    <row r="7153">
      <c r="A7153" s="24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5" t="n">
        <v>0.079735</v>
      </c>
    </row>
    <row r="7154">
      <c r="A7154" s="24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5" t="n">
        <v>0.038826</v>
      </c>
    </row>
    <row r="7155">
      <c r="A7155" s="24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5" t="n">
        <v>0.150536</v>
      </c>
    </row>
    <row r="7156">
      <c r="A7156" s="24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5" t="n">
        <v>0.159229</v>
      </c>
    </row>
    <row r="7157">
      <c r="A7157" s="24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5" t="n">
        <v>0.21933</v>
      </c>
    </row>
    <row r="7158">
      <c r="A7158" s="24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5" t="n">
        <v>0.108694</v>
      </c>
    </row>
    <row r="7159">
      <c r="A7159" s="24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5" t="n">
        <v>0.135065</v>
      </c>
    </row>
    <row r="7160">
      <c r="A7160" s="24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5" t="n">
        <v>0.140561</v>
      </c>
    </row>
    <row r="7161">
      <c r="A7161" s="24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5" t="n">
        <v>0.09137199999999999</v>
      </c>
    </row>
    <row r="7162">
      <c r="A7162" s="24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5" t="n">
        <v>0.028097</v>
      </c>
    </row>
    <row r="7163">
      <c r="A7163" s="24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5" t="n">
        <v>0.178467</v>
      </c>
    </row>
    <row r="7164">
      <c r="A7164" s="24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5" t="n">
        <v>0.356219</v>
      </c>
    </row>
    <row r="7165">
      <c r="A7165" s="24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5" t="n">
        <v>0.38644</v>
      </c>
    </row>
    <row r="7166">
      <c r="A7166" s="24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5" t="n">
        <v>0.182114</v>
      </c>
    </row>
    <row r="7167">
      <c r="A7167" s="24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5" t="n">
        <v>0.380075</v>
      </c>
    </row>
    <row r="7168">
      <c r="A7168" s="24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5" t="n">
        <v>0.398183</v>
      </c>
    </row>
    <row r="7169">
      <c r="A7169" s="24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5" t="n">
        <v>0.156396</v>
      </c>
    </row>
    <row r="7170">
      <c r="A7170" s="24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5" t="n">
        <v>0.059063</v>
      </c>
    </row>
    <row r="7171">
      <c r="A7171" s="24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5" t="n">
        <v>0.146355</v>
      </c>
    </row>
    <row r="7172">
      <c r="A7172" s="24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5" t="n">
        <v>0.35896</v>
      </c>
    </row>
    <row r="7173">
      <c r="A7173" s="24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5" t="n">
        <v>0.249257</v>
      </c>
    </row>
    <row r="7174">
      <c r="A7174" s="24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5" t="n">
        <v>0.098845</v>
      </c>
    </row>
    <row r="7175">
      <c r="A7175" s="24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5" t="n">
        <v>0.047766</v>
      </c>
    </row>
    <row r="7176">
      <c r="A7176" s="24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5" t="n">
        <v>0.034946</v>
      </c>
    </row>
    <row r="7177">
      <c r="A7177" s="24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5" t="n">
        <v>0.041462</v>
      </c>
    </row>
    <row r="7178">
      <c r="A7178" s="24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5" t="n">
        <v>0.156797</v>
      </c>
    </row>
    <row r="7179">
      <c r="A7179" s="24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5" t="n">
        <v>0.176767</v>
      </c>
    </row>
    <row r="7180">
      <c r="A7180" s="24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5" t="n">
        <v>0.040247</v>
      </c>
    </row>
    <row r="7181">
      <c r="A7181" s="24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5" t="n">
        <v>0.043241</v>
      </c>
    </row>
    <row r="7182">
      <c r="A7182" s="24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5" t="n">
        <v>0.140233</v>
      </c>
    </row>
    <row r="7183">
      <c r="A7183" s="24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5" t="n">
        <v>0.063985</v>
      </c>
    </row>
    <row r="7184">
      <c r="A7184" s="24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5" t="n">
        <v>0.30099</v>
      </c>
    </row>
    <row r="7185">
      <c r="A7185" s="24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5" t="n">
        <v>0.08344600000000001</v>
      </c>
    </row>
    <row r="7186">
      <c r="A7186" s="24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5" t="n">
        <v>0.356997</v>
      </c>
    </row>
    <row r="7187">
      <c r="A7187" s="24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5" t="n">
        <v>0.388804</v>
      </c>
    </row>
    <row r="7188">
      <c r="A7188" s="24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5" t="n">
        <v>0.397467</v>
      </c>
    </row>
    <row r="7189">
      <c r="A7189" s="24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5" t="n">
        <v>0.404306</v>
      </c>
    </row>
    <row r="7190">
      <c r="A7190" s="24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5" t="n">
        <v>0.307716</v>
      </c>
    </row>
    <row r="7191">
      <c r="A7191" s="24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5" t="n">
        <v>0.401532</v>
      </c>
    </row>
    <row r="7192">
      <c r="A7192" s="24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5" t="n">
        <v>0.413923</v>
      </c>
    </row>
    <row r="7193">
      <c r="A7193" s="24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5" t="n">
        <v>0.413209</v>
      </c>
    </row>
    <row r="7194">
      <c r="A7194" s="24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5" t="n">
        <v>0.414288</v>
      </c>
    </row>
    <row r="7195">
      <c r="A7195" s="24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5" t="n">
        <v>1.058018</v>
      </c>
    </row>
    <row r="7196">
      <c r="A7196" s="24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5" t="n">
        <v>1.05472</v>
      </c>
    </row>
    <row r="7197">
      <c r="A7197" s="24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5" t="n">
        <v>0.414265</v>
      </c>
    </row>
    <row r="7198">
      <c r="A7198" s="24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5" t="n">
        <v>0.415359</v>
      </c>
    </row>
    <row r="7199">
      <c r="A7199" s="24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5" t="n">
        <v>0.556146</v>
      </c>
    </row>
    <row r="7200">
      <c r="A7200" s="24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5" t="n">
        <v>0.600129</v>
      </c>
    </row>
    <row r="7201">
      <c r="A7201" s="24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5" t="n">
        <v>0.455822</v>
      </c>
    </row>
    <row r="7202">
      <c r="A7202" s="24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5" t="n">
        <v>0.407541</v>
      </c>
    </row>
    <row r="7203">
      <c r="A7203" s="24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5" t="n">
        <v>0.382741</v>
      </c>
    </row>
    <row r="7204">
      <c r="A7204" s="24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5" t="n">
        <v>0.194806</v>
      </c>
    </row>
    <row r="7205">
      <c r="A7205" s="24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5" t="n">
        <v>0.21338</v>
      </c>
    </row>
    <row r="7206">
      <c r="A7206" s="24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5" t="n">
        <v>0.075544</v>
      </c>
    </row>
    <row r="7207">
      <c r="A7207" s="24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5" t="n">
        <v>0.361349</v>
      </c>
    </row>
    <row r="7208">
      <c r="A7208" s="24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5" t="n">
        <v>0.389311</v>
      </c>
    </row>
    <row r="7209">
      <c r="A7209" s="24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5" t="n">
        <v>0.381136</v>
      </c>
    </row>
    <row r="7210">
      <c r="A7210" s="24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5" t="n">
        <v>0.354047</v>
      </c>
    </row>
    <row r="7211">
      <c r="A7211" s="24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5" t="n">
        <v>0.255329</v>
      </c>
    </row>
    <row r="7212">
      <c r="A7212" s="24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5" t="n">
        <v>0.391256</v>
      </c>
    </row>
    <row r="7213">
      <c r="A7213" s="24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5" t="n">
        <v>0.403472</v>
      </c>
    </row>
    <row r="7214">
      <c r="A7214" s="24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5" t="n">
        <v>0.231099</v>
      </c>
    </row>
    <row r="7215">
      <c r="A7215" s="24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5" t="n">
        <v>0.415893</v>
      </c>
    </row>
    <row r="7216">
      <c r="A7216" s="24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5" t="n">
        <v>0.435454</v>
      </c>
    </row>
    <row r="7217">
      <c r="A7217" s="24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5" t="n">
        <v>1.206727</v>
      </c>
    </row>
    <row r="7218">
      <c r="A7218" s="24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5" t="n">
        <v>1.204674</v>
      </c>
    </row>
    <row r="7219">
      <c r="A7219" s="24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5" t="n">
        <v>0.409754</v>
      </c>
    </row>
    <row r="7220">
      <c r="A7220" s="24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5" t="n">
        <v>0.408961</v>
      </c>
    </row>
    <row r="7221">
      <c r="A7221" s="24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5" t="n">
        <v>0.817501</v>
      </c>
    </row>
    <row r="7222">
      <c r="A7222" s="24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5" t="n">
        <v>0.82016</v>
      </c>
    </row>
    <row r="7223">
      <c r="A7223" s="24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5" t="n">
        <v>0.412272</v>
      </c>
    </row>
    <row r="7224">
      <c r="A7224" s="24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5" t="n">
        <v>0.47711</v>
      </c>
    </row>
    <row r="7225">
      <c r="A7225" s="24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5" t="n">
        <v>0.479464</v>
      </c>
    </row>
    <row r="7226">
      <c r="A7226" s="24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5" t="n">
        <v>0.412811</v>
      </c>
    </row>
    <row r="7227">
      <c r="A7227" s="24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5" t="n">
        <v>0.408843</v>
      </c>
    </row>
    <row r="7228">
      <c r="A7228" s="24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5" t="n">
        <v>0.406479</v>
      </c>
    </row>
    <row r="7229">
      <c r="A7229" s="24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5" t="n">
        <v>0.158763</v>
      </c>
    </row>
    <row r="7230">
      <c r="A7230" s="24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5" t="n">
        <v>0.38235</v>
      </c>
    </row>
    <row r="7231">
      <c r="A7231" s="24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5" t="n">
        <v>0.400279</v>
      </c>
    </row>
    <row r="7232">
      <c r="A7232" s="24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5" t="n">
        <v>0.405262</v>
      </c>
    </row>
    <row r="7233">
      <c r="A7233" s="24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5" t="n">
        <v>0.363416</v>
      </c>
    </row>
    <row r="7234">
      <c r="A7234" s="24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5" t="n">
        <v>0.285234</v>
      </c>
    </row>
    <row r="7235">
      <c r="A7235" s="24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5" t="n">
        <v>0.081506</v>
      </c>
    </row>
    <row r="7236">
      <c r="A7236" s="24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5" t="n">
        <v>0.04566</v>
      </c>
    </row>
    <row r="7237">
      <c r="A7237" s="24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5" t="n">
        <v>0.036201</v>
      </c>
    </row>
    <row r="7238">
      <c r="A7238" s="24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5" t="n">
        <v>0.332166</v>
      </c>
    </row>
    <row r="7239">
      <c r="A7239" s="24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5" t="n">
        <v>0.377946</v>
      </c>
    </row>
    <row r="7240">
      <c r="A7240" s="24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5" t="n">
        <v>0.396354</v>
      </c>
    </row>
    <row r="7241">
      <c r="A7241" s="24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5" t="n">
        <v>0.15689</v>
      </c>
    </row>
    <row r="7242">
      <c r="A7242" s="24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5" t="n">
        <v>0.065974</v>
      </c>
    </row>
    <row r="7243">
      <c r="A7243" s="24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5" t="n">
        <v>0.032128</v>
      </c>
    </row>
    <row r="7244">
      <c r="A7244" s="24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5" t="n">
        <v>0.033067</v>
      </c>
    </row>
    <row r="7245">
      <c r="A7245" s="24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5" t="n">
        <v>0.18021</v>
      </c>
    </row>
    <row r="7246">
      <c r="A7246" s="24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5" t="n">
        <v>0.360309</v>
      </c>
    </row>
    <row r="7247">
      <c r="A7247" s="24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5" t="n">
        <v>0.386201</v>
      </c>
    </row>
    <row r="7248">
      <c r="A7248" s="24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5" t="n">
        <v>0.128085</v>
      </c>
    </row>
    <row r="7249">
      <c r="A7249" s="24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5" t="n">
        <v>0.047566</v>
      </c>
    </row>
    <row r="7250">
      <c r="A7250" s="24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5" t="n">
        <v>0.203252</v>
      </c>
    </row>
    <row r="7251">
      <c r="A7251" s="24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5" t="n">
        <v>0.314371</v>
      </c>
    </row>
    <row r="7252">
      <c r="A7252" s="24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5" t="n">
        <v>0.312319</v>
      </c>
    </row>
    <row r="7253">
      <c r="A7253" s="24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5" t="n">
        <v>0.194416</v>
      </c>
    </row>
    <row r="7254">
      <c r="A7254" s="24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5" t="n">
        <v>0.082092</v>
      </c>
    </row>
    <row r="7255">
      <c r="A7255" s="24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5" t="n">
        <v>0.049752</v>
      </c>
    </row>
    <row r="7256">
      <c r="A7256" s="24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5" t="n">
        <v>0.017491</v>
      </c>
    </row>
    <row r="7257">
      <c r="A7257" s="24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5" t="n">
        <v>0.008874999999999999</v>
      </c>
    </row>
    <row r="7258">
      <c r="A7258" s="24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5" t="n">
        <v>0.004581</v>
      </c>
    </row>
    <row r="7259">
      <c r="A7259" s="24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5" t="n">
        <v>0.008885000000000001</v>
      </c>
    </row>
    <row r="7260">
      <c r="A7260" s="24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5" t="n">
        <v>0.066607</v>
      </c>
    </row>
    <row r="7261">
      <c r="A7261" s="24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5" t="n">
        <v>0.026444</v>
      </c>
    </row>
    <row r="7262">
      <c r="A7262" s="24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5" t="n">
        <v>0.162304</v>
      </c>
    </row>
    <row r="7263">
      <c r="A7263" s="24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5" t="n">
        <v>0.141274</v>
      </c>
    </row>
    <row r="7264">
      <c r="A7264" s="24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5" t="n">
        <v>0.033903</v>
      </c>
    </row>
    <row r="7265">
      <c r="A7265" s="24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5" t="n">
        <v>0.033643</v>
      </c>
    </row>
    <row r="7266">
      <c r="A7266" s="24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5" t="n">
        <v>0.038549</v>
      </c>
    </row>
    <row r="7267">
      <c r="A7267" s="24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5" t="n">
        <v>0.04851</v>
      </c>
    </row>
    <row r="7268">
      <c r="A7268" s="24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5" t="n">
        <v>0.018411</v>
      </c>
    </row>
    <row r="7269">
      <c r="A7269" s="24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5" t="n">
        <v>0.037537</v>
      </c>
    </row>
    <row r="7270">
      <c r="A7270" s="24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5" t="n">
        <v>0.054289</v>
      </c>
    </row>
    <row r="7271">
      <c r="A7271" s="24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5" t="n">
        <v>0.038926</v>
      </c>
    </row>
    <row r="7272">
      <c r="A7272" s="24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5" t="n">
        <v>0.034436</v>
      </c>
    </row>
    <row r="7273">
      <c r="A7273" s="24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5" t="n">
        <v>0.031796</v>
      </c>
    </row>
    <row r="7274">
      <c r="A7274" s="24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5" t="n">
        <v>0.034131</v>
      </c>
    </row>
    <row r="7275">
      <c r="A7275" s="24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5" t="n">
        <v>0.023161</v>
      </c>
    </row>
    <row r="7276">
      <c r="A7276" s="24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5" t="n">
        <v>0.022561</v>
      </c>
    </row>
    <row r="7277">
      <c r="A7277" s="24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5" t="n">
        <v>0.111889</v>
      </c>
    </row>
    <row r="7278">
      <c r="A7278" s="24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5" t="n">
        <v>0.303991</v>
      </c>
    </row>
    <row r="7279">
      <c r="A7279" s="24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5" t="n">
        <v>0.084797</v>
      </c>
    </row>
    <row r="7280">
      <c r="A7280" s="24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5" t="n">
        <v>0.101868</v>
      </c>
    </row>
    <row r="7281">
      <c r="A7281" s="24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5" t="n">
        <v>0.04197</v>
      </c>
    </row>
    <row r="7282">
      <c r="A7282" s="24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5" t="n">
        <v>0.051272</v>
      </c>
    </row>
    <row r="7283">
      <c r="A7283" s="24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5" t="n">
        <v>0.020417</v>
      </c>
    </row>
    <row r="7284">
      <c r="A7284" s="24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5" t="n">
        <v>0.027202</v>
      </c>
    </row>
    <row r="7285">
      <c r="A7285" s="24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5" t="n">
        <v>0.073198</v>
      </c>
    </row>
    <row r="7286">
      <c r="A7286" s="24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5" t="n">
        <v>0.014473</v>
      </c>
    </row>
    <row r="7287">
      <c r="A7287" s="24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5" t="n">
        <v>0.048554</v>
      </c>
    </row>
    <row r="7288">
      <c r="A7288" s="24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5" t="n">
        <v>0.013803</v>
      </c>
    </row>
    <row r="7289">
      <c r="A7289" s="24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5" t="n">
        <v>0.014804</v>
      </c>
    </row>
    <row r="7290">
      <c r="A7290" s="24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5" t="n">
        <v>0.007092</v>
      </c>
    </row>
    <row r="7291">
      <c r="A7291" s="24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5" t="n">
        <v>0.013889</v>
      </c>
    </row>
    <row r="7292">
      <c r="A7292" s="24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5" t="n">
        <v>0.108682</v>
      </c>
    </row>
    <row r="7293">
      <c r="A7293" s="24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5" t="n">
        <v>0.038699</v>
      </c>
    </row>
    <row r="7294">
      <c r="A7294" s="24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5" t="n">
        <v>0.046657</v>
      </c>
    </row>
    <row r="7295">
      <c r="A7295" s="24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5" t="n">
        <v>0.084136</v>
      </c>
    </row>
    <row r="7296">
      <c r="A7296" s="24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5" t="n">
        <v>0.094513</v>
      </c>
    </row>
    <row r="7297">
      <c r="A7297" s="24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5" t="n">
        <v>0.044441</v>
      </c>
    </row>
    <row r="7298">
      <c r="A7298" s="24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5" t="n">
        <v>0.121725</v>
      </c>
    </row>
    <row r="7299">
      <c r="A7299" s="24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5" t="n">
        <v>0.030903</v>
      </c>
    </row>
    <row r="7300">
      <c r="A7300" s="24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5" t="n">
        <v>0.032999</v>
      </c>
    </row>
    <row r="7301">
      <c r="A7301" s="24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5" t="n">
        <v>0.156939</v>
      </c>
    </row>
    <row r="7302">
      <c r="A7302" s="24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5" t="n">
        <v>0.076921</v>
      </c>
    </row>
    <row r="7303">
      <c r="A7303" s="24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5" t="n">
        <v>0.08381</v>
      </c>
    </row>
    <row r="7304">
      <c r="A7304" s="24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5" t="n">
        <v>0.151791</v>
      </c>
    </row>
    <row r="7305">
      <c r="A7305" s="24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5" t="n">
        <v>0.06726500000000001</v>
      </c>
    </row>
    <row r="7306">
      <c r="A7306" s="24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5" t="n">
        <v>0.080966</v>
      </c>
    </row>
    <row r="7307">
      <c r="A7307" s="24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5" t="n">
        <v>0.030777</v>
      </c>
    </row>
    <row r="7308">
      <c r="A7308" s="24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5" t="n">
        <v>0.018854</v>
      </c>
    </row>
    <row r="7309">
      <c r="A7309" s="24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5" t="n">
        <v>0.094988</v>
      </c>
    </row>
    <row r="7310">
      <c r="A7310" s="24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5" t="n">
        <v>0.041462</v>
      </c>
    </row>
    <row r="7311">
      <c r="A7311" s="24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5" t="n">
        <v>0.029483</v>
      </c>
    </row>
    <row r="7312">
      <c r="A7312" s="24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5" t="n">
        <v>0.06457599999999999</v>
      </c>
    </row>
    <row r="7313">
      <c r="A7313" s="24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5" t="n">
        <v>0.115093</v>
      </c>
    </row>
    <row r="7314">
      <c r="A7314" s="24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5" t="n">
        <v>0.046059</v>
      </c>
    </row>
    <row r="7315">
      <c r="A7315" s="24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5" t="n">
        <v>0.09415800000000001</v>
      </c>
    </row>
    <row r="7316">
      <c r="A7316" s="24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5" t="n">
        <v>0.310576</v>
      </c>
    </row>
    <row r="7317">
      <c r="A7317" s="24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5" t="n">
        <v>0.126514</v>
      </c>
    </row>
    <row r="7318">
      <c r="A7318" s="24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5" t="n">
        <v>0.04774</v>
      </c>
    </row>
    <row r="7319">
      <c r="A7319" s="24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5" t="n">
        <v>0.057956</v>
      </c>
    </row>
    <row r="7320">
      <c r="A7320" s="24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5" t="n">
        <v>0.036172</v>
      </c>
    </row>
    <row r="7321">
      <c r="A7321" s="24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5" t="n">
        <v>0.101304</v>
      </c>
    </row>
    <row r="7322">
      <c r="A7322" s="24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5" t="n">
        <v>0.031306</v>
      </c>
    </row>
    <row r="7323">
      <c r="A7323" s="24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5" t="n">
        <v>0.023234</v>
      </c>
    </row>
    <row r="7324">
      <c r="A7324" s="24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5" t="n">
        <v>0.033882</v>
      </c>
    </row>
    <row r="7325">
      <c r="A7325" s="24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5" t="n">
        <v>0.030404</v>
      </c>
    </row>
    <row r="7326">
      <c r="A7326" s="24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5" t="n">
        <v>0.19514</v>
      </c>
    </row>
    <row r="7327">
      <c r="A7327" s="24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5" t="n">
        <v>0.199976</v>
      </c>
    </row>
    <row r="7328">
      <c r="A7328" s="24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5" t="n">
        <v>0.183482</v>
      </c>
    </row>
    <row r="7329">
      <c r="A7329" s="24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5" t="n">
        <v>0.098528</v>
      </c>
    </row>
    <row r="7330">
      <c r="A7330" s="24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5" t="n">
        <v>0.043871</v>
      </c>
    </row>
    <row r="7331">
      <c r="A7331" s="24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5" t="n">
        <v>0.025469</v>
      </c>
    </row>
    <row r="7332">
      <c r="A7332" s="24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5" t="n">
        <v>0.049226</v>
      </c>
    </row>
    <row r="7333">
      <c r="A7333" s="24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5" t="n">
        <v>0.047755</v>
      </c>
    </row>
    <row r="7334">
      <c r="A7334" s="24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5" t="n">
        <v>0.027496</v>
      </c>
    </row>
    <row r="7335">
      <c r="A7335" s="24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5" t="n">
        <v>0.050207</v>
      </c>
    </row>
    <row r="7336">
      <c r="A7336" s="24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5" t="n">
        <v>0.051503</v>
      </c>
    </row>
    <row r="7337">
      <c r="A7337" s="24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5" t="n">
        <v>0.027873</v>
      </c>
    </row>
    <row r="7338">
      <c r="A7338" s="24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5" t="n">
        <v>0.041538</v>
      </c>
    </row>
    <row r="7339">
      <c r="A7339" s="24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5" t="n">
        <v>0.025801</v>
      </c>
    </row>
    <row r="7340">
      <c r="A7340" s="24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5" t="n">
        <v>0.027597</v>
      </c>
    </row>
    <row r="7341">
      <c r="A7341" s="24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5" t="n">
        <v>0.018522</v>
      </c>
    </row>
    <row r="7342">
      <c r="A7342" s="24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5" t="n">
        <v>0.035128</v>
      </c>
    </row>
    <row r="7343">
      <c r="A7343" s="24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5" t="n">
        <v>0.035167</v>
      </c>
    </row>
    <row r="7344">
      <c r="A7344" s="24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5" t="n">
        <v>0.032967</v>
      </c>
    </row>
    <row r="7345">
      <c r="A7345" s="24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5" t="n">
        <v>0.124955</v>
      </c>
    </row>
    <row r="7346">
      <c r="A7346" s="24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5" t="n">
        <v>0.047279</v>
      </c>
    </row>
    <row r="7347">
      <c r="A7347" s="24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5" t="n">
        <v>0.018977</v>
      </c>
    </row>
    <row r="7348">
      <c r="A7348" s="24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5" t="n">
        <v>0.028365</v>
      </c>
    </row>
    <row r="7349">
      <c r="A7349" s="24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5" t="n">
        <v>0.02001</v>
      </c>
    </row>
    <row r="7350">
      <c r="A7350" s="24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5" t="n">
        <v>0.008714</v>
      </c>
    </row>
    <row r="7351">
      <c r="A7351" s="24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5" t="n">
        <v>0.011011</v>
      </c>
    </row>
    <row r="7352">
      <c r="A7352" s="24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5" t="n">
        <v>0.084776</v>
      </c>
    </row>
    <row r="7353">
      <c r="A7353" s="24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5" t="n">
        <v>0.120856</v>
      </c>
    </row>
    <row r="7354">
      <c r="A7354" s="24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5" t="n">
        <v>0.109592</v>
      </c>
    </row>
    <row r="7355">
      <c r="A7355" s="24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5" t="n">
        <v>0.125019</v>
      </c>
    </row>
    <row r="7356">
      <c r="A7356" s="24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5" t="n">
        <v>0.156968</v>
      </c>
    </row>
    <row r="7357">
      <c r="A7357" s="24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5" t="n">
        <v>0.046595</v>
      </c>
    </row>
    <row r="7358">
      <c r="A7358" s="24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5" t="n">
        <v>0.039476</v>
      </c>
    </row>
    <row r="7359">
      <c r="A7359" s="24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5" t="n">
        <v>0.025121</v>
      </c>
    </row>
    <row r="7360">
      <c r="A7360" s="24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5" t="n">
        <v>0.026999</v>
      </c>
    </row>
    <row r="7361">
      <c r="A7361" s="24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5" t="n">
        <v>0.09511699999999999</v>
      </c>
    </row>
    <row r="7362">
      <c r="A7362" s="24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5" t="n">
        <v>0.03182</v>
      </c>
    </row>
    <row r="7363">
      <c r="A7363" s="24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5" t="n">
        <v>0.09772500000000001</v>
      </c>
    </row>
    <row r="7364">
      <c r="A7364" s="24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5" t="n">
        <v>0.098451</v>
      </c>
    </row>
    <row r="7365">
      <c r="A7365" s="24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5" t="n">
        <v>0.1697</v>
      </c>
    </row>
    <row r="7366">
      <c r="A7366" s="24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5" t="n">
        <v>0.034028</v>
      </c>
    </row>
    <row r="7367">
      <c r="A7367" s="24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5" t="n">
        <v>0.025679</v>
      </c>
    </row>
    <row r="7368">
      <c r="A7368" s="24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5" t="n">
        <v>0.027004</v>
      </c>
    </row>
    <row r="7369">
      <c r="A7369" s="24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5" t="n">
        <v>0.041068</v>
      </c>
    </row>
    <row r="7370">
      <c r="A7370" s="24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5" t="n">
        <v>0.09071</v>
      </c>
    </row>
    <row r="7371">
      <c r="A7371" s="24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5" t="n">
        <v>0.06665699999999999</v>
      </c>
    </row>
    <row r="7372">
      <c r="A7372" s="24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5" t="n">
        <v>0.03017</v>
      </c>
    </row>
    <row r="7373">
      <c r="A7373" s="24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5" t="n">
        <v>0.019938</v>
      </c>
    </row>
    <row r="7374">
      <c r="A7374" s="24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5" t="n">
        <v>0.029512</v>
      </c>
    </row>
    <row r="7375">
      <c r="A7375" s="24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5" t="n">
        <v>0.333792</v>
      </c>
    </row>
    <row r="7376">
      <c r="A7376" s="24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5" t="n">
        <v>0.118594</v>
      </c>
    </row>
    <row r="7377">
      <c r="A7377" s="24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5" t="n">
        <v>0.11403</v>
      </c>
    </row>
    <row r="7378">
      <c r="A7378" s="24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5" t="n">
        <v>0.034481</v>
      </c>
    </row>
    <row r="7379">
      <c r="A7379" s="24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5" t="n">
        <v>0.057292</v>
      </c>
    </row>
    <row r="7380">
      <c r="A7380" s="24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5" t="n">
        <v>0.048565</v>
      </c>
    </row>
    <row r="7381">
      <c r="A7381" s="24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5" t="n">
        <v>0.063581</v>
      </c>
    </row>
    <row r="7382">
      <c r="A7382" s="24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5" t="n">
        <v>0.340664</v>
      </c>
    </row>
    <row r="7383">
      <c r="A7383" s="24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5" t="n">
        <v>0.380216</v>
      </c>
    </row>
    <row r="7384">
      <c r="A7384" s="24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5" t="n">
        <v>0.272339</v>
      </c>
    </row>
    <row r="7385">
      <c r="A7385" s="24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5" t="n">
        <v>0.08444</v>
      </c>
    </row>
    <row r="7386">
      <c r="A7386" s="24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5" t="n">
        <v>0.056397</v>
      </c>
    </row>
    <row r="7387">
      <c r="A7387" s="24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5" t="n">
        <v>0.029342</v>
      </c>
    </row>
    <row r="7388">
      <c r="A7388" s="24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5" t="n">
        <v>0.035208</v>
      </c>
    </row>
    <row r="7389">
      <c r="A7389" s="24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5" t="n">
        <v>0.022058</v>
      </c>
    </row>
    <row r="7390">
      <c r="A7390" s="24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5" t="n">
        <v>0.044722</v>
      </c>
    </row>
    <row r="7391">
      <c r="A7391" s="24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5" t="n">
        <v>0.009193</v>
      </c>
    </row>
    <row r="7392">
      <c r="A7392" s="24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5" t="n">
        <v>0.009807</v>
      </c>
    </row>
    <row r="7393">
      <c r="A7393" s="24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5" t="n">
        <v>0.218367</v>
      </c>
    </row>
    <row r="7394">
      <c r="A7394" s="24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5" t="n">
        <v>0.09883500000000001</v>
      </c>
    </row>
    <row r="7395">
      <c r="A7395" s="24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5" t="n">
        <v>0.351307</v>
      </c>
    </row>
    <row r="7396">
      <c r="A7396" s="24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5" t="n">
        <v>0.386155</v>
      </c>
    </row>
    <row r="7397">
      <c r="A7397" s="24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5" t="n">
        <v>0.406141</v>
      </c>
    </row>
    <row r="7398">
      <c r="A7398" s="24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5" t="n">
        <v>0.409753</v>
      </c>
    </row>
    <row r="7399">
      <c r="A7399" s="24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5" t="n">
        <v>0.40597</v>
      </c>
    </row>
    <row r="7400">
      <c r="A7400" s="24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5" t="n">
        <v>0.410274</v>
      </c>
    </row>
    <row r="7401">
      <c r="A7401" s="24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5" t="n">
        <v>0.411614</v>
      </c>
    </row>
    <row r="7402">
      <c r="A7402" s="24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5" t="n">
        <v>0.414138</v>
      </c>
    </row>
    <row r="7403">
      <c r="A7403" s="24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5" t="n">
        <v>0.264051</v>
      </c>
    </row>
    <row r="7404">
      <c r="A7404" s="24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5" t="n">
        <v>0.07907</v>
      </c>
    </row>
    <row r="7405">
      <c r="A7405" s="24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5" t="n">
        <v>0.072945</v>
      </c>
    </row>
    <row r="7406">
      <c r="A7406" s="24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5" t="n">
        <v>0.053029</v>
      </c>
    </row>
    <row r="7407">
      <c r="A7407" s="24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5" t="n">
        <v>0.04959</v>
      </c>
    </row>
    <row r="7408">
      <c r="A7408" s="24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5" t="n">
        <v>0.103215</v>
      </c>
    </row>
    <row r="7409">
      <c r="A7409" s="24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5" t="n">
        <v>0.340425</v>
      </c>
    </row>
    <row r="7410">
      <c r="A7410" s="24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5" t="n">
        <v>0.113415</v>
      </c>
    </row>
    <row r="7411">
      <c r="A7411" s="24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5" t="n">
        <v>0.039297</v>
      </c>
    </row>
    <row r="7412">
      <c r="A7412" s="24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5" t="n">
        <v>0.042561</v>
      </c>
    </row>
    <row r="7413">
      <c r="A7413" s="24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5" t="n">
        <v>0.06403300000000001</v>
      </c>
    </row>
    <row r="7414">
      <c r="A7414" s="24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5" t="n">
        <v>0.018995</v>
      </c>
    </row>
    <row r="7415">
      <c r="A7415" s="24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5" t="n">
        <v>0.008009</v>
      </c>
    </row>
    <row r="7416">
      <c r="A7416" s="24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5" t="n">
        <v>0.009698</v>
      </c>
    </row>
    <row r="7417">
      <c r="A7417" s="24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5" t="n">
        <v>0.02063</v>
      </c>
    </row>
    <row r="7418">
      <c r="A7418" s="24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5" t="n">
        <v>0.234237</v>
      </c>
    </row>
    <row r="7419">
      <c r="A7419" s="24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5" t="n">
        <v>0.317643</v>
      </c>
    </row>
    <row r="7420">
      <c r="A7420" s="24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5" t="n">
        <v>0.088296</v>
      </c>
    </row>
    <row r="7421">
      <c r="A7421" s="24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5" t="n">
        <v>0.051778</v>
      </c>
    </row>
    <row r="7422">
      <c r="A7422" s="24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5" t="n">
        <v>0.026218</v>
      </c>
    </row>
    <row r="7423">
      <c r="A7423" s="24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5" t="n">
        <v>0.010608</v>
      </c>
    </row>
    <row r="7424">
      <c r="A7424" s="24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5" t="n">
        <v>0.025458</v>
      </c>
    </row>
    <row r="7425">
      <c r="A7425" s="24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5" t="n">
        <v>0.008994</v>
      </c>
    </row>
    <row r="7426">
      <c r="A7426" s="24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5" t="n">
        <v>0.005427</v>
      </c>
    </row>
    <row r="7427">
      <c r="A7427" s="24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5" t="n">
        <v>0.001932</v>
      </c>
    </row>
    <row r="7428">
      <c r="A7428" s="24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5" t="n">
        <v>0.0009810000000000001</v>
      </c>
    </row>
    <row r="7429">
      <c r="A7429" s="24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5" t="n">
        <v>0.000506</v>
      </c>
    </row>
    <row r="7430">
      <c r="A7430" s="24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5" t="n">
        <v>0.000261</v>
      </c>
    </row>
    <row r="7431">
      <c r="A7431" s="24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5" t="n">
        <v>0.107618</v>
      </c>
    </row>
    <row r="7432">
      <c r="A7432" s="24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5" t="n">
        <v>0.119037</v>
      </c>
    </row>
    <row r="7433">
      <c r="A7433" s="24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5" t="n">
        <v>0.257417</v>
      </c>
    </row>
    <row r="7434">
      <c r="A7434" s="24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5" t="n">
        <v>0.30359</v>
      </c>
    </row>
    <row r="7435">
      <c r="A7435" s="24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5" t="n">
        <v>0.373138</v>
      </c>
    </row>
    <row r="7436">
      <c r="A7436" s="24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5" t="n">
        <v>0.405451</v>
      </c>
    </row>
    <row r="7437">
      <c r="A7437" s="24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5" t="n">
        <v>0.41014</v>
      </c>
    </row>
    <row r="7438">
      <c r="A7438" s="24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5" t="n">
        <v>0.404019</v>
      </c>
    </row>
    <row r="7439">
      <c r="A7439" s="24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5" t="n">
        <v>0.298006</v>
      </c>
    </row>
    <row r="7440">
      <c r="A7440" s="24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5" t="n">
        <v>0.210797</v>
      </c>
    </row>
    <row r="7441">
      <c r="A7441" s="24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5" t="n">
        <v>0.106513</v>
      </c>
    </row>
    <row r="7442">
      <c r="A7442" s="24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5" t="n">
        <v>0.06589299999999999</v>
      </c>
    </row>
    <row r="7443">
      <c r="A7443" s="24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5" t="n">
        <v>0.262704</v>
      </c>
    </row>
    <row r="7444">
      <c r="A7444" s="24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5" t="n">
        <v>0.308718</v>
      </c>
    </row>
    <row r="7445">
      <c r="A7445" s="24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5" t="n">
        <v>0.385234</v>
      </c>
    </row>
    <row r="7446">
      <c r="A7446" s="24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5" t="n">
        <v>0.408087</v>
      </c>
    </row>
    <row r="7447">
      <c r="A7447" s="24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5" t="n">
        <v>0.416269</v>
      </c>
    </row>
    <row r="7448">
      <c r="A7448" s="24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5" t="n">
        <v>0.413036</v>
      </c>
    </row>
    <row r="7449">
      <c r="A7449" s="24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5" t="n">
        <v>0.622328</v>
      </c>
    </row>
    <row r="7450">
      <c r="A7450" s="24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5" t="n">
        <v>0.620993</v>
      </c>
    </row>
    <row r="7451">
      <c r="A7451" s="24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5" t="n">
        <v>1.020173</v>
      </c>
    </row>
    <row r="7452">
      <c r="A7452" s="24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5" t="n">
        <v>1.021582</v>
      </c>
    </row>
    <row r="7453">
      <c r="A7453" s="24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5" t="n">
        <v>0.905599</v>
      </c>
    </row>
    <row r="7454">
      <c r="A7454" s="24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5" t="n">
        <v>0.904998</v>
      </c>
    </row>
    <row r="7455">
      <c r="A7455" s="24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5" t="n">
        <v>0.410046</v>
      </c>
    </row>
    <row r="7456">
      <c r="A7456" s="24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5" t="n">
        <v>0.408218</v>
      </c>
    </row>
    <row r="7457">
      <c r="A7457" s="24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5" t="n">
        <v>0.354181</v>
      </c>
    </row>
    <row r="7458">
      <c r="A7458" s="24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5" t="n">
        <v>0.212173</v>
      </c>
    </row>
    <row r="7459">
      <c r="A7459" s="24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5" t="n">
        <v>0.209885</v>
      </c>
    </row>
    <row r="7460">
      <c r="A7460" s="24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5" t="n">
        <v>0.08099199999999999</v>
      </c>
    </row>
    <row r="7461">
      <c r="A7461" s="24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5" t="n">
        <v>0.034435</v>
      </c>
    </row>
    <row r="7462">
      <c r="A7462" s="24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5" t="n">
        <v>0.025888</v>
      </c>
    </row>
    <row r="7463">
      <c r="A7463" s="24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5" t="n">
        <v>0.168059</v>
      </c>
    </row>
    <row r="7464">
      <c r="A7464" s="24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5" t="n">
        <v>0.567925</v>
      </c>
    </row>
    <row r="7465">
      <c r="A7465" s="24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5" t="n">
        <v>0.595198</v>
      </c>
    </row>
    <row r="7466">
      <c r="A7466" s="24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5" t="n">
        <v>0.391842</v>
      </c>
    </row>
    <row r="7467">
      <c r="A7467" s="24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5" t="n">
        <v>0.376495</v>
      </c>
    </row>
    <row r="7468">
      <c r="A7468" s="24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5" t="n">
        <v>0.150081</v>
      </c>
    </row>
    <row r="7469">
      <c r="A7469" s="24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5" t="n">
        <v>0.079204</v>
      </c>
    </row>
    <row r="7470">
      <c r="A7470" s="24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5" t="n">
        <v>0.08602600000000001</v>
      </c>
    </row>
    <row r="7471">
      <c r="A7471" s="24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5" t="n">
        <v>0.07875699999999999</v>
      </c>
    </row>
    <row r="7472">
      <c r="A7472" s="24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5" t="n">
        <v>0.151674</v>
      </c>
    </row>
    <row r="7473">
      <c r="A7473" s="24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5" t="n">
        <v>0.35463</v>
      </c>
    </row>
    <row r="7474">
      <c r="A7474" s="24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5" t="n">
        <v>0.387906</v>
      </c>
    </row>
    <row r="7475">
      <c r="A7475" s="24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5" t="n">
        <v>0.402607</v>
      </c>
    </row>
    <row r="7476">
      <c r="A7476" s="24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5" t="n">
        <v>0.405043</v>
      </c>
    </row>
    <row r="7477">
      <c r="A7477" s="24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5" t="n">
        <v>0.287568</v>
      </c>
    </row>
    <row r="7478">
      <c r="A7478" s="24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5" t="n">
        <v>0.174109</v>
      </c>
    </row>
    <row r="7479">
      <c r="A7479" s="24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5" t="n">
        <v>0.377193</v>
      </c>
    </row>
    <row r="7480">
      <c r="A7480" s="24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5" t="n">
        <v>0.405946</v>
      </c>
    </row>
    <row r="7481">
      <c r="A7481" s="24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5" t="n">
        <v>1.636824</v>
      </c>
    </row>
    <row r="7482">
      <c r="A7482" s="24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5" t="n">
        <v>1.720822</v>
      </c>
    </row>
    <row r="7483">
      <c r="A7483" s="24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5" t="n">
        <v>0.496399</v>
      </c>
    </row>
    <row r="7484">
      <c r="A7484" s="24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5" t="n">
        <v>0.406824</v>
      </c>
    </row>
    <row r="7485">
      <c r="A7485" s="24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5" t="n">
        <v>0.406678</v>
      </c>
    </row>
    <row r="7486">
      <c r="A7486" s="24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5" t="n">
        <v>0.193771</v>
      </c>
    </row>
    <row r="7487">
      <c r="A7487" s="24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5" t="n">
        <v>0.386248</v>
      </c>
    </row>
    <row r="7488">
      <c r="A7488" s="24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5" t="n">
        <v>0.5502939999999999</v>
      </c>
    </row>
    <row r="7489">
      <c r="A7489" s="24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5" t="n">
        <v>1.105466</v>
      </c>
    </row>
    <row r="7490">
      <c r="A7490" s="24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5" t="n">
        <v>1.106857</v>
      </c>
    </row>
    <row r="7491">
      <c r="A7491" s="24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5" t="n">
        <v>0.600567</v>
      </c>
    </row>
    <row r="7492">
      <c r="A7492" s="24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5" t="n">
        <v>0.488436</v>
      </c>
    </row>
    <row r="7493">
      <c r="A7493" s="24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5" t="n">
        <v>0.957448</v>
      </c>
    </row>
    <row r="7494">
      <c r="A7494" s="24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5" t="n">
        <v>1.408274</v>
      </c>
    </row>
    <row r="7495">
      <c r="A7495" s="24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5" t="n">
        <v>1.2354</v>
      </c>
    </row>
    <row r="7496">
      <c r="A7496" s="24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5" t="n">
        <v>0.75168</v>
      </c>
    </row>
    <row r="7497">
      <c r="A7497" s="24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5" t="n">
        <v>0.412698</v>
      </c>
    </row>
    <row r="7498">
      <c r="A7498" s="24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5" t="n">
        <v>0.409127</v>
      </c>
    </row>
    <row r="7499">
      <c r="A7499" s="24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5" t="n">
        <v>0.40846</v>
      </c>
    </row>
    <row r="7500">
      <c r="A7500" s="24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5" t="n">
        <v>0.415684</v>
      </c>
    </row>
    <row r="7501">
      <c r="A7501" s="24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5" t="n">
        <v>0.643364</v>
      </c>
    </row>
    <row r="7502">
      <c r="A7502" s="24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5" t="n">
        <v>1.30965</v>
      </c>
    </row>
    <row r="7503">
      <c r="A7503" s="24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5" t="n">
        <v>1.085314</v>
      </c>
    </row>
    <row r="7504">
      <c r="A7504" s="24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5" t="n">
        <v>0.713782</v>
      </c>
    </row>
    <row r="7505">
      <c r="A7505" s="24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5" t="n">
        <v>0.932438</v>
      </c>
    </row>
    <row r="7506">
      <c r="A7506" s="24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5" t="n">
        <v>0.633291</v>
      </c>
    </row>
    <row r="7507">
      <c r="A7507" s="24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5" t="n">
        <v>0.41301</v>
      </c>
    </row>
    <row r="7508">
      <c r="A7508" s="24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5" t="n">
        <v>1.271895</v>
      </c>
    </row>
    <row r="7509">
      <c r="A7509" s="24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5" t="n">
        <v>1.271173</v>
      </c>
    </row>
    <row r="7510">
      <c r="A7510" s="24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5" t="n">
        <v>0.414597</v>
      </c>
    </row>
    <row r="7511">
      <c r="A7511" s="24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5" t="n">
        <v>0.65463</v>
      </c>
    </row>
    <row r="7512">
      <c r="A7512" s="24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5" t="n">
        <v>1.043815</v>
      </c>
    </row>
    <row r="7513">
      <c r="A7513" s="24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5" t="n">
        <v>0.826747</v>
      </c>
    </row>
    <row r="7514">
      <c r="A7514" s="24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5" t="n">
        <v>0.435887</v>
      </c>
    </row>
    <row r="7515">
      <c r="A7515" s="24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5" t="n">
        <v>0.467719</v>
      </c>
    </row>
    <row r="7516">
      <c r="A7516" s="24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5" t="n">
        <v>0.464151</v>
      </c>
    </row>
    <row r="7517">
      <c r="A7517" s="24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5" t="n">
        <v>0.406335</v>
      </c>
    </row>
    <row r="7518">
      <c r="A7518" s="24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5" t="n">
        <v>0.334211</v>
      </c>
    </row>
    <row r="7519">
      <c r="A7519" s="24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5" t="n">
        <v>0.125047</v>
      </c>
    </row>
    <row r="7520">
      <c r="A7520" s="24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5" t="n">
        <v>0.377284</v>
      </c>
    </row>
    <row r="7521">
      <c r="A7521" s="24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5" t="n">
        <v>0.395851</v>
      </c>
    </row>
    <row r="7522">
      <c r="A7522" s="24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5" t="n">
        <v>0.25707</v>
      </c>
    </row>
    <row r="7523">
      <c r="A7523" s="24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5" t="n">
        <v>0.072284</v>
      </c>
    </row>
    <row r="7524">
      <c r="A7524" s="24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5" t="n">
        <v>0.069813</v>
      </c>
    </row>
    <row r="7525">
      <c r="A7525" s="24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5" t="n">
        <v>0.334542</v>
      </c>
    </row>
    <row r="7526">
      <c r="A7526" s="24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5" t="n">
        <v>0.381505</v>
      </c>
    </row>
    <row r="7527">
      <c r="A7527" s="24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5" t="n">
        <v>0.4009</v>
      </c>
    </row>
    <row r="7528">
      <c r="A7528" s="24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5" t="n">
        <v>0.5833970000000001</v>
      </c>
    </row>
    <row r="7529">
      <c r="A7529" s="24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5" t="n">
        <v>0.716174</v>
      </c>
    </row>
    <row r="7530">
      <c r="A7530" s="24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5" t="n">
        <v>0.539756</v>
      </c>
    </row>
    <row r="7531">
      <c r="A7531" s="24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5" t="n">
        <v>0.40756</v>
      </c>
    </row>
    <row r="7532">
      <c r="A7532" s="24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5" t="n">
        <v>0.409666</v>
      </c>
    </row>
    <row r="7533">
      <c r="A7533" s="24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5" t="n">
        <v>0.312329</v>
      </c>
    </row>
    <row r="7534">
      <c r="A7534" s="24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5" t="n">
        <v>0.113654</v>
      </c>
    </row>
    <row r="7535">
      <c r="A7535" s="24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5" t="n">
        <v>0.049941</v>
      </c>
    </row>
    <row r="7536">
      <c r="A7536" s="24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5" t="n">
        <v>0.214343</v>
      </c>
    </row>
    <row r="7537">
      <c r="A7537" s="24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5" t="n">
        <v>0.366696</v>
      </c>
    </row>
    <row r="7538">
      <c r="A7538" s="24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5" t="n">
        <v>0.394802</v>
      </c>
    </row>
    <row r="7539">
      <c r="A7539" s="24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5" t="n">
        <v>0.406284</v>
      </c>
    </row>
    <row r="7540">
      <c r="A7540" s="24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5" t="n">
        <v>0.406571</v>
      </c>
    </row>
    <row r="7541">
      <c r="A7541" s="24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5" t="n">
        <v>0.406864</v>
      </c>
    </row>
    <row r="7542">
      <c r="A7542" s="24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5" t="n">
        <v>0.412086</v>
      </c>
    </row>
    <row r="7543">
      <c r="A7543" s="24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5" t="n">
        <v>0.389056</v>
      </c>
    </row>
    <row r="7544">
      <c r="A7544" s="24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5" t="n">
        <v>0.419606</v>
      </c>
    </row>
    <row r="7545">
      <c r="A7545" s="24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5" t="n">
        <v>0.419846</v>
      </c>
    </row>
    <row r="7546">
      <c r="A7546" s="24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5" t="n">
        <v>0.408167</v>
      </c>
    </row>
    <row r="7547">
      <c r="A7547" s="24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5" t="n">
        <v>0.41304</v>
      </c>
    </row>
    <row r="7548">
      <c r="A7548" s="24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5" t="n">
        <v>0.414691</v>
      </c>
    </row>
    <row r="7549">
      <c r="A7549" s="24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5" t="n">
        <v>0.413682</v>
      </c>
    </row>
    <row r="7550">
      <c r="A7550" s="24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5" t="n">
        <v>0.415376</v>
      </c>
    </row>
    <row r="7551">
      <c r="A7551" s="24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5" t="n">
        <v>0.403048</v>
      </c>
    </row>
    <row r="7552">
      <c r="A7552" s="24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5" t="n">
        <v>0.411756</v>
      </c>
    </row>
    <row r="7553">
      <c r="A7553" s="24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5" t="n">
        <v>0.281596</v>
      </c>
    </row>
    <row r="7554">
      <c r="A7554" s="24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5" t="n">
        <v>0.362676</v>
      </c>
    </row>
    <row r="7555">
      <c r="A7555" s="24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5" t="n">
        <v>0.204423</v>
      </c>
    </row>
    <row r="7556">
      <c r="A7556" s="24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5" t="n">
        <v>0.136874</v>
      </c>
    </row>
    <row r="7557">
      <c r="A7557" s="24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5" t="n">
        <v>0.140754</v>
      </c>
    </row>
    <row r="7558">
      <c r="A7558" s="24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5" t="n">
        <v>0.364125</v>
      </c>
    </row>
    <row r="7559">
      <c r="A7559" s="24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5" t="n">
        <v>0.397554</v>
      </c>
    </row>
    <row r="7560">
      <c r="A7560" s="24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5" t="n">
        <v>0.571597</v>
      </c>
    </row>
    <row r="7561">
      <c r="A7561" s="24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5" t="n">
        <v>1.023873</v>
      </c>
    </row>
    <row r="7562">
      <c r="A7562" s="24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5" t="n">
        <v>0.892889</v>
      </c>
    </row>
    <row r="7563">
      <c r="A7563" s="24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5" t="n">
        <v>0.94174</v>
      </c>
    </row>
    <row r="7564">
      <c r="A7564" s="24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5" t="n">
        <v>0.910765</v>
      </c>
    </row>
    <row r="7565">
      <c r="A7565" s="24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5" t="n">
        <v>0.412056</v>
      </c>
    </row>
    <row r="7566">
      <c r="A7566" s="24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5" t="n">
        <v>0.410781</v>
      </c>
    </row>
    <row r="7567">
      <c r="A7567" s="24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5" t="n">
        <v>0.410168</v>
      </c>
    </row>
    <row r="7568">
      <c r="A7568" s="24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5" t="n">
        <v>0.413069</v>
      </c>
    </row>
    <row r="7569">
      <c r="A7569" s="24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5" t="n">
        <v>0.412138</v>
      </c>
    </row>
    <row r="7570">
      <c r="A7570" s="24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5" t="n">
        <v>0.421511</v>
      </c>
    </row>
    <row r="7571">
      <c r="A7571" s="24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5" t="n">
        <v>0.425124</v>
      </c>
    </row>
    <row r="7572">
      <c r="A7572" s="24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5" t="n">
        <v>0.734589</v>
      </c>
    </row>
    <row r="7573">
      <c r="A7573" s="24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5" t="n">
        <v>0.920335</v>
      </c>
    </row>
    <row r="7574">
      <c r="A7574" s="24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5" t="n">
        <v>0.598088</v>
      </c>
    </row>
    <row r="7575">
      <c r="A7575" s="24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5" t="n">
        <v>0.528041</v>
      </c>
    </row>
    <row r="7576">
      <c r="A7576" s="24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5" t="n">
        <v>1.148356</v>
      </c>
    </row>
    <row r="7577">
      <c r="A7577" s="24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5" t="n">
        <v>1.029129</v>
      </c>
    </row>
    <row r="7578">
      <c r="A7578" s="24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5" t="n">
        <v>0.412478</v>
      </c>
    </row>
    <row r="7579">
      <c r="A7579" s="24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5" t="n">
        <v>0.41237</v>
      </c>
    </row>
    <row r="7580">
      <c r="A7580" s="24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5" t="n">
        <v>0.409503</v>
      </c>
    </row>
    <row r="7581">
      <c r="A7581" s="24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5" t="n">
        <v>0.411061</v>
      </c>
    </row>
    <row r="7582">
      <c r="A7582" s="24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5" t="n">
        <v>0.412434</v>
      </c>
    </row>
    <row r="7583">
      <c r="A7583" s="24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5" t="n">
        <v>0.419457</v>
      </c>
    </row>
    <row r="7584">
      <c r="A7584" s="24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5" t="n">
        <v>0.417188</v>
      </c>
    </row>
    <row r="7585">
      <c r="A7585" s="24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5" t="n">
        <v>0.300401</v>
      </c>
    </row>
    <row r="7586">
      <c r="A7586" s="24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5" t="n">
        <v>0.121318</v>
      </c>
    </row>
    <row r="7587">
      <c r="A7587" s="24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5" t="n">
        <v>0.05304</v>
      </c>
    </row>
    <row r="7588">
      <c r="A7588" s="24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5" t="n">
        <v>0.032005</v>
      </c>
    </row>
    <row r="7589">
      <c r="A7589" s="24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5" t="n">
        <v>0.342105</v>
      </c>
    </row>
    <row r="7590">
      <c r="A7590" s="24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5" t="n">
        <v>0.380866</v>
      </c>
    </row>
    <row r="7591">
      <c r="A7591" s="24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5" t="n">
        <v>0.396372</v>
      </c>
    </row>
    <row r="7592">
      <c r="A7592" s="24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5" t="n">
        <v>0.303857</v>
      </c>
    </row>
    <row r="7593">
      <c r="A7593" s="24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5" t="n">
        <v>0.085827</v>
      </c>
    </row>
    <row r="7594">
      <c r="A7594" s="24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5" t="n">
        <v>0.056379</v>
      </c>
    </row>
    <row r="7595">
      <c r="A7595" s="24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5" t="n">
        <v>0.064346</v>
      </c>
    </row>
    <row r="7596">
      <c r="A7596" s="24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5" t="n">
        <v>0.215567</v>
      </c>
    </row>
    <row r="7597">
      <c r="A7597" s="24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5" t="n">
        <v>0.061761</v>
      </c>
    </row>
    <row r="7598">
      <c r="A7598" s="24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5" t="n">
        <v>0.033539</v>
      </c>
    </row>
    <row r="7599">
      <c r="A7599" s="24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5" t="n">
        <v>0.015218</v>
      </c>
    </row>
    <row r="7600">
      <c r="A7600" s="24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5" t="n">
        <v>0.1529</v>
      </c>
    </row>
    <row r="7601">
      <c r="A7601" s="24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5" t="n">
        <v>0.047603</v>
      </c>
    </row>
    <row r="7602">
      <c r="A7602" s="24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5" t="n">
        <v>0.044459</v>
      </c>
    </row>
    <row r="7603">
      <c r="A7603" s="24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5" t="n">
        <v>0.020766</v>
      </c>
    </row>
    <row r="7604">
      <c r="A7604" s="24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5" t="n">
        <v>0.078753</v>
      </c>
    </row>
    <row r="7605">
      <c r="A7605" s="24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5" t="n">
        <v>0.072327</v>
      </c>
    </row>
    <row r="7606">
      <c r="A7606" s="24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5" t="n">
        <v>0.069227</v>
      </c>
    </row>
    <row r="7607">
      <c r="A7607" s="24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5" t="n">
        <v>0.129277</v>
      </c>
    </row>
    <row r="7608">
      <c r="A7608" s="24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5" t="n">
        <v>0.11847</v>
      </c>
    </row>
    <row r="7609">
      <c r="A7609" s="24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5" t="n">
        <v>0.240246</v>
      </c>
    </row>
    <row r="7610">
      <c r="A7610" s="24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5" t="n">
        <v>0.053112</v>
      </c>
    </row>
    <row r="7611">
      <c r="A7611" s="24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5" t="n">
        <v>0.050554</v>
      </c>
    </row>
    <row r="7612">
      <c r="A7612" s="24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5" t="n">
        <v>0.06407</v>
      </c>
    </row>
    <row r="7613">
      <c r="A7613" s="24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5" t="n">
        <v>0.138655</v>
      </c>
    </row>
    <row r="7614">
      <c r="A7614" s="24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5" t="n">
        <v>0.267787</v>
      </c>
    </row>
    <row r="7615">
      <c r="A7615" s="24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5" t="n">
        <v>0.062571</v>
      </c>
    </row>
    <row r="7616">
      <c r="A7616" s="24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5" t="n">
        <v>0.089638</v>
      </c>
    </row>
    <row r="7617">
      <c r="A7617" s="24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5" t="n">
        <v>0.187706</v>
      </c>
    </row>
    <row r="7618">
      <c r="A7618" s="24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5" t="n">
        <v>0.079806</v>
      </c>
    </row>
    <row r="7619">
      <c r="A7619" s="24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5" t="n">
        <v>0.164938</v>
      </c>
    </row>
    <row r="7620">
      <c r="A7620" s="24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5" t="n">
        <v>0.046311</v>
      </c>
    </row>
    <row r="7621">
      <c r="A7621" s="24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5" t="n">
        <v>0.049545</v>
      </c>
    </row>
    <row r="7622">
      <c r="A7622" s="24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5" t="n">
        <v>0.041609</v>
      </c>
    </row>
    <row r="7623">
      <c r="A7623" s="24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5" t="n">
        <v>0.037751</v>
      </c>
    </row>
    <row r="7624">
      <c r="A7624" s="24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5" t="n">
        <v>0.026552</v>
      </c>
    </row>
    <row r="7625">
      <c r="A7625" s="24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5" t="n">
        <v>0.034567</v>
      </c>
    </row>
    <row r="7626">
      <c r="A7626" s="24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5" t="n">
        <v>0.025022</v>
      </c>
    </row>
    <row r="7627">
      <c r="A7627" s="24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5" t="n">
        <v>0.333279</v>
      </c>
    </row>
    <row r="7628">
      <c r="A7628" s="24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5" t="n">
        <v>0.339832</v>
      </c>
    </row>
    <row r="7629">
      <c r="A7629" s="24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5" t="n">
        <v>0.326206</v>
      </c>
    </row>
    <row r="7630">
      <c r="A7630" s="24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5" t="n">
        <v>0.107573</v>
      </c>
    </row>
    <row r="7631">
      <c r="A7631" s="24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5" t="n">
        <v>0.107865</v>
      </c>
    </row>
    <row r="7632">
      <c r="A7632" s="24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5" t="n">
        <v>0.219801</v>
      </c>
    </row>
    <row r="7633">
      <c r="A7633" s="24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5" t="n">
        <v>0.058118</v>
      </c>
    </row>
    <row r="7634">
      <c r="A7634" s="24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5" t="n">
        <v>0.06561699999999999</v>
      </c>
    </row>
    <row r="7635">
      <c r="A7635" s="24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5" t="n">
        <v>0.115902</v>
      </c>
    </row>
    <row r="7636">
      <c r="A7636" s="24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5" t="n">
        <v>0.238426</v>
      </c>
    </row>
    <row r="7637">
      <c r="A7637" s="24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5" t="n">
        <v>0.045086</v>
      </c>
    </row>
    <row r="7638">
      <c r="A7638" s="24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5" t="n">
        <v>0.022399</v>
      </c>
    </row>
    <row r="7639">
      <c r="A7639" s="24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5" t="n">
        <v>0.022159</v>
      </c>
    </row>
    <row r="7640">
      <c r="A7640" s="24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5" t="n">
        <v>0.027005</v>
      </c>
    </row>
    <row r="7641">
      <c r="A7641" s="24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5" t="n">
        <v>0.05979</v>
      </c>
    </row>
    <row r="7642">
      <c r="A7642" s="24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5" t="n">
        <v>0.029672</v>
      </c>
    </row>
    <row r="7643">
      <c r="A7643" s="24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5" t="n">
        <v>0.057302</v>
      </c>
    </row>
    <row r="7644">
      <c r="A7644" s="24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5" t="n">
        <v>0.06252199999999999</v>
      </c>
    </row>
    <row r="7645">
      <c r="A7645" s="24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5" t="n">
        <v>0.209695</v>
      </c>
    </row>
    <row r="7646">
      <c r="A7646" s="24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5" t="n">
        <v>0.157681</v>
      </c>
    </row>
    <row r="7647">
      <c r="A7647" s="24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5" t="n">
        <v>0.072389</v>
      </c>
    </row>
    <row r="7648">
      <c r="A7648" s="24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5" t="n">
        <v>0.08616500000000001</v>
      </c>
    </row>
    <row r="7649">
      <c r="A7649" s="24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5" t="n">
        <v>0.069505</v>
      </c>
    </row>
    <row r="7650">
      <c r="A7650" s="24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5" t="n">
        <v>0.03712</v>
      </c>
    </row>
    <row r="7651">
      <c r="A7651" s="24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5" t="n">
        <v>0.043511</v>
      </c>
    </row>
    <row r="7652">
      <c r="A7652" s="24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5" t="n">
        <v>0.183879</v>
      </c>
    </row>
    <row r="7653">
      <c r="A7653" s="24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5" t="n">
        <v>0.076505</v>
      </c>
    </row>
    <row r="7654">
      <c r="A7654" s="24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5" t="n">
        <v>0.039779</v>
      </c>
    </row>
    <row r="7655">
      <c r="A7655" s="24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5" t="n">
        <v>0.042171</v>
      </c>
    </row>
    <row r="7656">
      <c r="A7656" s="24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5" t="n">
        <v>0.051434</v>
      </c>
    </row>
    <row r="7657">
      <c r="A7657" s="24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5" t="n">
        <v>0.045927</v>
      </c>
    </row>
    <row r="7658">
      <c r="A7658" s="24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5" t="n">
        <v>0.022165</v>
      </c>
    </row>
    <row r="7659">
      <c r="A7659" s="24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5" t="n">
        <v>0.017566</v>
      </c>
    </row>
    <row r="7660">
      <c r="A7660" s="24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5" t="n">
        <v>0.006377</v>
      </c>
    </row>
    <row r="7661">
      <c r="A7661" s="24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5" t="n">
        <v>0.092797</v>
      </c>
    </row>
    <row r="7662">
      <c r="A7662" s="24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5" t="n">
        <v>0.027422</v>
      </c>
    </row>
    <row r="7663">
      <c r="A7663" s="24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5" t="n">
        <v>0.03072</v>
      </c>
    </row>
    <row r="7664">
      <c r="A7664" s="24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5" t="n">
        <v>0.024088</v>
      </c>
    </row>
    <row r="7665">
      <c r="A7665" s="24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5" t="n">
        <v>0.088259</v>
      </c>
    </row>
    <row r="7666">
      <c r="A7666" s="24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5" t="n">
        <v>0.237558</v>
      </c>
    </row>
    <row r="7667">
      <c r="A7667" s="24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5" t="n">
        <v>0.109014</v>
      </c>
    </row>
    <row r="7668">
      <c r="A7668" s="24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5" t="n">
        <v>0.057876</v>
      </c>
    </row>
    <row r="7669">
      <c r="A7669" s="24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5" t="n">
        <v>0.130668</v>
      </c>
    </row>
    <row r="7670">
      <c r="A7670" s="24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5" t="n">
        <v>0.137606</v>
      </c>
    </row>
    <row r="7671">
      <c r="A7671" s="24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5" t="n">
        <v>0.160964</v>
      </c>
    </row>
    <row r="7672">
      <c r="A7672" s="24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5" t="n">
        <v>0.179588</v>
      </c>
    </row>
    <row r="7673">
      <c r="A7673" s="24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5" t="n">
        <v>0.074003</v>
      </c>
    </row>
    <row r="7674">
      <c r="A7674" s="24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5" t="n">
        <v>0.174553</v>
      </c>
    </row>
    <row r="7675">
      <c r="A7675" s="24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5" t="n">
        <v>0.06028</v>
      </c>
    </row>
    <row r="7676">
      <c r="A7676" s="24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5" t="n">
        <v>0.060949</v>
      </c>
    </row>
    <row r="7677">
      <c r="A7677" s="24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5" t="n">
        <v>0.045818</v>
      </c>
    </row>
    <row r="7678">
      <c r="A7678" s="24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5" t="n">
        <v>0.056122</v>
      </c>
    </row>
    <row r="7679">
      <c r="A7679" s="24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5" t="n">
        <v>0.171969</v>
      </c>
    </row>
    <row r="7680">
      <c r="A7680" s="24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5" t="n">
        <v>0.140562</v>
      </c>
    </row>
    <row r="7681">
      <c r="A7681" s="24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5" t="n">
        <v>0.038072</v>
      </c>
    </row>
    <row r="7682">
      <c r="A7682" s="24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5" t="n">
        <v>0.151831</v>
      </c>
    </row>
    <row r="7683">
      <c r="A7683" s="24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5" t="n">
        <v>0.042205</v>
      </c>
    </row>
    <row r="7684">
      <c r="A7684" s="24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5" t="n">
        <v>0.028441</v>
      </c>
    </row>
    <row r="7685">
      <c r="A7685" s="24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5" t="n">
        <v>0.028644</v>
      </c>
    </row>
    <row r="7686">
      <c r="A7686" s="24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5" t="n">
        <v>0.011452</v>
      </c>
    </row>
    <row r="7687">
      <c r="A7687" s="24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5" t="n">
        <v>0.068699</v>
      </c>
    </row>
    <row r="7688">
      <c r="A7688" s="24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5" t="n">
        <v>0.094902</v>
      </c>
    </row>
    <row r="7689">
      <c r="A7689" s="24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5" t="n">
        <v>0.025121</v>
      </c>
    </row>
    <row r="7690">
      <c r="A7690" s="24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5" t="n">
        <v>0.03694</v>
      </c>
    </row>
    <row r="7691">
      <c r="A7691" s="24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5" t="n">
        <v>0.09693499999999999</v>
      </c>
    </row>
    <row r="7692">
      <c r="A7692" s="24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5" t="n">
        <v>0.130783</v>
      </c>
    </row>
    <row r="7693">
      <c r="A7693" s="24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5" t="n">
        <v>0.054932</v>
      </c>
    </row>
    <row r="7694">
      <c r="A7694" s="24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5" t="n">
        <v>0.083555</v>
      </c>
    </row>
    <row r="7695">
      <c r="A7695" s="24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5" t="n">
        <v>0.178213</v>
      </c>
    </row>
    <row r="7696">
      <c r="A7696" s="24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5" t="n">
        <v>0.214147</v>
      </c>
    </row>
    <row r="7697">
      <c r="A7697" s="24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5" t="n">
        <v>0.05516</v>
      </c>
    </row>
    <row r="7698">
      <c r="A7698" s="24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5" t="n">
        <v>0.030708</v>
      </c>
    </row>
    <row r="7699">
      <c r="A7699" s="24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5" t="n">
        <v>0.014471</v>
      </c>
    </row>
    <row r="7700">
      <c r="A7700" s="24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5" t="n">
        <v>0.010201</v>
      </c>
    </row>
    <row r="7701">
      <c r="A7701" s="24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5" t="n">
        <v>0.031763</v>
      </c>
    </row>
    <row r="7702">
      <c r="A7702" s="24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5" t="n">
        <v>0.018227</v>
      </c>
    </row>
    <row r="7703">
      <c r="A7703" s="24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5" t="n">
        <v>0.019492</v>
      </c>
    </row>
    <row r="7704">
      <c r="A7704" s="24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5" t="n">
        <v>0.017461</v>
      </c>
    </row>
    <row r="7705">
      <c r="A7705" s="24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5" t="n">
        <v>0.026967</v>
      </c>
    </row>
    <row r="7706">
      <c r="A7706" s="24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5" t="n">
        <v>0.010822</v>
      </c>
    </row>
    <row r="7707">
      <c r="A7707" s="24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5" t="n">
        <v>0.014003</v>
      </c>
    </row>
    <row r="7708">
      <c r="A7708" s="24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5" t="n">
        <v>0.013459</v>
      </c>
    </row>
    <row r="7709">
      <c r="A7709" s="24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5" t="n">
        <v>0.013337</v>
      </c>
    </row>
    <row r="7710">
      <c r="A7710" s="24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5" t="n">
        <v>0.019864</v>
      </c>
    </row>
    <row r="7711">
      <c r="A7711" s="24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5" t="n">
        <v>0.020015</v>
      </c>
    </row>
    <row r="7712">
      <c r="A7712" s="24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5" t="n">
        <v>0.033646</v>
      </c>
    </row>
    <row r="7713">
      <c r="A7713" s="24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5" t="n">
        <v>0.07543999999999999</v>
      </c>
    </row>
    <row r="7714">
      <c r="A7714" s="24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5" t="n">
        <v>0.082788</v>
      </c>
    </row>
    <row r="7715">
      <c r="A7715" s="24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5" t="n">
        <v>0.177701</v>
      </c>
    </row>
    <row r="7716">
      <c r="A7716" s="24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5" t="n">
        <v>0.152185</v>
      </c>
    </row>
    <row r="7717">
      <c r="A7717" s="24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5" t="n">
        <v>0.145815</v>
      </c>
    </row>
    <row r="7718">
      <c r="A7718" s="24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5" t="n">
        <v>0.193384</v>
      </c>
    </row>
    <row r="7719">
      <c r="A7719" s="24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5" t="n">
        <v>0.249623</v>
      </c>
    </row>
    <row r="7720">
      <c r="A7720" s="24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5" t="n">
        <v>0.130889</v>
      </c>
    </row>
    <row r="7721">
      <c r="A7721" s="24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5" t="n">
        <v>0.070561</v>
      </c>
    </row>
    <row r="7722">
      <c r="A7722" s="24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5" t="n">
        <v>0.037817</v>
      </c>
    </row>
    <row r="7723">
      <c r="A7723" s="24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5" t="n">
        <v>0.034927</v>
      </c>
    </row>
    <row r="7724">
      <c r="A7724" s="24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5" t="n">
        <v>0.045534</v>
      </c>
    </row>
    <row r="7725">
      <c r="A7725" s="24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5" t="n">
        <v>0.213464</v>
      </c>
    </row>
    <row r="7726">
      <c r="A7726" s="24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5" t="n">
        <v>0.102324</v>
      </c>
    </row>
    <row r="7727">
      <c r="A7727" s="24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5" t="n">
        <v>0.177991</v>
      </c>
    </row>
    <row r="7728">
      <c r="A7728" s="24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5" t="n">
        <v>0.219922</v>
      </c>
    </row>
    <row r="7729">
      <c r="A7729" s="24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5" t="n">
        <v>0.04897</v>
      </c>
    </row>
    <row r="7730">
      <c r="A7730" s="24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5" t="n">
        <v>0.07929600000000001</v>
      </c>
    </row>
    <row r="7731">
      <c r="A7731" s="24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5" t="n">
        <v>0.035516</v>
      </c>
    </row>
    <row r="7732">
      <c r="A7732" s="24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5" t="n">
        <v>0.033266</v>
      </c>
    </row>
    <row r="7733">
      <c r="A7733" s="24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5" t="n">
        <v>0.035819</v>
      </c>
    </row>
    <row r="7734">
      <c r="A7734" s="24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5" t="n">
        <v>0.024307</v>
      </c>
    </row>
    <row r="7735">
      <c r="A7735" s="24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5" t="n">
        <v>0.025969</v>
      </c>
    </row>
    <row r="7736">
      <c r="A7736" s="24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5" t="n">
        <v>0.010691</v>
      </c>
    </row>
    <row r="7737">
      <c r="A7737" s="24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5" t="n">
        <v>0.08143300000000001</v>
      </c>
    </row>
    <row r="7738">
      <c r="A7738" s="24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5" t="n">
        <v>0.07538</v>
      </c>
    </row>
    <row r="7739">
      <c r="A7739" s="24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5" t="n">
        <v>0.148346</v>
      </c>
    </row>
    <row r="7740">
      <c r="A7740" s="24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5" t="n">
        <v>0.144322</v>
      </c>
    </row>
    <row r="7741">
      <c r="A7741" s="24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5" t="n">
        <v>0.203617</v>
      </c>
    </row>
    <row r="7742">
      <c r="A7742" s="24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5" t="n">
        <v>0.103167</v>
      </c>
    </row>
    <row r="7743">
      <c r="A7743" s="24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5" t="n">
        <v>0.0418</v>
      </c>
    </row>
    <row r="7744">
      <c r="A7744" s="24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5" t="n">
        <v>0.090771</v>
      </c>
    </row>
    <row r="7745">
      <c r="A7745" s="24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5" t="n">
        <v>0.198921</v>
      </c>
    </row>
    <row r="7746">
      <c r="A7746" s="24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5" t="n">
        <v>0.068049</v>
      </c>
    </row>
    <row r="7747">
      <c r="A7747" s="24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5" t="n">
        <v>0.059163</v>
      </c>
    </row>
    <row r="7748">
      <c r="A7748" s="24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5" t="n">
        <v>0.109797</v>
      </c>
    </row>
    <row r="7749">
      <c r="A7749" s="24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5" t="n">
        <v>0.084164</v>
      </c>
    </row>
    <row r="7750">
      <c r="A7750" s="24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5" t="n">
        <v>0.025848</v>
      </c>
    </row>
    <row r="7751">
      <c r="A7751" s="24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5" t="n">
        <v>0.205337</v>
      </c>
    </row>
    <row r="7752">
      <c r="A7752" s="24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5" t="n">
        <v>0.07363</v>
      </c>
    </row>
    <row r="7753">
      <c r="A7753" s="24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5" t="n">
        <v>0.261225</v>
      </c>
    </row>
    <row r="7754">
      <c r="A7754" s="24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5" t="n">
        <v>0.108082</v>
      </c>
    </row>
    <row r="7755">
      <c r="A7755" s="24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5" t="n">
        <v>0.181904</v>
      </c>
    </row>
    <row r="7756">
      <c r="A7756" s="24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5" t="n">
        <v>0.363395</v>
      </c>
    </row>
    <row r="7757">
      <c r="A7757" s="24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5" t="n">
        <v>0.392676</v>
      </c>
    </row>
    <row r="7758">
      <c r="A7758" s="24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5" t="n">
        <v>0.35735</v>
      </c>
    </row>
    <row r="7759">
      <c r="A7759" s="24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5" t="n">
        <v>0.073217</v>
      </c>
    </row>
    <row r="7760">
      <c r="A7760" s="24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5" t="n">
        <v>0.071828</v>
      </c>
    </row>
    <row r="7761">
      <c r="A7761" s="24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5" t="n">
        <v>0.216974</v>
      </c>
    </row>
    <row r="7762">
      <c r="A7762" s="24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5" t="n">
        <v>0.305892</v>
      </c>
    </row>
    <row r="7763">
      <c r="A7763" s="24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5" t="n">
        <v>0.264104</v>
      </c>
    </row>
    <row r="7764">
      <c r="A7764" s="24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5" t="n">
        <v>0.361293</v>
      </c>
    </row>
    <row r="7765">
      <c r="A7765" s="24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5" t="n">
        <v>0.274867</v>
      </c>
    </row>
    <row r="7766">
      <c r="A7766" s="24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5" t="n">
        <v>0.12464</v>
      </c>
    </row>
    <row r="7767">
      <c r="A7767" s="24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5" t="n">
        <v>0.190132</v>
      </c>
    </row>
    <row r="7768">
      <c r="A7768" s="24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5" t="n">
        <v>0.042498</v>
      </c>
    </row>
    <row r="7769">
      <c r="A7769" s="24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5" t="n">
        <v>0.021203</v>
      </c>
    </row>
    <row r="7770">
      <c r="A7770" s="24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5" t="n">
        <v>0.010523</v>
      </c>
    </row>
    <row r="7771">
      <c r="A7771" s="24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5" t="n">
        <v>0.005424</v>
      </c>
    </row>
    <row r="7772">
      <c r="A7772" s="24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5" t="n">
        <v>0.012553</v>
      </c>
    </row>
    <row r="7773">
      <c r="A7773" s="24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5" t="n">
        <v>0.172046</v>
      </c>
    </row>
    <row r="7774">
      <c r="A7774" s="24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5" t="n">
        <v>0.352745</v>
      </c>
    </row>
    <row r="7775">
      <c r="A7775" s="24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5" t="n">
        <v>0.383539</v>
      </c>
    </row>
    <row r="7776">
      <c r="A7776" s="24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5" t="n">
        <v>0.264324</v>
      </c>
    </row>
    <row r="7777">
      <c r="A7777" s="24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5" t="n">
        <v>0.191139</v>
      </c>
    </row>
    <row r="7778">
      <c r="A7778" s="24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5" t="n">
        <v>0.316469</v>
      </c>
    </row>
    <row r="7779">
      <c r="A7779" s="24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5" t="n">
        <v>0.153706</v>
      </c>
    </row>
    <row r="7780">
      <c r="A7780" s="24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5" t="n">
        <v>0.08204400000000001</v>
      </c>
    </row>
    <row r="7781">
      <c r="A7781" s="24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5" t="n">
        <v>0.209378</v>
      </c>
    </row>
    <row r="7782">
      <c r="A7782" s="24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5" t="n">
        <v>0.153922</v>
      </c>
    </row>
    <row r="7783">
      <c r="A7783" s="24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5" t="n">
        <v>0.134746</v>
      </c>
    </row>
    <row r="7784">
      <c r="A7784" s="24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5" t="n">
        <v>0.085156</v>
      </c>
    </row>
    <row r="7785">
      <c r="A7785" s="24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5" t="n">
        <v>0.087213</v>
      </c>
    </row>
    <row r="7786">
      <c r="A7786" s="24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5" t="n">
        <v>0.033128</v>
      </c>
    </row>
    <row r="7787">
      <c r="A7787" s="24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5" t="n">
        <v>0.019544</v>
      </c>
    </row>
    <row r="7788">
      <c r="A7788" s="24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5" t="n">
        <v>0.024884</v>
      </c>
    </row>
    <row r="7789">
      <c r="A7789" s="24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5" t="n">
        <v>0.009136999999999999</v>
      </c>
    </row>
    <row r="7790">
      <c r="A7790" s="24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5" t="n">
        <v>0.081055</v>
      </c>
    </row>
    <row r="7791">
      <c r="A7791" s="24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5" t="n">
        <v>0.34085</v>
      </c>
    </row>
    <row r="7792">
      <c r="A7792" s="24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5" t="n">
        <v>0.319719</v>
      </c>
    </row>
    <row r="7793">
      <c r="A7793" s="24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5" t="n">
        <v>0.151836</v>
      </c>
    </row>
    <row r="7794">
      <c r="A7794" s="24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5" t="n">
        <v>0.071113</v>
      </c>
    </row>
    <row r="7795">
      <c r="A7795" s="24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5" t="n">
        <v>0.103328</v>
      </c>
    </row>
    <row r="7796">
      <c r="A7796" s="24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5" t="n">
        <v>0.074561</v>
      </c>
    </row>
    <row r="7797">
      <c r="A7797" s="24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5" t="n">
        <v>0.04827</v>
      </c>
    </row>
    <row r="7798">
      <c r="A7798" s="24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5" t="n">
        <v>0.019541</v>
      </c>
    </row>
    <row r="7799">
      <c r="A7799" s="24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5" t="n">
        <v>0.067319</v>
      </c>
    </row>
    <row r="7800">
      <c r="A7800" s="24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5" t="n">
        <v>0.063807</v>
      </c>
    </row>
    <row r="7801">
      <c r="A7801" s="24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5" t="n">
        <v>0.101512</v>
      </c>
    </row>
    <row r="7802">
      <c r="A7802" s="24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5" t="n">
        <v>0.275377</v>
      </c>
    </row>
    <row r="7803">
      <c r="A7803" s="24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5" t="n">
        <v>0.204254</v>
      </c>
    </row>
    <row r="7804">
      <c r="A7804" s="24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5" t="n">
        <v>0.126189</v>
      </c>
    </row>
    <row r="7805">
      <c r="A7805" s="24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5" t="n">
        <v>0.361801</v>
      </c>
    </row>
    <row r="7806">
      <c r="A7806" s="24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5" t="n">
        <v>0.388733</v>
      </c>
    </row>
    <row r="7807">
      <c r="A7807" s="24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5" t="n">
        <v>0.181698</v>
      </c>
    </row>
    <row r="7808">
      <c r="A7808" s="24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5" t="n">
        <v>0.122021</v>
      </c>
    </row>
    <row r="7809">
      <c r="A7809" s="24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5" t="n">
        <v>0.064317</v>
      </c>
    </row>
    <row r="7810">
      <c r="A7810" s="24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5" t="n">
        <v>0.06312</v>
      </c>
    </row>
    <row r="7811">
      <c r="A7811" s="24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5" t="n">
        <v>0.117146</v>
      </c>
    </row>
    <row r="7812">
      <c r="A7812" s="24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5" t="n">
        <v>0.350609</v>
      </c>
    </row>
    <row r="7813">
      <c r="A7813" s="24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5" t="n">
        <v>0.38813</v>
      </c>
    </row>
    <row r="7814">
      <c r="A7814" s="24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5" t="n">
        <v>0.39843</v>
      </c>
    </row>
    <row r="7815">
      <c r="A7815" s="24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5" t="n">
        <v>0.256633</v>
      </c>
    </row>
    <row r="7816">
      <c r="A7816" s="24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5" t="n">
        <v>0.082401</v>
      </c>
    </row>
    <row r="7817">
      <c r="A7817" s="24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5" t="n">
        <v>0.132193</v>
      </c>
    </row>
    <row r="7818">
      <c r="A7818" s="24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5" t="n">
        <v>0.359883</v>
      </c>
    </row>
    <row r="7819">
      <c r="A7819" s="24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5" t="n">
        <v>0.38923</v>
      </c>
    </row>
    <row r="7820">
      <c r="A7820" s="24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5" t="n">
        <v>0.401568</v>
      </c>
    </row>
    <row r="7821">
      <c r="A7821" s="24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5" t="n">
        <v>0.301749</v>
      </c>
    </row>
    <row r="7822">
      <c r="A7822" s="24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5" t="n">
        <v>0.104016</v>
      </c>
    </row>
    <row r="7823">
      <c r="A7823" s="24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5" t="n">
        <v>0.178932</v>
      </c>
    </row>
    <row r="7824">
      <c r="A7824" s="24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5" t="n">
        <v>0.06740500000000001</v>
      </c>
    </row>
    <row r="7825">
      <c r="A7825" s="24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5" t="n">
        <v>0.275959</v>
      </c>
    </row>
    <row r="7826">
      <c r="A7826" s="24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5" t="n">
        <v>0.075892</v>
      </c>
    </row>
    <row r="7827">
      <c r="A7827" s="24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5" t="n">
        <v>0.1594</v>
      </c>
    </row>
    <row r="7828">
      <c r="A7828" s="24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5" t="n">
        <v>0.155528</v>
      </c>
    </row>
    <row r="7829">
      <c r="A7829" s="24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5" t="n">
        <v>0.279336</v>
      </c>
    </row>
    <row r="7830">
      <c r="A7830" s="24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5" t="n">
        <v>0.381644</v>
      </c>
    </row>
    <row r="7831">
      <c r="A7831" s="24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5" t="n">
        <v>0.397597</v>
      </c>
    </row>
    <row r="7832">
      <c r="A7832" s="24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5" t="n">
        <v>0.208951</v>
      </c>
    </row>
    <row r="7833">
      <c r="A7833" s="24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5" t="n">
        <v>0.061519</v>
      </c>
    </row>
    <row r="7834">
      <c r="A7834" s="24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5" t="n">
        <v>0.029591</v>
      </c>
    </row>
    <row r="7835">
      <c r="A7835" s="24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5" t="n">
        <v>0.345611</v>
      </c>
    </row>
    <row r="7836">
      <c r="A7836" s="24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5" t="n">
        <v>0.380516</v>
      </c>
    </row>
    <row r="7837">
      <c r="A7837" s="24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5" t="n">
        <v>0.344075</v>
      </c>
    </row>
    <row r="7838">
      <c r="A7838" s="24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5" t="n">
        <v>0.170107</v>
      </c>
    </row>
    <row r="7839">
      <c r="A7839" s="24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5" t="n">
        <v>0.346083</v>
      </c>
    </row>
    <row r="7840">
      <c r="A7840" s="24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5" t="n">
        <v>0.403174</v>
      </c>
    </row>
    <row r="7841">
      <c r="A7841" s="24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5" t="n">
        <v>0.413742</v>
      </c>
    </row>
    <row r="7842">
      <c r="A7842" s="24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5" t="n">
        <v>0.404823</v>
      </c>
    </row>
    <row r="7843">
      <c r="A7843" s="24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5" t="n">
        <v>0.405337</v>
      </c>
    </row>
    <row r="7844">
      <c r="A7844" s="24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5" t="n">
        <v>0.409307</v>
      </c>
    </row>
    <row r="7845">
      <c r="A7845" s="24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5" t="n">
        <v>0.870776</v>
      </c>
    </row>
    <row r="7846">
      <c r="A7846" s="24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5" t="n">
        <v>0.868723</v>
      </c>
    </row>
    <row r="7847">
      <c r="A7847" s="24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5" t="n">
        <v>0.411727</v>
      </c>
    </row>
    <row r="7848">
      <c r="A7848" s="24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5" t="n">
        <v>0.412642</v>
      </c>
    </row>
    <row r="7849">
      <c r="A7849" s="24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5" t="n">
        <v>0.410975</v>
      </c>
    </row>
    <row r="7850">
      <c r="A7850" s="24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5" t="n">
        <v>0.416056</v>
      </c>
    </row>
    <row r="7851">
      <c r="A7851" s="24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5" t="n">
        <v>0.413583</v>
      </c>
    </row>
    <row r="7852">
      <c r="A7852" s="24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5" t="n">
        <v>0.409284</v>
      </c>
    </row>
    <row r="7853">
      <c r="A7853" s="24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5" t="n">
        <v>0.416834</v>
      </c>
    </row>
    <row r="7854">
      <c r="A7854" s="24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5" t="n">
        <v>0.415772</v>
      </c>
    </row>
    <row r="7855">
      <c r="A7855" s="24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5" t="n">
        <v>0.41858</v>
      </c>
    </row>
    <row r="7856">
      <c r="A7856" s="24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5" t="n">
        <v>0.417269</v>
      </c>
    </row>
    <row r="7857">
      <c r="A7857" s="24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5" t="n">
        <v>0.408448</v>
      </c>
    </row>
    <row r="7858">
      <c r="A7858" s="24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5" t="n">
        <v>0.413715</v>
      </c>
    </row>
    <row r="7859">
      <c r="A7859" s="24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5" t="n">
        <v>0.424887</v>
      </c>
    </row>
    <row r="7860">
      <c r="A7860" s="24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5" t="n">
        <v>0.714776</v>
      </c>
    </row>
    <row r="7861">
      <c r="A7861" s="24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5" t="n">
        <v>0.703889</v>
      </c>
    </row>
    <row r="7862">
      <c r="A7862" s="24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5" t="n">
        <v>0.410449</v>
      </c>
    </row>
    <row r="7863">
      <c r="A7863" s="24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5" t="n">
        <v>0.410904</v>
      </c>
    </row>
    <row r="7864">
      <c r="A7864" s="24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5" t="n">
        <v>0.6574140000000001</v>
      </c>
    </row>
    <row r="7865">
      <c r="A7865" s="24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5" t="n">
        <v>0.656054</v>
      </c>
    </row>
    <row r="7866">
      <c r="A7866" s="24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5" t="n">
        <v>0.85462</v>
      </c>
    </row>
    <row r="7867">
      <c r="A7867" s="24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5" t="n">
        <v>1.706779</v>
      </c>
    </row>
    <row r="7868">
      <c r="A7868" s="24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5" t="n">
        <v>1.262417</v>
      </c>
    </row>
    <row r="7869">
      <c r="A7869" s="24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5" t="n">
        <v>0.593804</v>
      </c>
    </row>
    <row r="7870">
      <c r="A7870" s="24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5" t="n">
        <v>0.917353</v>
      </c>
    </row>
    <row r="7871">
      <c r="A7871" s="24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5" t="n">
        <v>0.734172</v>
      </c>
    </row>
    <row r="7872">
      <c r="A7872" s="24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5" t="n">
        <v>0.791781</v>
      </c>
    </row>
    <row r="7873">
      <c r="A7873" s="24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5" t="n">
        <v>0.890444</v>
      </c>
    </row>
    <row r="7874">
      <c r="A7874" s="24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5" t="n">
        <v>1.253629</v>
      </c>
    </row>
    <row r="7875">
      <c r="A7875" s="24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5" t="n">
        <v>1.155984</v>
      </c>
    </row>
    <row r="7876">
      <c r="A7876" s="24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5" t="n">
        <v>0.409511</v>
      </c>
    </row>
    <row r="7877">
      <c r="A7877" s="24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5" t="n">
        <v>0.407043</v>
      </c>
    </row>
    <row r="7878">
      <c r="A7878" s="24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5" t="n">
        <v>0.220608</v>
      </c>
    </row>
    <row r="7879">
      <c r="A7879" s="24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5" t="n">
        <v>0.060393</v>
      </c>
    </row>
    <row r="7880">
      <c r="A7880" s="24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5" t="n">
        <v>0.060892</v>
      </c>
    </row>
    <row r="7881">
      <c r="A7881" s="24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5" t="n">
        <v>0.34692</v>
      </c>
    </row>
    <row r="7882">
      <c r="A7882" s="24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5" t="n">
        <v>0.38436</v>
      </c>
    </row>
    <row r="7883">
      <c r="A7883" s="24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5" t="n">
        <v>0.272639</v>
      </c>
    </row>
    <row r="7884">
      <c r="A7884" s="24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5" t="n">
        <v>0.178635</v>
      </c>
    </row>
    <row r="7885">
      <c r="A7885" s="24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5" t="n">
        <v>0.37955</v>
      </c>
    </row>
    <row r="7886">
      <c r="A7886" s="24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5" t="n">
        <v>0.404553</v>
      </c>
    </row>
    <row r="7887">
      <c r="A7887" s="24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5" t="n">
        <v>0.408557</v>
      </c>
    </row>
    <row r="7888">
      <c r="A7888" s="24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5" t="n">
        <v>0.406421</v>
      </c>
    </row>
    <row r="7889">
      <c r="A7889" s="24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5" t="n">
        <v>0.406661</v>
      </c>
    </row>
    <row r="7890">
      <c r="A7890" s="24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5" t="n">
        <v>0.408752</v>
      </c>
    </row>
    <row r="7891">
      <c r="A7891" s="24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5" t="n">
        <v>0.238998</v>
      </c>
    </row>
    <row r="7892">
      <c r="A7892" s="24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5" t="n">
        <v>0.396817</v>
      </c>
    </row>
    <row r="7893">
      <c r="A7893" s="24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5" t="n">
        <v>0.582389</v>
      </c>
    </row>
    <row r="7894">
      <c r="A7894" s="24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5" t="n">
        <v>0.578159</v>
      </c>
    </row>
    <row r="7895">
      <c r="A7895" s="24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5" t="n">
        <v>0.40862</v>
      </c>
    </row>
    <row r="7896">
      <c r="A7896" s="24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5" t="n">
        <v>0.49293</v>
      </c>
    </row>
    <row r="7897">
      <c r="A7897" s="24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5" t="n">
        <v>0.6612</v>
      </c>
    </row>
    <row r="7898">
      <c r="A7898" s="24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5" t="n">
        <v>0.577299</v>
      </c>
    </row>
    <row r="7899">
      <c r="A7899" s="24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5" t="n">
        <v>0.410842</v>
      </c>
    </row>
    <row r="7900">
      <c r="A7900" s="24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5" t="n">
        <v>0.41141</v>
      </c>
    </row>
    <row r="7901">
      <c r="A7901" s="24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5" t="n">
        <v>0.409323</v>
      </c>
    </row>
    <row r="7902">
      <c r="A7902" s="24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5" t="n">
        <v>1.091662</v>
      </c>
    </row>
    <row r="7903">
      <c r="A7903" s="24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5" t="n">
        <v>1.140407</v>
      </c>
    </row>
    <row r="7904">
      <c r="A7904" s="24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5" t="n">
        <v>0.504943</v>
      </c>
    </row>
    <row r="7905">
      <c r="A7905" s="24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5" t="n">
        <v>0.453587</v>
      </c>
    </row>
    <row r="7906">
      <c r="A7906" s="24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5" t="n">
        <v>0.406144</v>
      </c>
    </row>
    <row r="7907">
      <c r="A7907" s="24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5" t="n">
        <v>0.408903</v>
      </c>
    </row>
    <row r="7908">
      <c r="A7908" s="24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5" t="n">
        <v>0.211679</v>
      </c>
    </row>
    <row r="7909">
      <c r="A7909" s="24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5" t="n">
        <v>0.387054</v>
      </c>
    </row>
    <row r="7910">
      <c r="A7910" s="24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5" t="n">
        <v>0.508981</v>
      </c>
    </row>
    <row r="7911">
      <c r="A7911" s="24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5" t="n">
        <v>0.685953</v>
      </c>
    </row>
    <row r="7912">
      <c r="A7912" s="24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5" t="n">
        <v>0.977812</v>
      </c>
    </row>
    <row r="7913">
      <c r="A7913" s="24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5" t="n">
        <v>0.806377</v>
      </c>
    </row>
    <row r="7914">
      <c r="A7914" s="24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5" t="n">
        <v>0.410076</v>
      </c>
    </row>
    <row r="7915">
      <c r="A7915" s="24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5" t="n">
        <v>0.410152</v>
      </c>
    </row>
    <row r="7916">
      <c r="A7916" s="24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5" t="n">
        <v>0.411487</v>
      </c>
    </row>
    <row r="7917">
      <c r="A7917" s="24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5" t="n">
        <v>0.41605</v>
      </c>
    </row>
    <row r="7918">
      <c r="A7918" s="24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5" t="n">
        <v>0.414365</v>
      </c>
    </row>
    <row r="7919">
      <c r="A7919" s="24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5" t="n">
        <v>0.399017</v>
      </c>
    </row>
    <row r="7920">
      <c r="A7920" s="24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5" t="n">
        <v>0.412719</v>
      </c>
    </row>
    <row r="7921">
      <c r="A7921" s="24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5" t="n">
        <v>0.418764</v>
      </c>
    </row>
    <row r="7922">
      <c r="A7922" s="24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5" t="n">
        <v>0.55685</v>
      </c>
    </row>
    <row r="7923">
      <c r="A7923" s="24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5" t="n">
        <v>0.762606</v>
      </c>
    </row>
    <row r="7924">
      <c r="A7924" s="24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5" t="n">
        <v>0.619466</v>
      </c>
    </row>
    <row r="7925">
      <c r="A7925" s="24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5" t="n">
        <v>0.41013</v>
      </c>
    </row>
    <row r="7926">
      <c r="A7926" s="24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5" t="n">
        <v>0.412408</v>
      </c>
    </row>
    <row r="7927">
      <c r="A7927" s="24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5" t="n">
        <v>0.419166</v>
      </c>
    </row>
    <row r="7928">
      <c r="A7928" s="24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5" t="n">
        <v>0.650249</v>
      </c>
    </row>
    <row r="7929">
      <c r="A7929" s="24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5" t="n">
        <v>0.642272</v>
      </c>
    </row>
    <row r="7930">
      <c r="A7930" s="24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5" t="n">
        <v>0.40893</v>
      </c>
    </row>
    <row r="7931">
      <c r="A7931" s="24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5" t="n">
        <v>0.413084</v>
      </c>
    </row>
    <row r="7932">
      <c r="A7932" s="24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5" t="n">
        <v>0.41939</v>
      </c>
    </row>
    <row r="7933">
      <c r="A7933" s="24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5" t="n">
        <v>0.41477</v>
      </c>
    </row>
    <row r="7934">
      <c r="A7934" s="24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5" t="n">
        <v>0.413423</v>
      </c>
    </row>
    <row r="7935">
      <c r="A7935" s="24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5" t="n">
        <v>0.414371</v>
      </c>
    </row>
    <row r="7936">
      <c r="A7936" s="24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5" t="n">
        <v>0.408855</v>
      </c>
    </row>
    <row r="7937">
      <c r="A7937" s="24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5" t="n">
        <v>0.225358</v>
      </c>
    </row>
    <row r="7938">
      <c r="A7938" s="24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5" t="n">
        <v>0.143775</v>
      </c>
    </row>
    <row r="7939">
      <c r="A7939" s="24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5" t="n">
        <v>0.148803</v>
      </c>
    </row>
    <row r="7940">
      <c r="A7940" s="24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5" t="n">
        <v>0.288258</v>
      </c>
    </row>
    <row r="7941">
      <c r="A7941" s="24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5" t="n">
        <v>0.113675</v>
      </c>
    </row>
    <row r="7942">
      <c r="A7942" s="24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5" t="n">
        <v>0.034336</v>
      </c>
    </row>
    <row r="7943">
      <c r="A7943" s="24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5" t="n">
        <v>0.201892</v>
      </c>
    </row>
    <row r="7944">
      <c r="A7944" s="24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5" t="n">
        <v>0.165568</v>
      </c>
    </row>
    <row r="7945">
      <c r="A7945" s="24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5" t="n">
        <v>0.364205</v>
      </c>
    </row>
    <row r="7946">
      <c r="A7946" s="24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5" t="n">
        <v>0.389115</v>
      </c>
    </row>
    <row r="7947">
      <c r="A7947" s="24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5" t="n">
        <v>0.171926</v>
      </c>
    </row>
    <row r="7948">
      <c r="A7948" s="24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5" t="n">
        <v>0.347531</v>
      </c>
    </row>
    <row r="7949">
      <c r="A7949" s="24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5" t="n">
        <v>0.126045</v>
      </c>
    </row>
    <row r="7950">
      <c r="A7950" s="24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5" t="n">
        <v>0.171137</v>
      </c>
    </row>
    <row r="7951">
      <c r="A7951" s="24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5" t="n">
        <v>0.087549</v>
      </c>
    </row>
    <row r="7952">
      <c r="A7952" s="24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5" t="n">
        <v>0.216631</v>
      </c>
    </row>
    <row r="7953">
      <c r="A7953" s="24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5" t="n">
        <v>0.121876</v>
      </c>
    </row>
    <row r="7954">
      <c r="A7954" s="24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5" t="n">
        <v>0.131094</v>
      </c>
    </row>
    <row r="7955">
      <c r="A7955" s="24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5" t="n">
        <v>0.251232</v>
      </c>
    </row>
    <row r="7956">
      <c r="A7956" s="24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5" t="n">
        <v>0.236921</v>
      </c>
    </row>
    <row r="7957">
      <c r="A7957" s="24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5" t="n">
        <v>0.195117</v>
      </c>
    </row>
    <row r="7958">
      <c r="A7958" s="24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5" t="n">
        <v>0.371051</v>
      </c>
    </row>
    <row r="7959">
      <c r="A7959" s="24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5" t="n">
        <v>0.166596</v>
      </c>
    </row>
    <row r="7960">
      <c r="A7960" s="24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5" t="n">
        <v>0.068416</v>
      </c>
    </row>
    <row r="7961">
      <c r="A7961" s="24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5" t="n">
        <v>0.041</v>
      </c>
    </row>
    <row r="7962">
      <c r="A7962" s="24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5" t="n">
        <v>0.150554</v>
      </c>
    </row>
    <row r="7963">
      <c r="A7963" s="24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5" t="n">
        <v>0.241883</v>
      </c>
    </row>
    <row r="7964">
      <c r="A7964" s="24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5" t="n">
        <v>0.21614</v>
      </c>
    </row>
    <row r="7965">
      <c r="A7965" s="24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5" t="n">
        <v>0.10199</v>
      </c>
    </row>
    <row r="7966">
      <c r="A7966" s="24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5" t="n">
        <v>0.067289</v>
      </c>
    </row>
    <row r="7967">
      <c r="A7967" s="24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5" t="n">
        <v>0.048367</v>
      </c>
    </row>
    <row r="7968">
      <c r="A7968" s="24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5" t="n">
        <v>0.037612</v>
      </c>
    </row>
    <row r="7969">
      <c r="A7969" s="24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5" t="n">
        <v>0.011737</v>
      </c>
    </row>
    <row r="7970">
      <c r="A7970" s="24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5" t="n">
        <v>0.013422</v>
      </c>
    </row>
    <row r="7971">
      <c r="A7971" s="24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5" t="n">
        <v>0.024403</v>
      </c>
    </row>
    <row r="7972">
      <c r="A7972" s="24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5" t="n">
        <v>0.030842</v>
      </c>
    </row>
    <row r="7973">
      <c r="A7973" s="24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5" t="n">
        <v>0.009415</v>
      </c>
    </row>
    <row r="7974">
      <c r="A7974" s="24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5" t="n">
        <v>0.007282</v>
      </c>
    </row>
    <row r="7975">
      <c r="A7975" s="24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5" t="n">
        <v>0.011803</v>
      </c>
    </row>
    <row r="7976">
      <c r="A7976" s="24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5" t="n">
        <v>0.027922</v>
      </c>
    </row>
    <row r="7977">
      <c r="A7977" s="24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5" t="n">
        <v>0.052498</v>
      </c>
    </row>
    <row r="7978">
      <c r="A7978" s="24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5" t="n">
        <v>0.079995</v>
      </c>
    </row>
    <row r="7979">
      <c r="A7979" s="24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5" t="n">
        <v>0.057983</v>
      </c>
    </row>
    <row r="7980">
      <c r="A7980" s="24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5" t="n">
        <v>0.070037</v>
      </c>
    </row>
    <row r="7981">
      <c r="A7981" s="24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5" t="n">
        <v>0.045319</v>
      </c>
    </row>
    <row r="7982">
      <c r="A7982" s="24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5" t="n">
        <v>0.026106</v>
      </c>
    </row>
    <row r="7983">
      <c r="A7983" s="24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5" t="n">
        <v>0.045315</v>
      </c>
    </row>
    <row r="7984">
      <c r="A7984" s="24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5" t="n">
        <v>0.10743</v>
      </c>
    </row>
    <row r="7985">
      <c r="A7985" s="24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5" t="n">
        <v>0.110624</v>
      </c>
    </row>
    <row r="7986">
      <c r="A7986" s="24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5" t="n">
        <v>0.029674</v>
      </c>
    </row>
    <row r="7987">
      <c r="A7987" s="24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5" t="n">
        <v>0.011654</v>
      </c>
    </row>
    <row r="7988">
      <c r="A7988" s="24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5" t="n">
        <v>0.015087</v>
      </c>
    </row>
    <row r="7989">
      <c r="A7989" s="24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5" t="n">
        <v>0.031444</v>
      </c>
    </row>
    <row r="7990">
      <c r="A7990" s="24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5" t="n">
        <v>0.022871</v>
      </c>
    </row>
    <row r="7991">
      <c r="A7991" s="24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5" t="n">
        <v>0.031416</v>
      </c>
    </row>
    <row r="7992">
      <c r="A7992" s="24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5" t="n">
        <v>0.049268</v>
      </c>
    </row>
    <row r="7993">
      <c r="A7993" s="24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5" t="n">
        <v>0.02936</v>
      </c>
    </row>
    <row r="7994">
      <c r="A7994" s="24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5" t="n">
        <v>0.03057</v>
      </c>
    </row>
    <row r="7995">
      <c r="A7995" s="24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5" t="n">
        <v>0.073258</v>
      </c>
    </row>
    <row r="7996">
      <c r="A7996" s="24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5" t="n">
        <v>0.170044</v>
      </c>
    </row>
    <row r="7997">
      <c r="A7997" s="24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5" t="n">
        <v>0.146492</v>
      </c>
    </row>
    <row r="7998">
      <c r="A7998" s="24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5" t="n">
        <v>0.356659</v>
      </c>
    </row>
    <row r="7999">
      <c r="A7999" s="24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5" t="n">
        <v>0.144938</v>
      </c>
    </row>
    <row r="8000">
      <c r="A8000" s="24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5" t="n">
        <v>0.113088</v>
      </c>
    </row>
    <row r="8001">
      <c r="A8001" s="24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5" t="n">
        <v>0.357614</v>
      </c>
    </row>
    <row r="8002">
      <c r="A8002" s="24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5" t="n">
        <v>0.158169</v>
      </c>
    </row>
    <row r="8003">
      <c r="A8003" s="24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5" t="n">
        <v>0.057484</v>
      </c>
    </row>
    <row r="8004">
      <c r="A8004" s="24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5" t="n">
        <v>0.137137</v>
      </c>
    </row>
    <row r="8005">
      <c r="A8005" s="24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5" t="n">
        <v>0.05534</v>
      </c>
    </row>
    <row r="8006">
      <c r="A8006" s="24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5" t="n">
        <v>0.048644</v>
      </c>
    </row>
    <row r="8007">
      <c r="A8007" s="24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5" t="n">
        <v>0.078226</v>
      </c>
    </row>
    <row r="8008">
      <c r="A8008" s="24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5" t="n">
        <v>0.106395</v>
      </c>
    </row>
    <row r="8009">
      <c r="A8009" s="24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5" t="n">
        <v>0.316112</v>
      </c>
    </row>
    <row r="8010">
      <c r="A8010" s="24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5" t="n">
        <v>0.129614</v>
      </c>
    </row>
    <row r="8011">
      <c r="A8011" s="24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5" t="n">
        <v>0.042895</v>
      </c>
    </row>
    <row r="8012">
      <c r="A8012" s="24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5" t="n">
        <v>0.061871</v>
      </c>
    </row>
    <row r="8013">
      <c r="A8013" s="24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5" t="n">
        <v>0.024851</v>
      </c>
    </row>
    <row r="8014">
      <c r="A8014" s="24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5" t="n">
        <v>0.011781</v>
      </c>
    </row>
    <row r="8015">
      <c r="A8015" s="24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5" t="n">
        <v>0.005225</v>
      </c>
    </row>
    <row r="8016">
      <c r="A8016" s="24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5" t="n">
        <v>0.002574</v>
      </c>
    </row>
    <row r="8017">
      <c r="A8017" s="24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5" t="n">
        <v>0.001326</v>
      </c>
    </row>
    <row r="8018">
      <c r="A8018" s="24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5" t="n">
        <v>0.000685</v>
      </c>
    </row>
    <row r="8019">
      <c r="A8019" s="24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5" t="n">
        <v>0.000353</v>
      </c>
    </row>
    <row r="8020">
      <c r="A8020" s="24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5" t="n">
        <v>0.070046</v>
      </c>
    </row>
    <row r="8021">
      <c r="A8021" s="24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5" t="n">
        <v>0.048791</v>
      </c>
    </row>
    <row r="8022">
      <c r="A8022" s="24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5" t="n">
        <v>0.033361</v>
      </c>
    </row>
    <row r="8023">
      <c r="A8023" s="24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5" t="n">
        <v>0.075243</v>
      </c>
    </row>
    <row r="8024">
      <c r="A8024" s="24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5" t="n">
        <v>0.065432</v>
      </c>
    </row>
    <row r="8025">
      <c r="A8025" s="24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5" t="n">
        <v>0.037382</v>
      </c>
    </row>
    <row r="8026">
      <c r="A8026" s="24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5" t="n">
        <v>0.337066</v>
      </c>
    </row>
    <row r="8027">
      <c r="A8027" s="24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5" t="n">
        <v>0.327178</v>
      </c>
    </row>
    <row r="8028">
      <c r="A8028" s="24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5" t="n">
        <v>0.08275399999999999</v>
      </c>
    </row>
    <row r="8029">
      <c r="A8029" s="24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5" t="n">
        <v>0.203348</v>
      </c>
    </row>
    <row r="8030">
      <c r="A8030" s="24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5" t="n">
        <v>0.08573799999999999</v>
      </c>
    </row>
    <row r="8031">
      <c r="A8031" s="24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5" t="n">
        <v>0.025996</v>
      </c>
    </row>
    <row r="8032">
      <c r="A8032" s="24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5" t="n">
        <v>0.021926</v>
      </c>
    </row>
    <row r="8033">
      <c r="A8033" s="24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5" t="n">
        <v>0.254397</v>
      </c>
    </row>
    <row r="8034">
      <c r="A8034" s="24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5" t="n">
        <v>0.119599</v>
      </c>
    </row>
    <row r="8035">
      <c r="A8035" s="24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5" t="n">
        <v>0.118643</v>
      </c>
    </row>
    <row r="8036">
      <c r="A8036" s="24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5" t="n">
        <v>0.271744</v>
      </c>
    </row>
    <row r="8037">
      <c r="A8037" s="24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5" t="n">
        <v>0.066176</v>
      </c>
    </row>
    <row r="8038">
      <c r="A8038" s="24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5" t="n">
        <v>0.04627</v>
      </c>
    </row>
    <row r="8039">
      <c r="A8039" s="24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5" t="n">
        <v>0.07594099999999999</v>
      </c>
    </row>
    <row r="8040">
      <c r="A8040" s="24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5" t="n">
        <v>0.07423399999999999</v>
      </c>
    </row>
    <row r="8041">
      <c r="A8041" s="24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5" t="n">
        <v>0.018008</v>
      </c>
    </row>
    <row r="8042">
      <c r="A8042" s="24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5" t="n">
        <v>0.011633</v>
      </c>
    </row>
    <row r="8043">
      <c r="A8043" s="24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5" t="n">
        <v>0.013968</v>
      </c>
    </row>
    <row r="8044">
      <c r="A8044" s="24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5" t="n">
        <v>0.027583</v>
      </c>
    </row>
    <row r="8045">
      <c r="A8045" s="24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5" t="n">
        <v>0.041994</v>
      </c>
    </row>
    <row r="8046">
      <c r="A8046" s="24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5" t="n">
        <v>0.147281</v>
      </c>
    </row>
    <row r="8047">
      <c r="A8047" s="24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5" t="n">
        <v>0.050457</v>
      </c>
    </row>
    <row r="8048">
      <c r="A8048" s="24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5" t="n">
        <v>0.044565</v>
      </c>
    </row>
    <row r="8049">
      <c r="A8049" s="24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5" t="n">
        <v>0.159423</v>
      </c>
    </row>
    <row r="8050">
      <c r="A8050" s="24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5" t="n">
        <v>0.143283</v>
      </c>
    </row>
    <row r="8051">
      <c r="A8051" s="24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5" t="n">
        <v>0.312351</v>
      </c>
    </row>
    <row r="8052">
      <c r="A8052" s="24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5" t="n">
        <v>0.067678</v>
      </c>
    </row>
    <row r="8053">
      <c r="A8053" s="24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5" t="n">
        <v>0.035633</v>
      </c>
    </row>
    <row r="8054">
      <c r="A8054" s="24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5" t="n">
        <v>0.018879</v>
      </c>
    </row>
    <row r="8055">
      <c r="A8055" s="24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5" t="n">
        <v>0.055735</v>
      </c>
    </row>
    <row r="8056">
      <c r="A8056" s="24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5" t="n">
        <v>0.014602</v>
      </c>
    </row>
    <row r="8057">
      <c r="A8057" s="24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5" t="n">
        <v>0.056847</v>
      </c>
    </row>
    <row r="8058">
      <c r="A8058" s="24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5" t="n">
        <v>0.038088</v>
      </c>
    </row>
    <row r="8059">
      <c r="A8059" s="24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5" t="n">
        <v>0.033544</v>
      </c>
    </row>
    <row r="8060">
      <c r="A8060" s="24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5" t="n">
        <v>0.253932</v>
      </c>
    </row>
    <row r="8061">
      <c r="A8061" s="24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5" t="n">
        <v>0.114412</v>
      </c>
    </row>
    <row r="8062">
      <c r="A8062" s="24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5" t="n">
        <v>0.060771</v>
      </c>
    </row>
    <row r="8063">
      <c r="A8063" s="24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5" t="n">
        <v>0.02245</v>
      </c>
    </row>
    <row r="8064">
      <c r="A8064" s="24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5" t="n">
        <v>0.018751</v>
      </c>
    </row>
    <row r="8065">
      <c r="A8065" s="24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5" t="n">
        <v>0.032215</v>
      </c>
    </row>
    <row r="8066">
      <c r="A8066" s="24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5" t="n">
        <v>0.19855</v>
      </c>
    </row>
    <row r="8067">
      <c r="A8067" s="24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5" t="n">
        <v>0.242541</v>
      </c>
    </row>
    <row r="8068">
      <c r="A8068" s="24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5" t="n">
        <v>0.081723</v>
      </c>
    </row>
    <row r="8069">
      <c r="A8069" s="24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5" t="n">
        <v>0.178723</v>
      </c>
    </row>
    <row r="8070">
      <c r="A8070" s="24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5" t="n">
        <v>0.245306</v>
      </c>
    </row>
    <row r="8071">
      <c r="A8071" s="24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5" t="n">
        <v>0.091698</v>
      </c>
    </row>
    <row r="8072">
      <c r="A8072" s="24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5" t="n">
        <v>0.041595</v>
      </c>
    </row>
    <row r="8073">
      <c r="A8073" s="24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5" t="n">
        <v>0.027894</v>
      </c>
    </row>
    <row r="8074">
      <c r="A8074" s="24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5" t="n">
        <v>0.08837399999999999</v>
      </c>
    </row>
    <row r="8075">
      <c r="A8075" s="24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5" t="n">
        <v>0.0566</v>
      </c>
    </row>
    <row r="8076">
      <c r="A8076" s="24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5" t="n">
        <v>0.07838299999999999</v>
      </c>
    </row>
    <row r="8077">
      <c r="A8077" s="24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5" t="n">
        <v>0.025547</v>
      </c>
    </row>
    <row r="8078">
      <c r="A8078" s="24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5" t="n">
        <v>0.053664</v>
      </c>
    </row>
    <row r="8079">
      <c r="A8079" s="24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5" t="n">
        <v>0.323687</v>
      </c>
    </row>
    <row r="8080">
      <c r="A8080" s="24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5" t="n">
        <v>0.151603</v>
      </c>
    </row>
    <row r="8081">
      <c r="A8081" s="24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5" t="n">
        <v>0.050698</v>
      </c>
    </row>
    <row r="8082">
      <c r="A8082" s="24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5" t="n">
        <v>0.050186</v>
      </c>
    </row>
    <row r="8083">
      <c r="A8083" s="24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5" t="n">
        <v>0.082591</v>
      </c>
    </row>
    <row r="8084">
      <c r="A8084" s="24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5" t="n">
        <v>0.037525</v>
      </c>
    </row>
    <row r="8085">
      <c r="A8085" s="24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5" t="n">
        <v>0.067676</v>
      </c>
    </row>
    <row r="8086">
      <c r="A8086" s="24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5" t="n">
        <v>0.06994499999999999</v>
      </c>
    </row>
    <row r="8087">
      <c r="A8087" s="24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5" t="n">
        <v>0.197454</v>
      </c>
    </row>
    <row r="8088">
      <c r="A8088" s="24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5" t="n">
        <v>0.086719</v>
      </c>
    </row>
    <row r="8089">
      <c r="A8089" s="24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5" t="n">
        <v>0.09927800000000001</v>
      </c>
    </row>
    <row r="8090">
      <c r="A8090" s="24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5" t="n">
        <v>0.286875</v>
      </c>
    </row>
    <row r="8091">
      <c r="A8091" s="24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5" t="n">
        <v>0.056835</v>
      </c>
    </row>
    <row r="8092">
      <c r="A8092" s="24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5" t="n">
        <v>0.123924</v>
      </c>
    </row>
    <row r="8093">
      <c r="A8093" s="24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5" t="n">
        <v>0.031852</v>
      </c>
    </row>
    <row r="8094">
      <c r="A8094" s="24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5" t="n">
        <v>0.033483</v>
      </c>
    </row>
    <row r="8095">
      <c r="A8095" s="24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5" t="n">
        <v>0.061781</v>
      </c>
    </row>
    <row r="8096">
      <c r="A8096" s="24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5" t="n">
        <v>0.027468</v>
      </c>
    </row>
    <row r="8097">
      <c r="A8097" s="24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5" t="n">
        <v>0.023929</v>
      </c>
    </row>
    <row r="8098">
      <c r="A8098" s="24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5" t="n">
        <v>0.020298</v>
      </c>
    </row>
    <row r="8099">
      <c r="A8099" s="24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5" t="n">
        <v>0.071046</v>
      </c>
    </row>
    <row r="8100">
      <c r="A8100" s="24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5" t="n">
        <v>0.060286</v>
      </c>
    </row>
    <row r="8101">
      <c r="A8101" s="24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5" t="n">
        <v>0.018069</v>
      </c>
    </row>
    <row r="8102">
      <c r="A8102" s="24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5" t="n">
        <v>0.141051</v>
      </c>
    </row>
    <row r="8103">
      <c r="A8103" s="24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5" t="n">
        <v>0.35011</v>
      </c>
    </row>
    <row r="8104">
      <c r="A8104" s="24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5" t="n">
        <v>0.33342</v>
      </c>
    </row>
    <row r="8105">
      <c r="A8105" s="24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5" t="n">
        <v>0.216251</v>
      </c>
    </row>
    <row r="8106">
      <c r="A8106" s="24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5" t="n">
        <v>0.076668</v>
      </c>
    </row>
    <row r="8107">
      <c r="A8107" s="24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5" t="n">
        <v>0.044969</v>
      </c>
    </row>
    <row r="8108">
      <c r="A8108" s="24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5" t="n">
        <v>0.045493</v>
      </c>
    </row>
    <row r="8109">
      <c r="A8109" s="24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5" t="n">
        <v>0.02299</v>
      </c>
    </row>
    <row r="8110">
      <c r="A8110" s="24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5" t="n">
        <v>0.061822</v>
      </c>
    </row>
    <row r="8111">
      <c r="A8111" s="24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5" t="n">
        <v>0.041836</v>
      </c>
    </row>
    <row r="8112">
      <c r="A8112" s="24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5" t="n">
        <v>0.05805</v>
      </c>
    </row>
    <row r="8113">
      <c r="A8113" s="24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5" t="n">
        <v>0.015998</v>
      </c>
    </row>
    <row r="8114">
      <c r="A8114" s="24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5" t="n">
        <v>0.011597</v>
      </c>
    </row>
    <row r="8115">
      <c r="A8115" s="24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5" t="n">
        <v>0.027815</v>
      </c>
    </row>
    <row r="8116">
      <c r="A8116" s="24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5" t="n">
        <v>0.15805</v>
      </c>
    </row>
    <row r="8117">
      <c r="A8117" s="24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5" t="n">
        <v>0.052455</v>
      </c>
    </row>
    <row r="8118">
      <c r="A8118" s="24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5" t="n">
        <v>0.017669</v>
      </c>
    </row>
    <row r="8119">
      <c r="A8119" s="24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5" t="n">
        <v>0.017394</v>
      </c>
    </row>
    <row r="8120">
      <c r="A8120" s="24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5" t="n">
        <v>0.180354</v>
      </c>
    </row>
    <row r="8121">
      <c r="A8121" s="24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5" t="n">
        <v>0.049487</v>
      </c>
    </row>
    <row r="8122">
      <c r="A8122" s="24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5" t="n">
        <v>0.057046</v>
      </c>
    </row>
    <row r="8123">
      <c r="A8123" s="24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5" t="n">
        <v>0.030667</v>
      </c>
    </row>
    <row r="8124">
      <c r="A8124" s="24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5" t="n">
        <v>0.092197</v>
      </c>
    </row>
    <row r="8125">
      <c r="A8125" s="24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5" t="n">
        <v>0.345336</v>
      </c>
    </row>
    <row r="8126">
      <c r="A8126" s="24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5" t="n">
        <v>0.380143</v>
      </c>
    </row>
    <row r="8127">
      <c r="A8127" s="24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5" t="n">
        <v>0.369438</v>
      </c>
    </row>
    <row r="8128">
      <c r="A8128" s="24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5" t="n">
        <v>0.207723</v>
      </c>
    </row>
    <row r="8129">
      <c r="A8129" s="24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5" t="n">
        <v>0.118989</v>
      </c>
    </row>
    <row r="8130">
      <c r="A8130" s="24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5" t="n">
        <v>0.06254700000000001</v>
      </c>
    </row>
    <row r="8131">
      <c r="A8131" s="24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5" t="n">
        <v>0.224932</v>
      </c>
    </row>
    <row r="8132">
      <c r="A8132" s="24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5" t="n">
        <v>0.190455</v>
      </c>
    </row>
    <row r="8133">
      <c r="A8133" s="24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5" t="n">
        <v>0.144075</v>
      </c>
    </row>
    <row r="8134">
      <c r="A8134" s="24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5" t="n">
        <v>0.361276</v>
      </c>
    </row>
    <row r="8135">
      <c r="A8135" s="24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5" t="n">
        <v>0.388819</v>
      </c>
    </row>
    <row r="8136">
      <c r="A8136" s="24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5" t="n">
        <v>0.250804</v>
      </c>
    </row>
    <row r="8137">
      <c r="A8137" s="24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5" t="n">
        <v>0.128756</v>
      </c>
    </row>
    <row r="8138">
      <c r="A8138" s="24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5" t="n">
        <v>0.081846</v>
      </c>
    </row>
    <row r="8139">
      <c r="A8139" s="24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5" t="n">
        <v>0.029972</v>
      </c>
    </row>
    <row r="8140">
      <c r="A8140" s="24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5" t="n">
        <v>0.033731</v>
      </c>
    </row>
    <row r="8141">
      <c r="A8141" s="24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5" t="n">
        <v>0.034476</v>
      </c>
    </row>
    <row r="8142">
      <c r="A8142" s="24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5" t="n">
        <v>0.022298</v>
      </c>
    </row>
    <row r="8143">
      <c r="A8143" s="24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5" t="n">
        <v>0.095316</v>
      </c>
    </row>
    <row r="8144">
      <c r="A8144" s="24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5" t="n">
        <v>0.295827</v>
      </c>
    </row>
    <row r="8145">
      <c r="A8145" s="24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5" t="n">
        <v>0.060709</v>
      </c>
    </row>
    <row r="8146">
      <c r="A8146" s="24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5" t="n">
        <v>0.027425</v>
      </c>
    </row>
    <row r="8147">
      <c r="A8147" s="24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5" t="n">
        <v>0.02792</v>
      </c>
    </row>
    <row r="8148">
      <c r="A8148" s="24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5" t="n">
        <v>0.054384</v>
      </c>
    </row>
    <row r="8149">
      <c r="A8149" s="24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5" t="n">
        <v>0.09864299999999999</v>
      </c>
    </row>
    <row r="8150">
      <c r="A8150" s="24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5" t="n">
        <v>0.140895</v>
      </c>
    </row>
    <row r="8151">
      <c r="A8151" s="24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5" t="n">
        <v>0.352893</v>
      </c>
    </row>
    <row r="8152">
      <c r="A8152" s="24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5" t="n">
        <v>0.126152</v>
      </c>
    </row>
    <row r="8153">
      <c r="A8153" s="24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5" t="n">
        <v>0.042692</v>
      </c>
    </row>
    <row r="8154">
      <c r="A8154" s="24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5" t="n">
        <v>0.026989</v>
      </c>
    </row>
    <row r="8155">
      <c r="A8155" s="24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5" t="n">
        <v>0.338061</v>
      </c>
    </row>
    <row r="8156">
      <c r="A8156" s="24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5" t="n">
        <v>0.202033</v>
      </c>
    </row>
    <row r="8157">
      <c r="A8157" s="24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5" t="n">
        <v>0.114238</v>
      </c>
    </row>
    <row r="8158">
      <c r="A8158" s="24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5" t="n">
        <v>0.149015</v>
      </c>
    </row>
    <row r="8159">
      <c r="A8159" s="24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5" t="n">
        <v>0.04665</v>
      </c>
    </row>
    <row r="8160">
      <c r="A8160" s="24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5" t="n">
        <v>0.049083</v>
      </c>
    </row>
    <row r="8161">
      <c r="A8161" s="24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5" t="n">
        <v>0.101622</v>
      </c>
    </row>
    <row r="8162">
      <c r="A8162" s="24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5" t="n">
        <v>0.346731</v>
      </c>
    </row>
    <row r="8163">
      <c r="A8163" s="24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5" t="n">
        <v>0.228046</v>
      </c>
    </row>
    <row r="8164">
      <c r="A8164" s="24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5" t="n">
        <v>0.320285</v>
      </c>
    </row>
    <row r="8165">
      <c r="A8165" s="24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5" t="n">
        <v>0.345522</v>
      </c>
    </row>
    <row r="8166">
      <c r="A8166" s="24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5" t="n">
        <v>0.130678</v>
      </c>
    </row>
    <row r="8167">
      <c r="A8167" s="24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5" t="n">
        <v>0.161298</v>
      </c>
    </row>
    <row r="8168">
      <c r="A8168" s="24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5" t="n">
        <v>0.371843</v>
      </c>
    </row>
    <row r="8169">
      <c r="A8169" s="24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5" t="n">
        <v>0.448303</v>
      </c>
    </row>
    <row r="8170">
      <c r="A8170" s="24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5" t="n">
        <v>0.551308</v>
      </c>
    </row>
    <row r="8171">
      <c r="A8171" s="24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5" t="n">
        <v>1.344985</v>
      </c>
    </row>
    <row r="8172">
      <c r="A8172" s="24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5" t="n">
        <v>1.523989</v>
      </c>
    </row>
    <row r="8173">
      <c r="A8173" s="24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5" t="n">
        <v>0.854473</v>
      </c>
    </row>
    <row r="8174">
      <c r="A8174" s="24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5" t="n">
        <v>0.616901</v>
      </c>
    </row>
    <row r="8175">
      <c r="A8175" s="24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5" t="n">
        <v>0.476568</v>
      </c>
    </row>
    <row r="8176">
      <c r="A8176" s="24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5" t="n">
        <v>0.438575</v>
      </c>
    </row>
    <row r="8177">
      <c r="A8177" s="24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5" t="n">
        <v>0.40928</v>
      </c>
    </row>
    <row r="8178">
      <c r="A8178" s="24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5" t="n">
        <v>0.407104</v>
      </c>
    </row>
    <row r="8179">
      <c r="A8179" s="24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5" t="n">
        <v>0.166502</v>
      </c>
    </row>
    <row r="8180">
      <c r="A8180" s="24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5" t="n">
        <v>0.053651</v>
      </c>
    </row>
    <row r="8181">
      <c r="A8181" s="24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5" t="n">
        <v>0.027691</v>
      </c>
    </row>
    <row r="8182">
      <c r="A8182" s="24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5" t="n">
        <v>0.195648</v>
      </c>
    </row>
    <row r="8183">
      <c r="A8183" s="24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5" t="n">
        <v>0.258717</v>
      </c>
    </row>
    <row r="8184">
      <c r="A8184" s="24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5" t="n">
        <v>0.056427</v>
      </c>
    </row>
    <row r="8185">
      <c r="A8185" s="24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5" t="n">
        <v>0.029859</v>
      </c>
    </row>
    <row r="8186">
      <c r="A8186" s="24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5" t="n">
        <v>0.015134</v>
      </c>
    </row>
    <row r="8187">
      <c r="A8187" s="24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5" t="n">
        <v>0.0109</v>
      </c>
    </row>
    <row r="8188">
      <c r="A8188" s="24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5" t="n">
        <v>0.023868</v>
      </c>
    </row>
    <row r="8189">
      <c r="A8189" s="24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5" t="n">
        <v>0.222016</v>
      </c>
    </row>
    <row r="8190">
      <c r="A8190" s="24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5" t="n">
        <v>0.362943</v>
      </c>
    </row>
    <row r="8191">
      <c r="A8191" s="24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5" t="n">
        <v>0.389512</v>
      </c>
    </row>
    <row r="8192">
      <c r="A8192" s="24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5" t="n">
        <v>0.400966</v>
      </c>
    </row>
    <row r="8193">
      <c r="A8193" s="24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5" t="n">
        <v>0.409312</v>
      </c>
    </row>
    <row r="8194">
      <c r="A8194" s="24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5" t="n">
        <v>0.40876</v>
      </c>
    </row>
    <row r="8195">
      <c r="A8195" s="24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5" t="n">
        <v>0.3107</v>
      </c>
    </row>
    <row r="8196">
      <c r="A8196" s="24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5" t="n">
        <v>0.091016</v>
      </c>
    </row>
    <row r="8197">
      <c r="A8197" s="24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5" t="n">
        <v>0.044889</v>
      </c>
    </row>
    <row r="8198">
      <c r="A8198" s="24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5" t="n">
        <v>0.067694</v>
      </c>
    </row>
    <row r="8199">
      <c r="A8199" s="24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5" t="n">
        <v>0.102061</v>
      </c>
    </row>
    <row r="8200">
      <c r="A8200" s="24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5" t="n">
        <v>0.10436</v>
      </c>
    </row>
    <row r="8201">
      <c r="A8201" s="24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5" t="n">
        <v>0.351222</v>
      </c>
    </row>
    <row r="8202">
      <c r="A8202" s="24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5" t="n">
        <v>0.386964</v>
      </c>
    </row>
    <row r="8203">
      <c r="A8203" s="24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5" t="n">
        <v>0.406538</v>
      </c>
    </row>
    <row r="8204">
      <c r="A8204" s="24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5" t="n">
        <v>1.018288</v>
      </c>
    </row>
    <row r="8205">
      <c r="A8205" s="24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5" t="n">
        <v>1.014907</v>
      </c>
    </row>
    <row r="8206">
      <c r="A8206" s="24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5" t="n">
        <v>0.744812</v>
      </c>
    </row>
    <row r="8207">
      <c r="A8207" s="24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5" t="n">
        <v>1.176495</v>
      </c>
    </row>
    <row r="8208">
      <c r="A8208" s="24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5" t="n">
        <v>0.84266</v>
      </c>
    </row>
    <row r="8209">
      <c r="A8209" s="24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5" t="n">
        <v>0.410686</v>
      </c>
    </row>
    <row r="8210">
      <c r="A8210" s="24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5" t="n">
        <v>0.407959</v>
      </c>
    </row>
    <row r="8211">
      <c r="A8211" s="24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5" t="n">
        <v>0.335434</v>
      </c>
    </row>
    <row r="8212">
      <c r="A8212" s="24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5" t="n">
        <v>0.289121</v>
      </c>
    </row>
    <row r="8213">
      <c r="A8213" s="24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5" t="n">
        <v>0.396265</v>
      </c>
    </row>
    <row r="8214">
      <c r="A8214" s="24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5" t="n">
        <v>0.407208</v>
      </c>
    </row>
    <row r="8215">
      <c r="A8215" s="24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5" t="n">
        <v>0.250834</v>
      </c>
    </row>
    <row r="8216">
      <c r="A8216" s="24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5" t="n">
        <v>0.103249</v>
      </c>
    </row>
    <row r="8217">
      <c r="A8217" s="24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5" t="n">
        <v>0.082084</v>
      </c>
    </row>
    <row r="8218">
      <c r="A8218" s="24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5" t="n">
        <v>0.354851</v>
      </c>
    </row>
    <row r="8219">
      <c r="A8219" s="24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5" t="n">
        <v>0.45792</v>
      </c>
    </row>
    <row r="8220">
      <c r="A8220" s="24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5" t="n">
        <v>0.466373</v>
      </c>
    </row>
    <row r="8221">
      <c r="A8221" s="24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5" t="n">
        <v>0.404953</v>
      </c>
    </row>
    <row r="8222">
      <c r="A8222" s="24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5" t="n">
        <v>0.409689</v>
      </c>
    </row>
    <row r="8223">
      <c r="A8223" s="24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5" t="n">
        <v>0.406511</v>
      </c>
    </row>
    <row r="8224">
      <c r="A8224" s="24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5" t="n">
        <v>0.341462</v>
      </c>
    </row>
    <row r="8225">
      <c r="A8225" s="24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5" t="n">
        <v>0.120544</v>
      </c>
    </row>
    <row r="8226">
      <c r="A8226" s="24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5" t="n">
        <v>0.126894</v>
      </c>
    </row>
    <row r="8227">
      <c r="A8227" s="24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5" t="n">
        <v>0.075144</v>
      </c>
    </row>
    <row r="8228">
      <c r="A8228" s="24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5" t="n">
        <v>0.203578</v>
      </c>
    </row>
    <row r="8229">
      <c r="A8229" s="24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5" t="n">
        <v>0.370595</v>
      </c>
    </row>
    <row r="8230">
      <c r="A8230" s="24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5" t="n">
        <v>0.399848</v>
      </c>
    </row>
    <row r="8231">
      <c r="A8231" s="24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5" t="n">
        <v>1.794824</v>
      </c>
    </row>
    <row r="8232">
      <c r="A8232" s="24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5" t="n">
        <v>1.915457</v>
      </c>
    </row>
    <row r="8233">
      <c r="A8233" s="24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5" t="n">
        <v>0.756758</v>
      </c>
    </row>
    <row r="8234">
      <c r="A8234" s="24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5" t="n">
        <v>0.640728</v>
      </c>
    </row>
    <row r="8235">
      <c r="A8235" s="24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5" t="n">
        <v>0.410045</v>
      </c>
    </row>
    <row r="8236">
      <c r="A8236" s="24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5" t="n">
        <v>0.40735</v>
      </c>
    </row>
    <row r="8237">
      <c r="A8237" s="24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5" t="n">
        <v>0.4086</v>
      </c>
    </row>
    <row r="8238">
      <c r="A8238" s="24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5" t="n">
        <v>0.267856</v>
      </c>
    </row>
    <row r="8239">
      <c r="A8239" s="24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5" t="n">
        <v>0.139664</v>
      </c>
    </row>
    <row r="8240">
      <c r="A8240" s="24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5" t="n">
        <v>0.077843</v>
      </c>
    </row>
    <row r="8241">
      <c r="A8241" s="24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5" t="n">
        <v>0.033851</v>
      </c>
    </row>
    <row r="8242">
      <c r="A8242" s="24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5" t="n">
        <v>0.018248</v>
      </c>
    </row>
    <row r="8243">
      <c r="A8243" s="24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5" t="n">
        <v>0.021365</v>
      </c>
    </row>
    <row r="8244">
      <c r="A8244" s="24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5" t="n">
        <v>0.052909</v>
      </c>
    </row>
    <row r="8245">
      <c r="A8245" s="24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5" t="n">
        <v>0.034972</v>
      </c>
    </row>
    <row r="8246">
      <c r="A8246" s="24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5" t="n">
        <v>0.016956</v>
      </c>
    </row>
    <row r="8247">
      <c r="A8247" s="24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5" t="n">
        <v>0.06603100000000001</v>
      </c>
    </row>
    <row r="8248">
      <c r="A8248" s="24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5" t="n">
        <v>0.038486</v>
      </c>
    </row>
    <row r="8249">
      <c r="A8249" s="24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5" t="n">
        <v>0.042029</v>
      </c>
    </row>
    <row r="8250">
      <c r="A8250" s="24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5" t="n">
        <v>0.054413</v>
      </c>
    </row>
    <row r="8251">
      <c r="A8251" s="24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5" t="n">
        <v>0.196594</v>
      </c>
    </row>
    <row r="8252">
      <c r="A8252" s="24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5" t="n">
        <v>0.117159</v>
      </c>
    </row>
    <row r="8253">
      <c r="A8253" s="24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5" t="n">
        <v>0.186751</v>
      </c>
    </row>
    <row r="8254">
      <c r="A8254" s="24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5" t="n">
        <v>0.12069</v>
      </c>
    </row>
    <row r="8255">
      <c r="A8255" s="24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5" t="n">
        <v>0.072502</v>
      </c>
    </row>
    <row r="8256">
      <c r="A8256" s="24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5" t="n">
        <v>0.160737</v>
      </c>
    </row>
    <row r="8257">
      <c r="A8257" s="24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5" t="n">
        <v>0.101236</v>
      </c>
    </row>
    <row r="8258">
      <c r="A8258" s="24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5" t="n">
        <v>0.051559</v>
      </c>
    </row>
    <row r="8259">
      <c r="A8259" s="24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5" t="n">
        <v>0.03721</v>
      </c>
    </row>
    <row r="8260">
      <c r="A8260" s="24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5" t="n">
        <v>0.035568</v>
      </c>
    </row>
    <row r="8261">
      <c r="A8261" s="24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5" t="n">
        <v>0.037053</v>
      </c>
    </row>
    <row r="8262">
      <c r="A8262" s="24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5" t="n">
        <v>0.054444</v>
      </c>
    </row>
    <row r="8263">
      <c r="A8263" s="24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5" t="n">
        <v>0.020773</v>
      </c>
    </row>
    <row r="8264">
      <c r="A8264" s="24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5" t="n">
        <v>0.016301</v>
      </c>
    </row>
    <row r="8265">
      <c r="A8265" s="24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5" t="n">
        <v>0.039533</v>
      </c>
    </row>
    <row r="8266">
      <c r="A8266" s="24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5" t="n">
        <v>0.037159</v>
      </c>
    </row>
    <row r="8267">
      <c r="A8267" s="24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5" t="n">
        <v>0.047304</v>
      </c>
    </row>
    <row r="8268">
      <c r="A8268" s="24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5" t="n">
        <v>0.036492</v>
      </c>
    </row>
    <row r="8269">
      <c r="A8269" s="24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5" t="n">
        <v>0.019592</v>
      </c>
    </row>
    <row r="8270">
      <c r="A8270" s="24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5" t="n">
        <v>0.034069</v>
      </c>
    </row>
    <row r="8271">
      <c r="A8271" s="24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5" t="n">
        <v>0.014971</v>
      </c>
    </row>
    <row r="8272">
      <c r="A8272" s="24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5" t="n">
        <v>0.043564</v>
      </c>
    </row>
    <row r="8273">
      <c r="A8273" s="24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5" t="n">
        <v>0.335927</v>
      </c>
    </row>
    <row r="8274">
      <c r="A8274" s="24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5" t="n">
        <v>0.378197</v>
      </c>
    </row>
    <row r="8275">
      <c r="A8275" s="24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5" t="n">
        <v>0.286999</v>
      </c>
    </row>
    <row r="8276">
      <c r="A8276" s="24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5" t="n">
        <v>0.126715</v>
      </c>
    </row>
    <row r="8277">
      <c r="A8277" s="24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5" t="n">
        <v>0.07212399999999999</v>
      </c>
    </row>
    <row r="8278">
      <c r="A8278" s="24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5" t="n">
        <v>0.031716</v>
      </c>
    </row>
    <row r="8279">
      <c r="A8279" s="24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5" t="n">
        <v>0.06704</v>
      </c>
    </row>
    <row r="8280">
      <c r="A8280" s="24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5" t="n">
        <v>0.066103</v>
      </c>
    </row>
    <row r="8281">
      <c r="A8281" s="24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5" t="n">
        <v>0.041065</v>
      </c>
    </row>
    <row r="8282">
      <c r="A8282" s="24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5" t="n">
        <v>0.058675</v>
      </c>
    </row>
    <row r="8283">
      <c r="A8283" s="24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5" t="n">
        <v>0.049128</v>
      </c>
    </row>
    <row r="8284">
      <c r="A8284" s="24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5" t="n">
        <v>0.03114</v>
      </c>
    </row>
    <row r="8285">
      <c r="A8285" s="24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5" t="n">
        <v>0.036433</v>
      </c>
    </row>
    <row r="8286">
      <c r="A8286" s="24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5" t="n">
        <v>0.034767</v>
      </c>
    </row>
    <row r="8287">
      <c r="A8287" s="24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5" t="n">
        <v>0.039237</v>
      </c>
    </row>
    <row r="8288">
      <c r="A8288" s="24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5" t="n">
        <v>0.042342</v>
      </c>
    </row>
    <row r="8289">
      <c r="A8289" s="24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5" t="n">
        <v>0.015954</v>
      </c>
    </row>
    <row r="8290">
      <c r="A8290" s="24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5" t="n">
        <v>0.026747</v>
      </c>
    </row>
    <row r="8291">
      <c r="A8291" s="24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5" t="n">
        <v>0.063316</v>
      </c>
    </row>
    <row r="8292">
      <c r="A8292" s="24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5" t="n">
        <v>0.17563</v>
      </c>
    </row>
    <row r="8293">
      <c r="A8293" s="24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5" t="n">
        <v>0.355468</v>
      </c>
    </row>
    <row r="8294">
      <c r="A8294" s="24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5" t="n">
        <v>0.173234</v>
      </c>
    </row>
    <row r="8295">
      <c r="A8295" s="24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5" t="n">
        <v>0.211439</v>
      </c>
    </row>
    <row r="8296">
      <c r="A8296" s="24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5" t="n">
        <v>0.154464</v>
      </c>
    </row>
    <row r="8297">
      <c r="A8297" s="24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5" t="n">
        <v>0.364352</v>
      </c>
    </row>
    <row r="8298">
      <c r="A8298" s="24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5" t="n">
        <v>0.414311</v>
      </c>
    </row>
    <row r="8299">
      <c r="A8299" s="24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5" t="n">
        <v>0.422621</v>
      </c>
    </row>
    <row r="8300">
      <c r="A8300" s="24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5" t="n">
        <v>0.401423</v>
      </c>
    </row>
    <row r="8301">
      <c r="A8301" s="24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5" t="n">
        <v>0.402374</v>
      </c>
    </row>
    <row r="8302">
      <c r="A8302" s="24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5" t="n">
        <v>0.092435</v>
      </c>
    </row>
    <row r="8303">
      <c r="A8303" s="24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5" t="n">
        <v>0.110862</v>
      </c>
    </row>
    <row r="8304">
      <c r="A8304" s="24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5" t="n">
        <v>0.045282</v>
      </c>
    </row>
    <row r="8305">
      <c r="A8305" s="24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5" t="n">
        <v>0.031034</v>
      </c>
    </row>
    <row r="8306">
      <c r="A8306" s="24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5" t="n">
        <v>0.015019</v>
      </c>
    </row>
    <row r="8307">
      <c r="A8307" s="24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5" t="n">
        <v>0.006306</v>
      </c>
    </row>
    <row r="8308">
      <c r="A8308" s="24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5" t="n">
        <v>0.008593</v>
      </c>
    </row>
    <row r="8309">
      <c r="A8309" s="24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5" t="n">
        <v>0.008134000000000001</v>
      </c>
    </row>
    <row r="8310">
      <c r="A8310" s="24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5" t="n">
        <v>0.004392</v>
      </c>
    </row>
    <row r="8311">
      <c r="A8311" s="24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5" t="n">
        <v>0.010639</v>
      </c>
    </row>
    <row r="8312">
      <c r="A8312" s="24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5" t="n">
        <v>0.011465</v>
      </c>
    </row>
    <row r="8313">
      <c r="A8313" s="24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5" t="n">
        <v>0.018508</v>
      </c>
    </row>
    <row r="8314">
      <c r="A8314" s="24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5" t="n">
        <v>0.010664</v>
      </c>
    </row>
    <row r="8315">
      <c r="A8315" s="24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5" t="n">
        <v>0.332654</v>
      </c>
    </row>
    <row r="8316">
      <c r="A8316" s="24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5" t="n">
        <v>0.333142</v>
      </c>
    </row>
    <row r="8317">
      <c r="A8317" s="24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5" t="n">
        <v>0.06576799999999999</v>
      </c>
    </row>
    <row r="8318">
      <c r="A8318" s="24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5" t="n">
        <v>0.031839</v>
      </c>
    </row>
    <row r="8319">
      <c r="A8319" s="24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5" t="n">
        <v>0.022388</v>
      </c>
    </row>
    <row r="8320">
      <c r="A8320" s="24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5" t="n">
        <v>0.01133</v>
      </c>
    </row>
    <row r="8321">
      <c r="A8321" s="24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5" t="n">
        <v>0.024124</v>
      </c>
    </row>
    <row r="8322">
      <c r="A8322" s="24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5" t="n">
        <v>0.007913</v>
      </c>
    </row>
    <row r="8323">
      <c r="A8323" s="24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5" t="n">
        <v>0.006701</v>
      </c>
    </row>
    <row r="8324">
      <c r="A8324" s="24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5" t="n">
        <v>0.010993</v>
      </c>
    </row>
    <row r="8325">
      <c r="A8325" s="24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5" t="n">
        <v>0.014707</v>
      </c>
    </row>
    <row r="8326">
      <c r="A8326" s="24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5" t="n">
        <v>0.021454</v>
      </c>
    </row>
    <row r="8327">
      <c r="A8327" s="24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5" t="n">
        <v>0.125478</v>
      </c>
    </row>
    <row r="8328">
      <c r="A8328" s="24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5" t="n">
        <v>0.15567</v>
      </c>
    </row>
    <row r="8329">
      <c r="A8329" s="24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5" t="n">
        <v>0.102349</v>
      </c>
    </row>
    <row r="8330">
      <c r="A8330" s="24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5" t="n">
        <v>0.353769</v>
      </c>
    </row>
    <row r="8331">
      <c r="A8331" s="24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5" t="n">
        <v>0.38417</v>
      </c>
    </row>
    <row r="8332">
      <c r="A8332" s="24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5" t="n">
        <v>0.129287</v>
      </c>
    </row>
    <row r="8333">
      <c r="A8333" s="24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5" t="n">
        <v>0.053705</v>
      </c>
    </row>
    <row r="8334">
      <c r="A8334" s="24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5" t="n">
        <v>0.076781</v>
      </c>
    </row>
    <row r="8335">
      <c r="A8335" s="24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5" t="n">
        <v>0.029394</v>
      </c>
    </row>
    <row r="8336">
      <c r="A8336" s="24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5" t="n">
        <v>0.026202</v>
      </c>
    </row>
    <row r="8337">
      <c r="A8337" s="24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5" t="n">
        <v>0.011638</v>
      </c>
    </row>
    <row r="8338">
      <c r="A8338" s="24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5" t="n">
        <v>0.00818</v>
      </c>
    </row>
    <row r="8339">
      <c r="A8339" s="24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5" t="n">
        <v>0.00688</v>
      </c>
    </row>
    <row r="8340">
      <c r="A8340" s="24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5" t="n">
        <v>0.00197</v>
      </c>
    </row>
    <row r="8341">
      <c r="A8341" s="24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5" t="n">
        <v>0.000987</v>
      </c>
    </row>
    <row r="8342">
      <c r="A8342" s="24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5" t="n">
        <v>0.000509</v>
      </c>
    </row>
    <row r="8343">
      <c r="A8343" s="24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5" t="n">
        <v>0.000263</v>
      </c>
    </row>
    <row r="8344">
      <c r="A8344" s="24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5" t="n">
        <v>0.083375</v>
      </c>
    </row>
    <row r="8345">
      <c r="A8345" s="24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5" t="n">
        <v>0.054033</v>
      </c>
    </row>
    <row r="8346">
      <c r="A8346" s="24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5" t="n">
        <v>0.036066</v>
      </c>
    </row>
    <row r="8347">
      <c r="A8347" s="24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5" t="n">
        <v>0.014394</v>
      </c>
    </row>
    <row r="8348">
      <c r="A8348" s="24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5" t="n">
        <v>0.006338</v>
      </c>
    </row>
    <row r="8349">
      <c r="A8349" s="24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5" t="n">
        <v>0.025651</v>
      </c>
    </row>
    <row r="8350">
      <c r="A8350" s="24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5" t="n">
        <v>0.048645</v>
      </c>
    </row>
    <row r="8351">
      <c r="A8351" s="24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5" t="n">
        <v>0.013778</v>
      </c>
    </row>
    <row r="8352">
      <c r="A8352" s="24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5" t="n">
        <v>0.044373</v>
      </c>
    </row>
    <row r="8353">
      <c r="A8353" s="24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5" t="n">
        <v>0.068263</v>
      </c>
    </row>
    <row r="8354">
      <c r="A8354" s="24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5" t="n">
        <v>0.035278</v>
      </c>
    </row>
    <row r="8355">
      <c r="A8355" s="24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5" t="n">
        <v>0.018424</v>
      </c>
    </row>
    <row r="8356">
      <c r="A8356" s="24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5" t="n">
        <v>0.018582</v>
      </c>
    </row>
    <row r="8357">
      <c r="A8357" s="24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5" t="n">
        <v>0.004686</v>
      </c>
    </row>
    <row r="8358">
      <c r="A8358" s="24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5" t="n">
        <v>0.002326</v>
      </c>
    </row>
    <row r="8359">
      <c r="A8359" s="24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5" t="n">
        <v>0.0012</v>
      </c>
    </row>
    <row r="8360">
      <c r="A8360" s="24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5" t="n">
        <v>0.00062</v>
      </c>
    </row>
    <row r="8361">
      <c r="A8361" s="24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5" t="n">
        <v>0.00032</v>
      </c>
    </row>
    <row r="8362">
      <c r="A8362" s="24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5" t="n">
        <v>0.000165</v>
      </c>
    </row>
    <row r="8363">
      <c r="A8363" s="24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5" t="n">
        <v>8.500000000000001e-05</v>
      </c>
    </row>
    <row r="8364">
      <c r="A8364" s="24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5" t="n">
        <v>4.4e-05</v>
      </c>
    </row>
    <row r="8365">
      <c r="A8365" s="24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5" t="n">
        <v>0.07396999999999999</v>
      </c>
    </row>
    <row r="8366">
      <c r="A8366" s="24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5" t="n">
        <v>0.042848</v>
      </c>
    </row>
    <row r="8367">
      <c r="A8367" s="24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5" t="n">
        <v>0.055712</v>
      </c>
    </row>
    <row r="8368">
      <c r="A8368" s="24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5" t="n">
        <v>0.243854</v>
      </c>
    </row>
    <row r="8369">
      <c r="A8369" s="24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5" t="n">
        <v>0.346618</v>
      </c>
    </row>
    <row r="8370">
      <c r="A8370" s="24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5" t="n">
        <v>0.388031</v>
      </c>
    </row>
    <row r="8371">
      <c r="A8371" s="24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5" t="n">
        <v>0.16518</v>
      </c>
    </row>
    <row r="8372">
      <c r="A8372" s="24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5" t="n">
        <v>0.06747</v>
      </c>
    </row>
    <row r="8373">
      <c r="A8373" s="24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5" t="n">
        <v>0.078572</v>
      </c>
    </row>
    <row r="8374">
      <c r="A8374" s="24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5" t="n">
        <v>0.050645</v>
      </c>
    </row>
    <row r="8375">
      <c r="A8375" s="24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5" t="n">
        <v>0.039307</v>
      </c>
    </row>
    <row r="8376">
      <c r="A8376" s="24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5" t="n">
        <v>0.038116</v>
      </c>
    </row>
    <row r="8377">
      <c r="A8377" s="24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5" t="n">
        <v>0.077652</v>
      </c>
    </row>
    <row r="8378">
      <c r="A8378" s="24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5" t="n">
        <v>0.181128</v>
      </c>
    </row>
    <row r="8379">
      <c r="A8379" s="24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5" t="n">
        <v>0.058283</v>
      </c>
    </row>
    <row r="8380">
      <c r="A8380" s="24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5" t="n">
        <v>0.152907</v>
      </c>
    </row>
    <row r="8381">
      <c r="A8381" s="24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5" t="n">
        <v>0.052448</v>
      </c>
    </row>
    <row r="8382">
      <c r="A8382" s="24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5" t="n">
        <v>0.079724</v>
      </c>
    </row>
    <row r="8383">
      <c r="A8383" s="24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5" t="n">
        <v>0.242404</v>
      </c>
    </row>
    <row r="8384">
      <c r="A8384" s="24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5" t="n">
        <v>0.073128</v>
      </c>
    </row>
    <row r="8385">
      <c r="A8385" s="24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5" t="n">
        <v>0.218732</v>
      </c>
    </row>
    <row r="8386">
      <c r="A8386" s="24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5" t="n">
        <v>0.366448</v>
      </c>
    </row>
    <row r="8387">
      <c r="A8387" s="24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5" t="n">
        <v>0.200203</v>
      </c>
    </row>
    <row r="8388">
      <c r="A8388" s="24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5" t="n">
        <v>0.09529600000000001</v>
      </c>
    </row>
    <row r="8389">
      <c r="A8389" s="24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5" t="n">
        <v>0.097661</v>
      </c>
    </row>
    <row r="8390">
      <c r="A8390" s="24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5" t="n">
        <v>0.138409</v>
      </c>
    </row>
    <row r="8391">
      <c r="A8391" s="24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5" t="n">
        <v>0.077277</v>
      </c>
    </row>
    <row r="8392">
      <c r="A8392" s="24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5" t="n">
        <v>0.058813</v>
      </c>
    </row>
    <row r="8393">
      <c r="A8393" s="24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5" t="n">
        <v>0.052132</v>
      </c>
    </row>
    <row r="8394">
      <c r="A8394" s="24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5" t="n">
        <v>0.06564300000000001</v>
      </c>
    </row>
    <row r="8395">
      <c r="A8395" s="24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5" t="n">
        <v>0.035703</v>
      </c>
    </row>
    <row r="8396">
      <c r="A8396" s="24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5" t="n">
        <v>0.046963</v>
      </c>
    </row>
    <row r="8397">
      <c r="A8397" s="24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5" t="n">
        <v>0.02184</v>
      </c>
    </row>
    <row r="8398">
      <c r="A8398" s="24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5" t="n">
        <v>0.050633</v>
      </c>
    </row>
    <row r="8399">
      <c r="A8399" s="24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5" t="n">
        <v>0.028041</v>
      </c>
    </row>
    <row r="8400">
      <c r="A8400" s="24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5" t="n">
        <v>0.014844</v>
      </c>
    </row>
    <row r="8401">
      <c r="A8401" s="24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5" t="n">
        <v>0.026216</v>
      </c>
    </row>
    <row r="8402">
      <c r="A8402" s="24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5" t="n">
        <v>0.033103</v>
      </c>
    </row>
    <row r="8403">
      <c r="A8403" s="24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5" t="n">
        <v>0.05268</v>
      </c>
    </row>
    <row r="8404">
      <c r="A8404" s="24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5" t="n">
        <v>0.037657</v>
      </c>
    </row>
    <row r="8405">
      <c r="A8405" s="24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5" t="n">
        <v>0.115978</v>
      </c>
    </row>
    <row r="8406">
      <c r="A8406" s="24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5" t="n">
        <v>0.068245</v>
      </c>
    </row>
    <row r="8407">
      <c r="A8407" s="24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5" t="n">
        <v>0.138507</v>
      </c>
    </row>
    <row r="8408">
      <c r="A8408" s="24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5" t="n">
        <v>0.351889</v>
      </c>
    </row>
    <row r="8409">
      <c r="A8409" s="24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5" t="n">
        <v>0.197625</v>
      </c>
    </row>
    <row r="8410">
      <c r="A8410" s="24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5" t="n">
        <v>0.108223</v>
      </c>
    </row>
    <row r="8411">
      <c r="A8411" s="24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5" t="n">
        <v>0.101044</v>
      </c>
    </row>
    <row r="8412">
      <c r="A8412" s="24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5" t="n">
        <v>0.109148</v>
      </c>
    </row>
    <row r="8413">
      <c r="A8413" s="24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5" t="n">
        <v>0.075311</v>
      </c>
    </row>
    <row r="8414">
      <c r="A8414" s="24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5" t="n">
        <v>0.040029</v>
      </c>
    </row>
    <row r="8415">
      <c r="A8415" s="24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5" t="n">
        <v>0.020923</v>
      </c>
    </row>
    <row r="8416">
      <c r="A8416" s="24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5" t="n">
        <v>0.038215</v>
      </c>
    </row>
    <row r="8417">
      <c r="A8417" s="24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5" t="n">
        <v>0.046021</v>
      </c>
    </row>
    <row r="8418">
      <c r="A8418" s="24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5" t="n">
        <v>0.035043</v>
      </c>
    </row>
    <row r="8419">
      <c r="A8419" s="24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5" t="n">
        <v>0.050449</v>
      </c>
    </row>
    <row r="8420">
      <c r="A8420" s="24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5" t="n">
        <v>0.062325</v>
      </c>
    </row>
    <row r="8421">
      <c r="A8421" s="24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5" t="n">
        <v>0.04952</v>
      </c>
    </row>
    <row r="8422">
      <c r="A8422" s="24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5" t="n">
        <v>0.012378</v>
      </c>
    </row>
    <row r="8423">
      <c r="A8423" s="24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5" t="n">
        <v>0.057014</v>
      </c>
    </row>
    <row r="8424">
      <c r="A8424" s="24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5" t="n">
        <v>0.039865</v>
      </c>
    </row>
    <row r="8425">
      <c r="A8425" s="24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5" t="n">
        <v>0.123178</v>
      </c>
    </row>
    <row r="8426">
      <c r="A8426" s="24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5" t="n">
        <v>0.076762</v>
      </c>
    </row>
    <row r="8427">
      <c r="A8427" s="24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5" t="n">
        <v>0.045268</v>
      </c>
    </row>
    <row r="8428">
      <c r="A8428" s="24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5" t="n">
        <v>0.045665</v>
      </c>
    </row>
    <row r="8429">
      <c r="A8429" s="24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5" t="n">
        <v>0.07388599999999999</v>
      </c>
    </row>
    <row r="8430">
      <c r="A8430" s="24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5" t="n">
        <v>0.041918</v>
      </c>
    </row>
    <row r="8431">
      <c r="A8431" s="24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5" t="n">
        <v>0.012632</v>
      </c>
    </row>
    <row r="8432">
      <c r="A8432" s="24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5" t="n">
        <v>0.012564</v>
      </c>
    </row>
    <row r="8433">
      <c r="A8433" s="24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5" t="n">
        <v>0.017833</v>
      </c>
    </row>
    <row r="8434">
      <c r="A8434" s="24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5" t="n">
        <v>0.016629</v>
      </c>
    </row>
    <row r="8435">
      <c r="A8435" s="24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5" t="n">
        <v>0.039349</v>
      </c>
    </row>
    <row r="8436">
      <c r="A8436" s="24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5" t="n">
        <v>0.11212</v>
      </c>
    </row>
    <row r="8437">
      <c r="A8437" s="24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5" t="n">
        <v>0.054559</v>
      </c>
    </row>
    <row r="8438">
      <c r="A8438" s="24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5" t="n">
        <v>0.08518000000000001</v>
      </c>
    </row>
    <row r="8439">
      <c r="A8439" s="24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5" t="n">
        <v>0.032095</v>
      </c>
    </row>
    <row r="8440">
      <c r="A8440" s="24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5" t="n">
        <v>0.028377</v>
      </c>
    </row>
    <row r="8441">
      <c r="A8441" s="24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5" t="n">
        <v>0.142771</v>
      </c>
    </row>
    <row r="8442">
      <c r="A8442" s="24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5" t="n">
        <v>0.048466</v>
      </c>
    </row>
    <row r="8443">
      <c r="A8443" s="24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5" t="n">
        <v>0.101246</v>
      </c>
    </row>
    <row r="8444">
      <c r="A8444" s="24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5" t="n">
        <v>0.087037</v>
      </c>
    </row>
    <row r="8445">
      <c r="A8445" s="24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5" t="n">
        <v>0.0331</v>
      </c>
    </row>
    <row r="8446">
      <c r="A8446" s="24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5" t="n">
        <v>0.029246</v>
      </c>
    </row>
    <row r="8447">
      <c r="A8447" s="24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5" t="n">
        <v>0.033544</v>
      </c>
    </row>
    <row r="8448">
      <c r="A8448" s="24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5" t="n">
        <v>0.032575</v>
      </c>
    </row>
    <row r="8449">
      <c r="A8449" s="24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5" t="n">
        <v>0.007182</v>
      </c>
    </row>
    <row r="8450">
      <c r="A8450" s="24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5" t="n">
        <v>0.003525</v>
      </c>
    </row>
    <row r="8451">
      <c r="A8451" s="24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5" t="n">
        <v>0.00182</v>
      </c>
    </row>
    <row r="8452">
      <c r="A8452" s="24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5" t="n">
        <v>0.0009389999999999999</v>
      </c>
    </row>
    <row r="8453">
      <c r="A8453" s="24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5" t="n">
        <v>0.000485</v>
      </c>
    </row>
    <row r="8454">
      <c r="A8454" s="24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5" t="n">
        <v>0.007598</v>
      </c>
    </row>
    <row r="8455">
      <c r="A8455" s="24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5" t="n">
        <v>0.01631</v>
      </c>
    </row>
    <row r="8456">
      <c r="A8456" s="24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5" t="n">
        <v>0.016015</v>
      </c>
    </row>
    <row r="8457">
      <c r="A8457" s="24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5" t="n">
        <v>0.006964</v>
      </c>
    </row>
    <row r="8458">
      <c r="A8458" s="24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5" t="n">
        <v>0.015037</v>
      </c>
    </row>
    <row r="8459">
      <c r="A8459" s="24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5" t="n">
        <v>0.006345</v>
      </c>
    </row>
    <row r="8460">
      <c r="A8460" s="24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5" t="n">
        <v>0.011472</v>
      </c>
    </row>
    <row r="8461">
      <c r="A8461" s="24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5" t="n">
        <v>0.068609</v>
      </c>
    </row>
    <row r="8462">
      <c r="A8462" s="24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5" t="n">
        <v>0.015737</v>
      </c>
    </row>
    <row r="8463">
      <c r="A8463" s="24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5" t="n">
        <v>0.01133</v>
      </c>
    </row>
    <row r="8464">
      <c r="A8464" s="24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5" t="n">
        <v>0.034425</v>
      </c>
    </row>
    <row r="8465">
      <c r="A8465" s="24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5" t="n">
        <v>0.033927</v>
      </c>
    </row>
    <row r="8466">
      <c r="A8466" s="24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5" t="n">
        <v>0.054616</v>
      </c>
    </row>
    <row r="8467">
      <c r="A8467" s="24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5" t="n">
        <v>0.083509</v>
      </c>
    </row>
    <row r="8468">
      <c r="A8468" s="24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5" t="n">
        <v>0.028126</v>
      </c>
    </row>
    <row r="8469">
      <c r="A8469" s="24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5" t="n">
        <v>0.062946</v>
      </c>
    </row>
    <row r="8470">
      <c r="A8470" s="24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5" t="n">
        <v>0.023438</v>
      </c>
    </row>
    <row r="8471">
      <c r="A8471" s="24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5" t="n">
        <v>0.043962</v>
      </c>
    </row>
    <row r="8472">
      <c r="A8472" s="24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5" t="n">
        <v>0.249914</v>
      </c>
    </row>
    <row r="8473">
      <c r="A8473" s="24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5" t="n">
        <v>0.253127</v>
      </c>
    </row>
    <row r="8474">
      <c r="A8474" s="24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5" t="n">
        <v>0.118713</v>
      </c>
    </row>
    <row r="8475">
      <c r="A8475" s="24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5" t="n">
        <v>0.145321</v>
      </c>
    </row>
    <row r="8476">
      <c r="A8476" s="24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5" t="n">
        <v>0.360271</v>
      </c>
    </row>
    <row r="8477">
      <c r="A8477" s="24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5" t="n">
        <v>0.347311</v>
      </c>
    </row>
    <row r="8478">
      <c r="A8478" s="24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5" t="n">
        <v>0.378256</v>
      </c>
    </row>
    <row r="8479">
      <c r="A8479" s="24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5" t="n">
        <v>0.405344</v>
      </c>
    </row>
    <row r="8480">
      <c r="A8480" s="24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5" t="n">
        <v>0.340982</v>
      </c>
    </row>
    <row r="8481">
      <c r="A8481" s="24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5" t="n">
        <v>0.160428</v>
      </c>
    </row>
    <row r="8482">
      <c r="A8482" s="24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5" t="n">
        <v>0.284086</v>
      </c>
    </row>
    <row r="8483">
      <c r="A8483" s="24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5" t="n">
        <v>0.059739</v>
      </c>
    </row>
    <row r="8484">
      <c r="A8484" s="24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5" t="n">
        <v>0.028186</v>
      </c>
    </row>
    <row r="8485">
      <c r="A8485" s="24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5" t="n">
        <v>0.014529</v>
      </c>
    </row>
    <row r="8486">
      <c r="A8486" s="24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5" t="n">
        <v>0.007499</v>
      </c>
    </row>
    <row r="8487">
      <c r="A8487" s="24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5" t="n">
        <v>0.00387</v>
      </c>
    </row>
    <row r="8488">
      <c r="A8488" s="24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5" t="n">
        <v>0.001998</v>
      </c>
    </row>
    <row r="8489">
      <c r="A8489" s="24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5" t="n">
        <v>0.162389</v>
      </c>
    </row>
    <row r="8490">
      <c r="A8490" s="24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5" t="n">
        <v>0.129803</v>
      </c>
    </row>
    <row r="8491">
      <c r="A8491" s="24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5" t="n">
        <v>0.116398</v>
      </c>
    </row>
    <row r="8492">
      <c r="A8492" s="24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5" t="n">
        <v>0.024905</v>
      </c>
    </row>
    <row r="8493">
      <c r="A8493" s="24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5" t="n">
        <v>0.012193</v>
      </c>
    </row>
    <row r="8494">
      <c r="A8494" s="24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5" t="n">
        <v>0.049391</v>
      </c>
    </row>
    <row r="8495">
      <c r="A8495" s="24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5" t="n">
        <v>0.134636</v>
      </c>
    </row>
    <row r="8496">
      <c r="A8496" s="24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5" t="n">
        <v>0.105138</v>
      </c>
    </row>
    <row r="8497">
      <c r="A8497" s="24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5" t="n">
        <v>0.046118</v>
      </c>
    </row>
    <row r="8498">
      <c r="A8498" s="24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5" t="n">
        <v>0.191418</v>
      </c>
    </row>
    <row r="8499">
      <c r="A8499" s="24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5" t="n">
        <v>0.068508</v>
      </c>
    </row>
    <row r="8500">
      <c r="A8500" s="24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5" t="n">
        <v>0.09171799999999999</v>
      </c>
    </row>
    <row r="8501">
      <c r="A8501" s="24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5" t="n">
        <v>0.050283</v>
      </c>
    </row>
    <row r="8502">
      <c r="A8502" s="24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5" t="n">
        <v>0.185041</v>
      </c>
    </row>
    <row r="8503">
      <c r="A8503" s="24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5" t="n">
        <v>0.356076</v>
      </c>
    </row>
    <row r="8504">
      <c r="A8504" s="24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5" t="n">
        <v>0.387396</v>
      </c>
    </row>
    <row r="8505">
      <c r="A8505" s="24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5" t="n">
        <v>0.298611</v>
      </c>
    </row>
    <row r="8506">
      <c r="A8506" s="24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5" t="n">
        <v>0.146103</v>
      </c>
    </row>
    <row r="8507">
      <c r="A8507" s="24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5" t="n">
        <v>0.151442</v>
      </c>
    </row>
    <row r="8508">
      <c r="A8508" s="24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5" t="n">
        <v>0.242321</v>
      </c>
    </row>
    <row r="8509">
      <c r="A8509" s="24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5" t="n">
        <v>0.240382</v>
      </c>
    </row>
    <row r="8510">
      <c r="A8510" s="24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5" t="n">
        <v>0.13371</v>
      </c>
    </row>
    <row r="8511">
      <c r="A8511" s="24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5" t="n">
        <v>0.223262</v>
      </c>
    </row>
    <row r="8512">
      <c r="A8512" s="24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5" t="n">
        <v>0.153996</v>
      </c>
    </row>
    <row r="8513">
      <c r="A8513" s="24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5" t="n">
        <v>0.082844</v>
      </c>
    </row>
    <row r="8514">
      <c r="A8514" s="24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5" t="n">
        <v>0.123405</v>
      </c>
    </row>
    <row r="8515">
      <c r="A8515" s="24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5" t="n">
        <v>0.105557</v>
      </c>
    </row>
    <row r="8516">
      <c r="A8516" s="24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5" t="n">
        <v>0.245516</v>
      </c>
    </row>
    <row r="8517">
      <c r="A8517" s="24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5" t="n">
        <v>0.30913</v>
      </c>
    </row>
    <row r="8518">
      <c r="A8518" s="24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5" t="n">
        <v>0.386323</v>
      </c>
    </row>
    <row r="8519">
      <c r="A8519" s="24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5" t="n">
        <v>0.402207</v>
      </c>
    </row>
    <row r="8520">
      <c r="A8520" s="24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5" t="n">
        <v>0.404966</v>
      </c>
    </row>
    <row r="8521">
      <c r="A8521" s="24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5" t="n">
        <v>0.304059</v>
      </c>
    </row>
    <row r="8522">
      <c r="A8522" s="24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5" t="n">
        <v>0.222697</v>
      </c>
    </row>
    <row r="8523">
      <c r="A8523" s="24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5" t="n">
        <v>0.121344</v>
      </c>
    </row>
    <row r="8524">
      <c r="A8524" s="24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5" t="n">
        <v>0.204067</v>
      </c>
    </row>
    <row r="8525">
      <c r="A8525" s="24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5" t="n">
        <v>0.310511</v>
      </c>
    </row>
    <row r="8526">
      <c r="A8526" s="24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5" t="n">
        <v>0.177253</v>
      </c>
    </row>
    <row r="8527">
      <c r="A8527" s="24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5" t="n">
        <v>0.255888</v>
      </c>
    </row>
    <row r="8528">
      <c r="A8528" s="24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5" t="n">
        <v>0.195586</v>
      </c>
    </row>
    <row r="8529">
      <c r="A8529" s="24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5" t="n">
        <v>0.374881</v>
      </c>
    </row>
    <row r="8530">
      <c r="A8530" s="24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5" t="n">
        <v>0.394648</v>
      </c>
    </row>
    <row r="8531">
      <c r="A8531" s="24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5" t="n">
        <v>0.402075</v>
      </c>
    </row>
    <row r="8532">
      <c r="A8532" s="24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5" t="n">
        <v>0.410875</v>
      </c>
    </row>
    <row r="8533">
      <c r="A8533" s="24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5" t="n">
        <v>0.411412</v>
      </c>
    </row>
    <row r="8534">
      <c r="A8534" s="24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5" t="n">
        <v>0.334617</v>
      </c>
    </row>
    <row r="8535">
      <c r="A8535" s="24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5" t="n">
        <v>0.096495</v>
      </c>
    </row>
    <row r="8536">
      <c r="A8536" s="24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5" t="n">
        <v>0.150724</v>
      </c>
    </row>
    <row r="8537">
      <c r="A8537" s="24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5" t="n">
        <v>0.302495</v>
      </c>
    </row>
    <row r="8538">
      <c r="A8538" s="24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5" t="n">
        <v>1.948766</v>
      </c>
    </row>
    <row r="8539">
      <c r="A8539" s="24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5" t="n">
        <v>2.044557</v>
      </c>
    </row>
    <row r="8540">
      <c r="A8540" s="24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5" t="n">
        <v>0.504015</v>
      </c>
    </row>
    <row r="8541">
      <c r="A8541" s="24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5" t="n">
        <v>0.426258</v>
      </c>
    </row>
    <row r="8542">
      <c r="A8542" s="24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5" t="n">
        <v>0.405322</v>
      </c>
    </row>
    <row r="8543">
      <c r="A8543" s="24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5" t="n">
        <v>0.405964</v>
      </c>
    </row>
    <row r="8544">
      <c r="A8544" s="24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5" t="n">
        <v>0.331683</v>
      </c>
    </row>
    <row r="8545">
      <c r="A8545" s="24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5" t="n">
        <v>0.208755</v>
      </c>
    </row>
    <row r="8546">
      <c r="A8546" s="24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5" t="n">
        <v>0.132505</v>
      </c>
    </row>
    <row r="8547">
      <c r="A8547" s="24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5" t="n">
        <v>0.082735</v>
      </c>
    </row>
    <row r="8548">
      <c r="A8548" s="24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5" t="n">
        <v>0.16756</v>
      </c>
    </row>
    <row r="8549">
      <c r="A8549" s="24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5" t="n">
        <v>0.212023</v>
      </c>
    </row>
    <row r="8550">
      <c r="A8550" s="24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5" t="n">
        <v>0.25387</v>
      </c>
    </row>
    <row r="8551">
      <c r="A8551" s="24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5" t="n">
        <v>0.295443</v>
      </c>
    </row>
    <row r="8552">
      <c r="A8552" s="24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5" t="n">
        <v>0.385538</v>
      </c>
    </row>
    <row r="8553">
      <c r="A8553" s="24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5" t="n">
        <v>0.403162</v>
      </c>
    </row>
    <row r="8554">
      <c r="A8554" s="24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5" t="n">
        <v>0.326314</v>
      </c>
    </row>
    <row r="8555">
      <c r="A8555" s="24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5" t="n">
        <v>0.103148</v>
      </c>
    </row>
    <row r="8556">
      <c r="A8556" s="24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5" t="n">
        <v>0.123871</v>
      </c>
    </row>
    <row r="8557">
      <c r="A8557" s="24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5" t="n">
        <v>0.085699</v>
      </c>
    </row>
    <row r="8558">
      <c r="A8558" s="24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5" t="n">
        <v>0.145188</v>
      </c>
    </row>
    <row r="8559">
      <c r="A8559" s="24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5" t="n">
        <v>0.361499</v>
      </c>
    </row>
    <row r="8560">
      <c r="A8560" s="24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5" t="n">
        <v>0.511489</v>
      </c>
    </row>
    <row r="8561">
      <c r="A8561" s="24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5" t="n">
        <v>0.812239</v>
      </c>
    </row>
    <row r="8562">
      <c r="A8562" s="24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5" t="n">
        <v>1.274886</v>
      </c>
    </row>
    <row r="8563">
      <c r="A8563" s="24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5" t="n">
        <v>1.738916</v>
      </c>
    </row>
    <row r="8564">
      <c r="A8564" s="24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5" t="n">
        <v>1.600156</v>
      </c>
    </row>
    <row r="8565">
      <c r="A8565" s="24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5" t="n">
        <v>0.847489</v>
      </c>
    </row>
    <row r="8566">
      <c r="A8566" s="24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5" t="n">
        <v>0.412274</v>
      </c>
    </row>
    <row r="8567">
      <c r="A8567" s="24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5" t="n">
        <v>1.483776</v>
      </c>
    </row>
    <row r="8568">
      <c r="A8568" s="24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5" t="n">
        <v>1.712749</v>
      </c>
    </row>
    <row r="8569">
      <c r="A8569" s="24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5" t="n">
        <v>1.131957</v>
      </c>
    </row>
    <row r="8570">
      <c r="A8570" s="24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5" t="n">
        <v>0.902275</v>
      </c>
    </row>
    <row r="8571">
      <c r="A8571" s="24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5" t="n">
        <v>0.414972</v>
      </c>
    </row>
    <row r="8572">
      <c r="A8572" s="24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5" t="n">
        <v>0.429623</v>
      </c>
    </row>
    <row r="8573">
      <c r="A8573" s="24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5" t="n">
        <v>0.42411</v>
      </c>
    </row>
    <row r="8574">
      <c r="A8574" s="24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5" t="n">
        <v>0.408232</v>
      </c>
    </row>
    <row r="8575">
      <c r="A8575" s="24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5" t="n">
        <v>0.407406</v>
      </c>
    </row>
    <row r="8576">
      <c r="A8576" s="24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5" t="n">
        <v>0.317026</v>
      </c>
    </row>
    <row r="8577">
      <c r="A8577" s="24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5" t="n">
        <v>0.235963</v>
      </c>
    </row>
    <row r="8578">
      <c r="A8578" s="24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5" t="n">
        <v>0.380069</v>
      </c>
    </row>
    <row r="8579">
      <c r="A8579" s="24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5" t="n">
        <v>0.227312</v>
      </c>
    </row>
    <row r="8580">
      <c r="A8580" s="24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5" t="n">
        <v>0.124189</v>
      </c>
    </row>
    <row r="8581">
      <c r="A8581" s="24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5" t="n">
        <v>0.374273</v>
      </c>
    </row>
    <row r="8582">
      <c r="A8582" s="24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5" t="n">
        <v>0.858206</v>
      </c>
    </row>
    <row r="8583">
      <c r="A8583" s="24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5" t="n">
        <v>0.856032</v>
      </c>
    </row>
    <row r="8584">
      <c r="A8584" s="24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5" t="n">
        <v>0.402631</v>
      </c>
    </row>
    <row r="8585">
      <c r="A8585" s="24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5" t="n">
        <v>0.413591</v>
      </c>
    </row>
    <row r="8586">
      <c r="A8586" s="24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5" t="n">
        <v>0.414252</v>
      </c>
    </row>
    <row r="8587">
      <c r="A8587" s="24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5" t="n">
        <v>0.410221</v>
      </c>
    </row>
    <row r="8588">
      <c r="A8588" s="24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5" t="n">
        <v>0.417546</v>
      </c>
    </row>
    <row r="8589">
      <c r="A8589" s="24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5" t="n">
        <v>0.418703</v>
      </c>
    </row>
    <row r="8590">
      <c r="A8590" s="24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5" t="n">
        <v>0.846102</v>
      </c>
    </row>
    <row r="8591">
      <c r="A8591" s="24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5" t="n">
        <v>2.128781</v>
      </c>
    </row>
    <row r="8592">
      <c r="A8592" s="24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5" t="n">
        <v>2.171444</v>
      </c>
    </row>
    <row r="8593">
      <c r="A8593" s="24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5" t="n">
        <v>0.885969</v>
      </c>
    </row>
    <row r="8594">
      <c r="A8594" s="24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5" t="n">
        <v>0.413939</v>
      </c>
    </row>
    <row r="8595">
      <c r="A8595" s="24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5" t="n">
        <v>0.413942</v>
      </c>
    </row>
    <row r="8596">
      <c r="A8596" s="24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5" t="n">
        <v>0.408561</v>
      </c>
    </row>
    <row r="8597">
      <c r="A8597" s="24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5" t="n">
        <v>0.408347</v>
      </c>
    </row>
    <row r="8598">
      <c r="A8598" s="24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5" t="n">
        <v>0.128129</v>
      </c>
    </row>
    <row r="8599">
      <c r="A8599" s="24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5" t="n">
        <v>0.058306</v>
      </c>
    </row>
    <row r="8600">
      <c r="A8600" s="24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5" t="n">
        <v>0.032158</v>
      </c>
    </row>
    <row r="8601">
      <c r="A8601" s="24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5" t="n">
        <v>0.030499</v>
      </c>
    </row>
    <row r="8602">
      <c r="A8602" s="24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5" t="n">
        <v>0.046794</v>
      </c>
    </row>
    <row r="8603">
      <c r="A8603" s="24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5" t="n">
        <v>0.016186</v>
      </c>
    </row>
    <row r="8604">
      <c r="A8604" s="24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5" t="n">
        <v>0.037538</v>
      </c>
    </row>
    <row r="8605">
      <c r="A8605" s="24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5" t="n">
        <v>0.155791</v>
      </c>
    </row>
    <row r="8606">
      <c r="A8606" s="24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5" t="n">
        <v>0.171519</v>
      </c>
    </row>
    <row r="8607">
      <c r="A8607" s="24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5" t="n">
        <v>0.12897</v>
      </c>
    </row>
    <row r="8608">
      <c r="A8608" s="24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5" t="n">
        <v>0.255113</v>
      </c>
    </row>
    <row r="8609">
      <c r="A8609" s="24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5" t="n">
        <v>0.225403</v>
      </c>
    </row>
    <row r="8610">
      <c r="A8610" s="24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5" t="n">
        <v>0.162119</v>
      </c>
    </row>
    <row r="8611">
      <c r="A8611" s="24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5" t="n">
        <v>0.366065</v>
      </c>
    </row>
    <row r="8612">
      <c r="A8612" s="24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5" t="n">
        <v>0.161567</v>
      </c>
    </row>
    <row r="8613">
      <c r="A8613" s="24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5" t="n">
        <v>0.055225</v>
      </c>
    </row>
    <row r="8614">
      <c r="A8614" s="24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5" t="n">
        <v>0.035892</v>
      </c>
    </row>
    <row r="8615">
      <c r="A8615" s="24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5" t="n">
        <v>0.025064</v>
      </c>
    </row>
    <row r="8616">
      <c r="A8616" s="24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5" t="n">
        <v>0.02572</v>
      </c>
    </row>
    <row r="8617">
      <c r="A8617" s="24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5" t="n">
        <v>0.024138</v>
      </c>
    </row>
    <row r="8618">
      <c r="A8618" s="24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5" t="n">
        <v>0.021885</v>
      </c>
    </row>
    <row r="8619">
      <c r="A8619" s="24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5" t="n">
        <v>0.06742099999999999</v>
      </c>
    </row>
    <row r="8620">
      <c r="A8620" s="24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5" t="n">
        <v>0.095805</v>
      </c>
    </row>
    <row r="8621">
      <c r="A8621" s="24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5" t="n">
        <v>0.348079</v>
      </c>
    </row>
    <row r="8622">
      <c r="A8622" s="24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5" t="n">
        <v>0.75114</v>
      </c>
    </row>
    <row r="8623">
      <c r="A8623" s="24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5" t="n">
        <v>0.76281</v>
      </c>
    </row>
    <row r="8624">
      <c r="A8624" s="24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5" t="n">
        <v>0.402834</v>
      </c>
    </row>
    <row r="8625">
      <c r="A8625" s="24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5" t="n">
        <v>0.404487</v>
      </c>
    </row>
    <row r="8626">
      <c r="A8626" s="24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5" t="n">
        <v>0.40524</v>
      </c>
    </row>
    <row r="8627">
      <c r="A8627" s="24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5" t="n">
        <v>0.179675</v>
      </c>
    </row>
    <row r="8628">
      <c r="A8628" s="24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5" t="n">
        <v>0.123816</v>
      </c>
    </row>
    <row r="8629">
      <c r="A8629" s="24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5" t="n">
        <v>0.137297</v>
      </c>
    </row>
    <row r="8630">
      <c r="A8630" s="24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5" t="n">
        <v>0.062482</v>
      </c>
    </row>
    <row r="8631">
      <c r="A8631" s="24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5" t="n">
        <v>0.067399</v>
      </c>
    </row>
    <row r="8632">
      <c r="A8632" s="24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5" t="n">
        <v>0.082829</v>
      </c>
    </row>
    <row r="8633">
      <c r="A8633" s="24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5" t="n">
        <v>0.030141</v>
      </c>
    </row>
    <row r="8634">
      <c r="A8634" s="24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5" t="n">
        <v>0.057555</v>
      </c>
    </row>
    <row r="8635">
      <c r="A8635" s="24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5" t="n">
        <v>0.343175</v>
      </c>
    </row>
    <row r="8636">
      <c r="A8636" s="24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5" t="n">
        <v>0.382089</v>
      </c>
    </row>
    <row r="8637">
      <c r="A8637" s="24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5" t="n">
        <v>0.391419</v>
      </c>
    </row>
    <row r="8638">
      <c r="A8638" s="24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5" t="n">
        <v>0.207432</v>
      </c>
    </row>
    <row r="8639">
      <c r="A8639" s="24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5" t="n">
        <v>0.230289</v>
      </c>
    </row>
    <row r="8640">
      <c r="A8640" s="24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5" t="n">
        <v>0.538914</v>
      </c>
    </row>
    <row r="8641">
      <c r="A8641" s="24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5" t="n">
        <v>0.564387</v>
      </c>
    </row>
    <row r="8642">
      <c r="A8642" s="24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5" t="n">
        <v>0.510939</v>
      </c>
    </row>
    <row r="8643">
      <c r="A8643" s="24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5" t="n">
        <v>1.029774</v>
      </c>
    </row>
    <row r="8644">
      <c r="A8644" s="24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5" t="n">
        <v>1.168375</v>
      </c>
    </row>
    <row r="8645">
      <c r="A8645" s="24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5" t="n">
        <v>0.74176</v>
      </c>
    </row>
    <row r="8646">
      <c r="A8646" s="24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5" t="n">
        <v>0.507613</v>
      </c>
    </row>
    <row r="8647">
      <c r="A8647" s="24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5" t="n">
        <v>0.413294</v>
      </c>
    </row>
    <row r="8648">
      <c r="A8648" s="24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5" t="n">
        <v>0.413101</v>
      </c>
    </row>
    <row r="8649">
      <c r="A8649" s="24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5" t="n">
        <v>0.40999</v>
      </c>
    </row>
    <row r="8650">
      <c r="A8650" s="24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5" t="n">
        <v>0.406385</v>
      </c>
    </row>
    <row r="8651">
      <c r="A8651" s="24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5" t="n">
        <v>0.415936</v>
      </c>
    </row>
    <row r="8652">
      <c r="A8652" s="24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5" t="n">
        <v>0.418414</v>
      </c>
    </row>
    <row r="8653">
      <c r="A8653" s="24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5" t="n">
        <v>0.411309</v>
      </c>
    </row>
    <row r="8654">
      <c r="A8654" s="24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5" t="n">
        <v>0.382892</v>
      </c>
    </row>
    <row r="8655">
      <c r="A8655" s="24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5" t="n">
        <v>0.409475</v>
      </c>
    </row>
    <row r="8656">
      <c r="A8656" s="24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5" t="n">
        <v>0.45063</v>
      </c>
    </row>
    <row r="8657">
      <c r="A8657" s="24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5" t="n">
        <v>0.45045</v>
      </c>
    </row>
    <row r="8658">
      <c r="A8658" s="24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5" t="n">
        <v>0.409255</v>
      </c>
    </row>
    <row r="8659">
      <c r="A8659" s="24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5" t="n">
        <v>0.405926</v>
      </c>
    </row>
    <row r="8660">
      <c r="A8660" s="24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5" t="n">
        <v>0.230855</v>
      </c>
    </row>
    <row r="8661">
      <c r="A8661" s="24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5" t="n">
        <v>0.084052</v>
      </c>
    </row>
    <row r="8662">
      <c r="A8662" s="24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5" t="n">
        <v>0.036187</v>
      </c>
    </row>
    <row r="8663">
      <c r="A8663" s="24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5" t="n">
        <v>0.036232</v>
      </c>
    </row>
    <row r="8664">
      <c r="A8664" s="24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5" t="n">
        <v>0.051394</v>
      </c>
    </row>
    <row r="8665">
      <c r="A8665" s="24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5" t="n">
        <v>0.026924</v>
      </c>
    </row>
    <row r="8666">
      <c r="A8666" s="24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5" t="n">
        <v>0.018113</v>
      </c>
    </row>
    <row r="8667">
      <c r="A8667" s="24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5" t="n">
        <v>0.037843</v>
      </c>
    </row>
    <row r="8668">
      <c r="A8668" s="24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5" t="n">
        <v>0.08523699999999999</v>
      </c>
    </row>
    <row r="8669">
      <c r="A8669" s="24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5" t="n">
        <v>0.104289</v>
      </c>
    </row>
    <row r="8670">
      <c r="A8670" s="24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5" t="n">
        <v>0.055264</v>
      </c>
    </row>
    <row r="8671">
      <c r="A8671" s="24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5" t="n">
        <v>0.019764</v>
      </c>
    </row>
    <row r="8672">
      <c r="A8672" s="24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5" t="n">
        <v>0.108294</v>
      </c>
    </row>
    <row r="8673">
      <c r="A8673" s="24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5" t="n">
        <v>0.344849</v>
      </c>
    </row>
    <row r="8674">
      <c r="A8674" s="24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5" t="n">
        <v>0.078485</v>
      </c>
    </row>
    <row r="8675">
      <c r="A8675" s="24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5" t="n">
        <v>0.037961</v>
      </c>
    </row>
    <row r="8676">
      <c r="A8676" s="24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5" t="n">
        <v>0.07974199999999999</v>
      </c>
    </row>
    <row r="8677">
      <c r="A8677" s="24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5" t="n">
        <v>0.217617</v>
      </c>
    </row>
    <row r="8678">
      <c r="A8678" s="24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5" t="n">
        <v>0.080625</v>
      </c>
    </row>
    <row r="8679">
      <c r="A8679" s="24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5" t="n">
        <v>0.311861</v>
      </c>
    </row>
    <row r="8680">
      <c r="A8680" s="24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5" t="n">
        <v>0.380882</v>
      </c>
    </row>
    <row r="8681">
      <c r="A8681" s="24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5" t="n">
        <v>0.398143</v>
      </c>
    </row>
    <row r="8682">
      <c r="A8682" s="24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5" t="n">
        <v>0.267783</v>
      </c>
    </row>
    <row r="8683">
      <c r="A8683" s="24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5" t="n">
        <v>0.12439</v>
      </c>
    </row>
    <row r="8684">
      <c r="A8684" s="24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5" t="n">
        <v>0.174831</v>
      </c>
    </row>
    <row r="8685">
      <c r="A8685" s="24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5" t="n">
        <v>0.37511</v>
      </c>
    </row>
    <row r="8686">
      <c r="A8686" s="24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5" t="n">
        <v>0.399558</v>
      </c>
    </row>
    <row r="8687">
      <c r="A8687" s="24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5" t="n">
        <v>0.401146</v>
      </c>
    </row>
    <row r="8688">
      <c r="A8688" s="24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5" t="n">
        <v>0.405483</v>
      </c>
    </row>
    <row r="8689">
      <c r="A8689" s="24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5" t="n">
        <v>0.404977</v>
      </c>
    </row>
    <row r="8690">
      <c r="A8690" s="24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5" t="n">
        <v>0.301799</v>
      </c>
    </row>
    <row r="8691">
      <c r="A8691" s="24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5" t="n">
        <v>0.255055</v>
      </c>
    </row>
    <row r="8692">
      <c r="A8692" s="24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5" t="n">
        <v>0.227566</v>
      </c>
    </row>
    <row r="8693">
      <c r="A8693" s="24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5" t="n">
        <v>0.14847</v>
      </c>
    </row>
    <row r="8694">
      <c r="A8694" s="24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5" t="n">
        <v>0.066117</v>
      </c>
    </row>
    <row r="8695">
      <c r="A8695" s="24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5" t="n">
        <v>0.04018</v>
      </c>
    </row>
    <row r="8696">
      <c r="A8696" s="24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5" t="n">
        <v>0.343504</v>
      </c>
    </row>
    <row r="8697">
      <c r="A8697" s="24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5" t="n">
        <v>0.364214</v>
      </c>
    </row>
    <row r="8698">
      <c r="A8698" s="24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5" t="n">
        <v>0.187197</v>
      </c>
    </row>
    <row r="8699">
      <c r="A8699" s="24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5" t="n">
        <v>0.106549</v>
      </c>
    </row>
    <row r="8700">
      <c r="A8700" s="24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5" t="n">
        <v>0.067842</v>
      </c>
    </row>
    <row r="8701">
      <c r="A8701" s="24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5" t="n">
        <v>0.026784</v>
      </c>
    </row>
    <row r="8702">
      <c r="A8702" s="24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5" t="n">
        <v>0.133363</v>
      </c>
    </row>
    <row r="8703">
      <c r="A8703" s="24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5" t="n">
        <v>0.069368</v>
      </c>
    </row>
    <row r="8704">
      <c r="A8704" s="24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5" t="n">
        <v>0.08662300000000001</v>
      </c>
    </row>
    <row r="8705">
      <c r="A8705" s="24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5" t="n">
        <v>0.1832</v>
      </c>
    </row>
    <row r="8706">
      <c r="A8706" s="24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5" t="n">
        <v>0.050778</v>
      </c>
    </row>
    <row r="8707">
      <c r="A8707" s="24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5" t="n">
        <v>0.086606</v>
      </c>
    </row>
    <row r="8708">
      <c r="A8708" s="24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5" t="n">
        <v>0.060386</v>
      </c>
    </row>
    <row r="8709">
      <c r="A8709" s="24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5" t="n">
        <v>0.053314</v>
      </c>
    </row>
    <row r="8710">
      <c r="A8710" s="24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5" t="n">
        <v>0.342524</v>
      </c>
    </row>
    <row r="8711">
      <c r="A8711" s="24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5" t="n">
        <v>0.300781</v>
      </c>
    </row>
    <row r="8712">
      <c r="A8712" s="24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5" t="n">
        <v>0.068754</v>
      </c>
    </row>
    <row r="8713">
      <c r="A8713" s="24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5" t="n">
        <v>0.043319</v>
      </c>
    </row>
    <row r="8714">
      <c r="A8714" s="24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5" t="n">
        <v>0.026508</v>
      </c>
    </row>
    <row r="8715">
      <c r="A8715" s="24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5" t="n">
        <v>0.07951999999999999</v>
      </c>
    </row>
    <row r="8716">
      <c r="A8716" s="24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5" t="n">
        <v>0.077871</v>
      </c>
    </row>
    <row r="8717">
      <c r="A8717" s="24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5" t="n">
        <v>0.067152</v>
      </c>
    </row>
    <row r="8718">
      <c r="A8718" s="24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5" t="n">
        <v>0.062859</v>
      </c>
    </row>
    <row r="8719">
      <c r="A8719" s="24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5" t="n">
        <v>0.026936</v>
      </c>
    </row>
    <row r="8720">
      <c r="A8720" s="24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5" t="n">
        <v>0.070856</v>
      </c>
    </row>
    <row r="8721">
      <c r="A8721" s="24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5" t="n">
        <v>0.03542</v>
      </c>
    </row>
    <row r="8722">
      <c r="A8722" s="24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5" t="n">
        <v>0.026384</v>
      </c>
    </row>
    <row r="8723">
      <c r="A8723" s="24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5" t="n">
        <v>0.050902</v>
      </c>
    </row>
    <row r="8724">
      <c r="A8724" s="24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5" t="n">
        <v>0.100647</v>
      </c>
    </row>
    <row r="8725">
      <c r="A8725" s="24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5" t="n">
        <v>0.033307</v>
      </c>
    </row>
    <row r="8726">
      <c r="A8726" s="24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5" t="n">
        <v>0.051146</v>
      </c>
    </row>
    <row r="8727">
      <c r="A8727" s="24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5" t="n">
        <v>0.115747</v>
      </c>
    </row>
    <row r="8728">
      <c r="A8728" s="24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5" t="n">
        <v>0.104479</v>
      </c>
    </row>
    <row r="8729">
      <c r="A8729" s="24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5" t="n">
        <v>0.050761</v>
      </c>
    </row>
    <row r="8730">
      <c r="A8730" s="24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5" t="n">
        <v>0.055048</v>
      </c>
    </row>
    <row r="8731">
      <c r="A8731" s="24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5" t="n">
        <v>0.132971</v>
      </c>
    </row>
    <row r="8732">
      <c r="A8732" s="24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5" t="n">
        <v>0.0516</v>
      </c>
    </row>
    <row r="8733">
      <c r="A8733" s="24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5" t="n">
        <v>0.042491</v>
      </c>
    </row>
    <row r="8734">
      <c r="A8734" s="24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5" t="n">
        <v>0.24955</v>
      </c>
    </row>
    <row r="8735">
      <c r="A8735" s="24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5" t="n">
        <v>0.06587899999999999</v>
      </c>
    </row>
    <row r="8736">
      <c r="A8736" s="24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5" t="n">
        <v>0.082606</v>
      </c>
    </row>
    <row r="8737">
      <c r="A8737" s="24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5" t="n">
        <v>0.034948</v>
      </c>
    </row>
    <row r="8738">
      <c r="A8738" s="24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5" t="n">
        <v>0.049199</v>
      </c>
    </row>
    <row r="8739">
      <c r="A8739" s="24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5" t="n">
        <v>0.050801</v>
      </c>
    </row>
    <row r="8740">
      <c r="A8740" s="24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5" t="n">
        <v>0.118487</v>
      </c>
    </row>
    <row r="8741">
      <c r="A8741" s="24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5" t="n">
        <v>0.060385</v>
      </c>
    </row>
    <row r="8742">
      <c r="A8742" s="24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5" t="n">
        <v>0.036812</v>
      </c>
    </row>
    <row r="8743">
      <c r="A8743" s="24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5" t="n">
        <v>0.061892</v>
      </c>
    </row>
    <row r="8744">
      <c r="A8744" s="24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5" t="n">
        <v>0.07320400000000001</v>
      </c>
    </row>
    <row r="8745">
      <c r="A8745" s="24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5" t="n">
        <v>0.069692</v>
      </c>
    </row>
    <row r="8746">
      <c r="A8746" s="24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5" t="n">
        <v>0.323375</v>
      </c>
    </row>
    <row r="8747">
      <c r="A8747" s="24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5" t="n">
        <v>0.33134</v>
      </c>
    </row>
    <row r="8748">
      <c r="A8748" s="24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5" t="n">
        <v>0.08833299999999999</v>
      </c>
    </row>
    <row r="8749">
      <c r="A8749" s="24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5" t="n">
        <v>0.085574</v>
      </c>
    </row>
    <row r="8750">
      <c r="A8750" s="24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5" t="n">
        <v>0.304956</v>
      </c>
    </row>
    <row r="8751">
      <c r="A8751" s="24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5" t="n">
        <v>0.165251</v>
      </c>
    </row>
    <row r="8752">
      <c r="A8752" s="24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5" t="n">
        <v>0.062282</v>
      </c>
    </row>
    <row r="8753">
      <c r="A8753" s="24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5" t="n">
        <v>0.135106</v>
      </c>
    </row>
    <row r="8754">
      <c r="A8754" s="24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5" t="n">
        <v>0.06848700000000001</v>
      </c>
    </row>
    <row r="8755">
      <c r="A8755" s="24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5" t="n">
        <v>0.25033</v>
      </c>
    </row>
    <row r="8756">
      <c r="A8756" s="24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5" t="n">
        <v>0.369665</v>
      </c>
    </row>
    <row r="8757">
      <c r="A8757" s="24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5" t="n">
        <v>0.304165</v>
      </c>
    </row>
    <row r="8758">
      <c r="A8758" s="24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5" t="n">
        <v>0.194579</v>
      </c>
    </row>
    <row r="8759">
      <c r="A8759" s="24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5" t="n">
        <v>0.147204</v>
      </c>
    </row>
    <row r="8760">
      <c r="A8760" s="24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5" t="n">
        <v>0.060936</v>
      </c>
    </row>
    <row r="8761">
      <c r="A8761" s="24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5" t="n">
        <v>0.08293399999999999</v>
      </c>
    </row>
    <row r="8762">
      <c r="A8762" s="24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5" t="n">
        <v>0.219744</v>
      </c>
    </row>
    <row r="8763">
      <c r="A8763" s="24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5" t="n">
        <v>0.065043</v>
      </c>
    </row>
    <row r="8764">
      <c r="A8764" s="24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5" t="n">
        <v>0.136262</v>
      </c>
    </row>
    <row r="8765">
      <c r="A8765" s="24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5" t="n">
        <v>0.283449</v>
      </c>
    </row>
    <row r="8766">
      <c r="A8766" s="24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5" t="n">
        <v>0.141939</v>
      </c>
    </row>
    <row r="8767">
      <c r="A8767" s="24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5" t="n">
        <v>0.176095</v>
      </c>
    </row>
    <row r="8768">
      <c r="A8768" s="24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5" t="n">
        <v>0.302786</v>
      </c>
    </row>
    <row r="8769">
      <c r="A8769" s="24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5" t="n">
        <v>0.07706499999999999</v>
      </c>
    </row>
    <row r="8770">
      <c r="A8770" s="24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5" t="n">
        <v>0.050754</v>
      </c>
    </row>
    <row r="8771">
      <c r="A8771" s="24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5" t="n">
        <v>0.067355</v>
      </c>
    </row>
    <row r="8772">
      <c r="A8772" s="24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5" t="n">
        <v>0.157463</v>
      </c>
    </row>
    <row r="8773">
      <c r="A8773" s="24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5" t="n">
        <v>0.064064</v>
      </c>
    </row>
    <row r="8774">
      <c r="A8774" s="24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5" t="n">
        <v>0.348046</v>
      </c>
    </row>
    <row r="8775">
      <c r="A8775" s="24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5" t="n">
        <v>0.381107</v>
      </c>
    </row>
    <row r="8776">
      <c r="A8776" s="24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5" t="n">
        <v>0.096375</v>
      </c>
    </row>
    <row r="8777">
      <c r="A8777" s="24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5" t="n">
        <v>0.050375</v>
      </c>
    </row>
    <row r="8778">
      <c r="A8778" s="24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5" t="n">
        <v>0.028626</v>
      </c>
    </row>
    <row r="8779">
      <c r="A8779" s="24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5" t="n">
        <v>0.034836</v>
      </c>
    </row>
    <row r="8780">
      <c r="A8780" s="24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5" t="n">
        <v>0.083629</v>
      </c>
    </row>
    <row r="8781">
      <c r="A8781" s="24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5" t="n">
        <v>0.039225</v>
      </c>
    </row>
    <row r="8782">
      <c r="A8782" s="24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5" t="n">
        <v>0.031565</v>
      </c>
    </row>
    <row r="8783">
      <c r="A8783" s="24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5" t="n">
        <v>0.026983</v>
      </c>
    </row>
    <row r="8784">
      <c r="A8784" s="24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5" t="n">
        <v>0.034919</v>
      </c>
    </row>
    <row r="8785">
      <c r="A8785" s="24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5" t="n">
        <v>0.147925</v>
      </c>
    </row>
    <row r="8786">
      <c r="A8786" s="24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5" t="n">
        <v>0.10826</v>
      </c>
    </row>
    <row r="8787">
      <c r="A8787" s="24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5" t="n">
        <v>0.046779</v>
      </c>
    </row>
    <row r="8788">
      <c r="A8788" s="24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5" t="n">
        <v>0.067565</v>
      </c>
    </row>
    <row r="8789">
      <c r="A8789" s="24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5" t="n">
        <v>0.069094</v>
      </c>
    </row>
    <row r="8790">
      <c r="A8790" s="24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5" t="n">
        <v>0.052606</v>
      </c>
    </row>
    <row r="8791">
      <c r="A8791" s="24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5" t="n">
        <v>0.150569</v>
      </c>
    </row>
    <row r="8792">
      <c r="A8792" s="24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5" t="n">
        <v>0.35342</v>
      </c>
    </row>
    <row r="8793">
      <c r="A8793" s="24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5" t="n">
        <v>0.22959</v>
      </c>
    </row>
    <row r="8794">
      <c r="A8794" s="24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5" t="n">
        <v>0.112117</v>
      </c>
    </row>
    <row r="8795">
      <c r="A8795" s="24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5" t="n">
        <v>0.065014</v>
      </c>
    </row>
    <row r="8796">
      <c r="A8796" s="24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5" t="n">
        <v>0.225412</v>
      </c>
    </row>
    <row r="8797">
      <c r="A8797" s="24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5" t="n">
        <v>0.083039</v>
      </c>
    </row>
    <row r="8798">
      <c r="A8798" s="24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5" t="n">
        <v>0.135147</v>
      </c>
    </row>
    <row r="8799">
      <c r="A8799" s="24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5" t="n">
        <v>0.098118</v>
      </c>
    </row>
    <row r="8800">
      <c r="A8800" s="24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5" t="n">
        <v>0.055951</v>
      </c>
    </row>
    <row r="8801">
      <c r="A8801" s="24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5" t="n">
        <v>0.036839</v>
      </c>
    </row>
    <row r="8802">
      <c r="A8802" s="24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5" t="n">
        <v>0.030312</v>
      </c>
    </row>
    <row r="8803">
      <c r="A8803" s="24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5" t="n">
        <v>0.208503</v>
      </c>
    </row>
    <row r="8804">
      <c r="A8804" s="24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5" t="n">
        <v>0.35967</v>
      </c>
    </row>
    <row r="8805">
      <c r="A8805" s="24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5" t="n">
        <v>0.2665</v>
      </c>
    </row>
    <row r="8806">
      <c r="A8806" s="24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5" t="n">
        <v>0.277098</v>
      </c>
    </row>
    <row r="8807">
      <c r="A8807" s="24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5" t="n">
        <v>0.100436</v>
      </c>
    </row>
    <row r="8808">
      <c r="A8808" s="24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5" t="n">
        <v>0.081289</v>
      </c>
    </row>
    <row r="8809">
      <c r="A8809" s="24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5" t="n">
        <v>0.076629</v>
      </c>
    </row>
    <row r="8810">
      <c r="A8810" s="24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5" t="n">
        <v>0.034472</v>
      </c>
    </row>
    <row r="8811">
      <c r="A8811" s="24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5" t="n">
        <v>0.167722</v>
      </c>
    </row>
    <row r="8812">
      <c r="A8812" s="24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5" t="n">
        <v>0.039281</v>
      </c>
    </row>
    <row r="8813">
      <c r="A8813" s="24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5" t="n">
        <v>0.0325</v>
      </c>
    </row>
    <row r="8814">
      <c r="A8814" s="24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5" t="n">
        <v>0.045933</v>
      </c>
    </row>
    <row r="8815">
      <c r="A8815" s="24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5" t="n">
        <v>0.016827</v>
      </c>
    </row>
    <row r="8816">
      <c r="A8816" s="24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5" t="n">
        <v>0.053019</v>
      </c>
    </row>
    <row r="8817">
      <c r="A8817" s="24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5" t="n">
        <v>0.06983</v>
      </c>
    </row>
    <row r="8818">
      <c r="A8818" s="24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5" t="n">
        <v>0.015137</v>
      </c>
    </row>
    <row r="8819">
      <c r="A8819" s="24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5" t="n">
        <v>0.01713</v>
      </c>
    </row>
    <row r="8820">
      <c r="A8820" s="24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5" t="n">
        <v>0.027728</v>
      </c>
    </row>
    <row r="8821">
      <c r="A8821" s="24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5" t="n">
        <v>0.097996</v>
      </c>
    </row>
    <row r="8822">
      <c r="A8822" s="24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5" t="n">
        <v>0.060352</v>
      </c>
    </row>
    <row r="8823">
      <c r="A8823" s="24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5" t="n">
        <v>0.215908</v>
      </c>
    </row>
    <row r="8824">
      <c r="A8824" s="24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5" t="n">
        <v>0.215962</v>
      </c>
    </row>
    <row r="8825">
      <c r="A8825" s="24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5" t="n">
        <v>0.140821</v>
      </c>
    </row>
    <row r="8826">
      <c r="A8826" s="24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5" t="n">
        <v>0.103756</v>
      </c>
    </row>
    <row r="8827">
      <c r="A8827" s="24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5" t="n">
        <v>0.270589</v>
      </c>
    </row>
    <row r="8828">
      <c r="A8828" s="24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5" t="n">
        <v>0.140492</v>
      </c>
    </row>
    <row r="8829">
      <c r="A8829" s="24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5" t="n">
        <v>0.21702</v>
      </c>
    </row>
    <row r="8830">
      <c r="A8830" s="24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5" t="n">
        <v>0.051137</v>
      </c>
    </row>
    <row r="8831">
      <c r="A8831" s="24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5" t="n">
        <v>0.06622500000000001</v>
      </c>
    </row>
    <row r="8832">
      <c r="A8832" s="24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5" t="n">
        <v>0.08788700000000001</v>
      </c>
    </row>
    <row r="8833">
      <c r="A8833" s="24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5" t="n">
        <v>0.056772</v>
      </c>
    </row>
    <row r="8834">
      <c r="A8834" s="24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5" t="n">
        <v>0.117905</v>
      </c>
    </row>
    <row r="8835">
      <c r="A8835" s="24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5" t="n">
        <v>0.048406</v>
      </c>
    </row>
    <row r="8836">
      <c r="A8836" s="24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5" t="n">
        <v>0.184262</v>
      </c>
    </row>
    <row r="8837">
      <c r="A8837" s="24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5" t="n">
        <v>0.055304</v>
      </c>
    </row>
    <row r="8838">
      <c r="A8838" s="24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5" t="n">
        <v>0.102974</v>
      </c>
    </row>
    <row r="8839">
      <c r="A8839" s="24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5" t="n">
        <v>0.048568</v>
      </c>
    </row>
    <row r="8840">
      <c r="A8840" s="24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5" t="n">
        <v>0.027351</v>
      </c>
    </row>
    <row r="8841">
      <c r="A8841" s="24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5" t="n">
        <v>0.234035</v>
      </c>
    </row>
    <row r="8842">
      <c r="A8842" s="24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5" t="n">
        <v>0.047231</v>
      </c>
    </row>
    <row r="8843">
      <c r="A8843" s="24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5" t="n">
        <v>0.09099599999999999</v>
      </c>
    </row>
    <row r="8844">
      <c r="A8844" s="24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5" t="n">
        <v>0.049589</v>
      </c>
    </row>
    <row r="8845">
      <c r="A8845" s="24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5" t="n">
        <v>0.035202</v>
      </c>
    </row>
    <row r="8846">
      <c r="A8846" s="24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5" t="n">
        <v>0.256904</v>
      </c>
    </row>
    <row r="8847">
      <c r="A8847" s="24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5" t="n">
        <v>0.308173</v>
      </c>
    </row>
    <row r="8848">
      <c r="A8848" s="24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5" t="n">
        <v>0.242787</v>
      </c>
    </row>
    <row r="8849">
      <c r="A8849" s="24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5" t="n">
        <v>0.113714</v>
      </c>
    </row>
    <row r="8850">
      <c r="A8850" s="24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5" t="n">
        <v>0.176856</v>
      </c>
    </row>
    <row r="8851">
      <c r="A8851" s="24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5" t="n">
        <v>0.131925</v>
      </c>
    </row>
    <row r="8852">
      <c r="A8852" s="24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5" t="n">
        <v>0.18501</v>
      </c>
    </row>
    <row r="8853">
      <c r="A8853" s="24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5" t="n">
        <v>0.03665</v>
      </c>
    </row>
    <row r="8854">
      <c r="A8854" s="24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5" t="n">
        <v>0.038489</v>
      </c>
    </row>
    <row r="8855">
      <c r="A8855" s="24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5" t="n">
        <v>0.046514</v>
      </c>
    </row>
    <row r="8856">
      <c r="A8856" s="24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5" t="n">
        <v>0.234754</v>
      </c>
    </row>
    <row r="8857">
      <c r="A8857" s="24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5" t="n">
        <v>0.07091500000000001</v>
      </c>
    </row>
    <row r="8858">
      <c r="A8858" s="24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5" t="n">
        <v>0.048132</v>
      </c>
    </row>
    <row r="8859">
      <c r="A8859" s="24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5" t="n">
        <v>0.050134</v>
      </c>
    </row>
    <row r="8860">
      <c r="A8860" s="24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5" t="n">
        <v>0.270662</v>
      </c>
    </row>
    <row r="8861">
      <c r="A8861" s="24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5" t="n">
        <v>0.064276</v>
      </c>
    </row>
    <row r="8862">
      <c r="A8862" s="24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5" t="n">
        <v>0.05777</v>
      </c>
    </row>
    <row r="8863">
      <c r="A8863" s="24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5" t="n">
        <v>0.12266</v>
      </c>
    </row>
    <row r="8864">
      <c r="A8864" s="24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5" t="n">
        <v>0.120093</v>
      </c>
    </row>
    <row r="8865">
      <c r="A8865" s="24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5" t="n">
        <v>0.339493</v>
      </c>
    </row>
    <row r="8866">
      <c r="A8866" s="24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5" t="n">
        <v>0.160745</v>
      </c>
    </row>
    <row r="8867">
      <c r="A8867" s="24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5" t="n">
        <v>0.335953</v>
      </c>
    </row>
    <row r="8868">
      <c r="A8868" s="24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5" t="n">
        <v>0.110406</v>
      </c>
    </row>
    <row r="8869">
      <c r="A8869" s="24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5" t="n">
        <v>0.314166</v>
      </c>
    </row>
    <row r="8870">
      <c r="A8870" s="24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5" t="n">
        <v>0.141143</v>
      </c>
    </row>
    <row r="8871">
      <c r="A8871" s="24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5" t="n">
        <v>0.204522</v>
      </c>
    </row>
    <row r="8872">
      <c r="A8872" s="24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5" t="n">
        <v>0.155815</v>
      </c>
    </row>
    <row r="8873">
      <c r="A8873" s="24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5" t="n">
        <v>0.082556</v>
      </c>
    </row>
    <row r="8874">
      <c r="A8874" s="24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5" t="n">
        <v>0.114452</v>
      </c>
    </row>
    <row r="8875">
      <c r="A8875" s="24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5" t="n">
        <v>0.064313</v>
      </c>
    </row>
    <row r="8876">
      <c r="A8876" s="24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5" t="n">
        <v>0.078013</v>
      </c>
    </row>
    <row r="8877">
      <c r="A8877" s="24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5" t="n">
        <v>0.07964</v>
      </c>
    </row>
    <row r="8878">
      <c r="A8878" s="24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5" t="n">
        <v>0.23801</v>
      </c>
    </row>
    <row r="8879">
      <c r="A8879" s="24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5" t="n">
        <v>0.178711</v>
      </c>
    </row>
    <row r="8880">
      <c r="A8880" s="24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5" t="n">
        <v>0.360118</v>
      </c>
    </row>
    <row r="8881">
      <c r="A8881" s="24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5" t="n">
        <v>0.182607</v>
      </c>
    </row>
    <row r="8882">
      <c r="A8882" s="24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5" t="n">
        <v>0.151821</v>
      </c>
    </row>
    <row r="8883">
      <c r="A8883" s="24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5" t="n">
        <v>0.317995</v>
      </c>
    </row>
    <row r="8884">
      <c r="A8884" s="24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5" t="n">
        <v>0.111103</v>
      </c>
    </row>
    <row r="8885">
      <c r="A8885" s="24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5" t="n">
        <v>0.362768</v>
      </c>
    </row>
    <row r="8886">
      <c r="A8886" s="24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5" t="n">
        <v>0.165497</v>
      </c>
    </row>
    <row r="8887">
      <c r="A8887" s="24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5" t="n">
        <v>0.166373</v>
      </c>
    </row>
    <row r="8888">
      <c r="A8888" s="24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5" t="n">
        <v>0.046105</v>
      </c>
    </row>
    <row r="8889">
      <c r="A8889" s="24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5" t="n">
        <v>0.045932</v>
      </c>
    </row>
    <row r="8890">
      <c r="A8890" s="24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5" t="n">
        <v>0.053458</v>
      </c>
    </row>
    <row r="8891">
      <c r="A8891" s="24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5" t="n">
        <v>0.039428</v>
      </c>
    </row>
    <row r="8892">
      <c r="A8892" s="24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5" t="n">
        <v>0.015988</v>
      </c>
    </row>
    <row r="8893">
      <c r="A8893" s="24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5" t="n">
        <v>0.067482</v>
      </c>
    </row>
    <row r="8894">
      <c r="A8894" s="24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5" t="n">
        <v>0.251291</v>
      </c>
    </row>
    <row r="8895">
      <c r="A8895" s="24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5" t="n">
        <v>0.37028</v>
      </c>
    </row>
    <row r="8896">
      <c r="A8896" s="24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5" t="n">
        <v>0.606494</v>
      </c>
    </row>
    <row r="8897">
      <c r="A8897" s="24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5" t="n">
        <v>0.60991</v>
      </c>
    </row>
    <row r="8898">
      <c r="A8898" s="24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5" t="n">
        <v>0.400669</v>
      </c>
    </row>
    <row r="8899">
      <c r="A8899" s="24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5" t="n">
        <v>0.403973</v>
      </c>
    </row>
    <row r="8900">
      <c r="A8900" s="24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5" t="n">
        <v>0.212457</v>
      </c>
    </row>
    <row r="8901">
      <c r="A8901" s="24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5" t="n">
        <v>0.308195</v>
      </c>
    </row>
    <row r="8902">
      <c r="A8902" s="24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5" t="n">
        <v>0.213689</v>
      </c>
    </row>
    <row r="8903">
      <c r="A8903" s="24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5" t="n">
        <v>0.147367</v>
      </c>
    </row>
    <row r="8904">
      <c r="A8904" s="24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5" t="n">
        <v>0.051935</v>
      </c>
    </row>
    <row r="8905">
      <c r="A8905" s="24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5" t="n">
        <v>0.041017</v>
      </c>
    </row>
    <row r="8906">
      <c r="A8906" s="24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5" t="n">
        <v>0.342559</v>
      </c>
    </row>
    <row r="8907">
      <c r="A8907" s="24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5" t="n">
        <v>0.388297</v>
      </c>
    </row>
    <row r="8908">
      <c r="A8908" s="24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5" t="n">
        <v>0.405203</v>
      </c>
    </row>
    <row r="8909">
      <c r="A8909" s="24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5" t="n">
        <v>0.6979919999999999</v>
      </c>
    </row>
    <row r="8910">
      <c r="A8910" s="24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5" t="n">
        <v>1.223161</v>
      </c>
    </row>
    <row r="8911">
      <c r="A8911" s="24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5" t="n">
        <v>0.934019</v>
      </c>
    </row>
    <row r="8912">
      <c r="A8912" s="24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5" t="n">
        <v>0.457669</v>
      </c>
    </row>
    <row r="8913">
      <c r="A8913" s="24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5" t="n">
        <v>0.456848</v>
      </c>
    </row>
    <row r="8914">
      <c r="A8914" s="24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5" t="n">
        <v>0.414344</v>
      </c>
    </row>
    <row r="8915">
      <c r="A8915" s="24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5" t="n">
        <v>0.412983</v>
      </c>
    </row>
    <row r="8916">
      <c r="A8916" s="24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5" t="n">
        <v>0.407436</v>
      </c>
    </row>
    <row r="8917">
      <c r="A8917" s="24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5" t="n">
        <v>0.338077</v>
      </c>
    </row>
    <row r="8918">
      <c r="A8918" s="24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5" t="n">
        <v>0.265864</v>
      </c>
    </row>
    <row r="8919">
      <c r="A8919" s="24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5" t="n">
        <v>0.119714</v>
      </c>
    </row>
    <row r="8920">
      <c r="A8920" s="24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5" t="n">
        <v>0.09984700000000001</v>
      </c>
    </row>
    <row r="8921">
      <c r="A8921" s="24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5" t="n">
        <v>0.355749</v>
      </c>
    </row>
    <row r="8922">
      <c r="A8922" s="24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5" t="n">
        <v>0.237476</v>
      </c>
    </row>
    <row r="8923">
      <c r="A8923" s="24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5" t="n">
        <v>0.381595</v>
      </c>
    </row>
    <row r="8924">
      <c r="A8924" s="24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5" t="n">
        <v>0.761051</v>
      </c>
    </row>
    <row r="8925">
      <c r="A8925" s="24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5" t="n">
        <v>1.038576</v>
      </c>
    </row>
    <row r="8926">
      <c r="A8926" s="24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5" t="n">
        <v>0.6788380000000001</v>
      </c>
    </row>
    <row r="8927">
      <c r="A8927" s="24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5" t="n">
        <v>0.407009</v>
      </c>
    </row>
    <row r="8928">
      <c r="A8928" s="24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5" t="n">
        <v>0.411808</v>
      </c>
    </row>
    <row r="8929">
      <c r="A8929" s="24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5" t="n">
        <v>0.417933</v>
      </c>
    </row>
    <row r="8930">
      <c r="A8930" s="24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5" t="n">
        <v>1.025304</v>
      </c>
    </row>
    <row r="8931">
      <c r="A8931" s="24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5" t="n">
        <v>1.021511</v>
      </c>
    </row>
    <row r="8932">
      <c r="A8932" s="24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5" t="n">
        <v>0.413473</v>
      </c>
    </row>
    <row r="8933">
      <c r="A8933" s="24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5" t="n">
        <v>0.411074</v>
      </c>
    </row>
    <row r="8934">
      <c r="A8934" s="24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5" t="n">
        <v>0.535382</v>
      </c>
    </row>
    <row r="8935">
      <c r="A8935" s="24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5" t="n">
        <v>0.687628</v>
      </c>
    </row>
    <row r="8936">
      <c r="A8936" s="24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5" t="n">
        <v>0.563833</v>
      </c>
    </row>
    <row r="8937">
      <c r="A8937" s="24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5" t="n">
        <v>0.487089</v>
      </c>
    </row>
    <row r="8938">
      <c r="A8938" s="24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5" t="n">
        <v>0.484937</v>
      </c>
    </row>
    <row r="8939">
      <c r="A8939" s="24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5" t="n">
        <v>0.411494</v>
      </c>
    </row>
    <row r="8940">
      <c r="A8940" s="24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5" t="n">
        <v>0.410862</v>
      </c>
    </row>
    <row r="8941">
      <c r="A8941" s="24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5" t="n">
        <v>0.413505</v>
      </c>
    </row>
    <row r="8942">
      <c r="A8942" s="24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5" t="n">
        <v>2.313283</v>
      </c>
    </row>
    <row r="8943">
      <c r="A8943" s="24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5" t="n">
        <v>3.466383</v>
      </c>
    </row>
    <row r="8944">
      <c r="A8944" s="24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5" t="n">
        <v>1.65569</v>
      </c>
    </row>
    <row r="8945">
      <c r="A8945" s="24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5" t="n">
        <v>0.500215</v>
      </c>
    </row>
    <row r="8946">
      <c r="A8946" s="24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5" t="n">
        <v>0.414111</v>
      </c>
    </row>
    <row r="8947">
      <c r="A8947" s="24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5" t="n">
        <v>0.41439</v>
      </c>
    </row>
    <row r="8948">
      <c r="A8948" s="24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5" t="n">
        <v>0.414851</v>
      </c>
    </row>
    <row r="8949">
      <c r="A8949" s="24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5" t="n">
        <v>0.415947</v>
      </c>
    </row>
    <row r="8950">
      <c r="A8950" s="24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5" t="n">
        <v>0.597417</v>
      </c>
    </row>
    <row r="8951">
      <c r="A8951" s="24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5" t="n">
        <v>0.920428</v>
      </c>
    </row>
    <row r="8952">
      <c r="A8952" s="24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5" t="n">
        <v>0.7359520000000001</v>
      </c>
    </row>
    <row r="8953">
      <c r="A8953" s="24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5" t="n">
        <v>0.955443</v>
      </c>
    </row>
    <row r="8954">
      <c r="A8954" s="24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5" t="n">
        <v>1.042795</v>
      </c>
    </row>
    <row r="8955">
      <c r="A8955" s="24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5" t="n">
        <v>0.495553</v>
      </c>
    </row>
    <row r="8956">
      <c r="A8956" s="24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5" t="n">
        <v>0.408249</v>
      </c>
    </row>
    <row r="8957">
      <c r="A8957" s="24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5" t="n">
        <v>0.41251</v>
      </c>
    </row>
    <row r="8958">
      <c r="A8958" s="24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5" t="n">
        <v>0.415249</v>
      </c>
    </row>
    <row r="8959">
      <c r="A8959" s="24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5" t="n">
        <v>0.941601</v>
      </c>
    </row>
    <row r="8960">
      <c r="A8960" s="24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5" t="n">
        <v>0.941101</v>
      </c>
    </row>
    <row r="8961">
      <c r="A8961" s="24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5" t="n">
        <v>0.413869</v>
      </c>
    </row>
    <row r="8962">
      <c r="A8962" s="24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5" t="n">
        <v>0.411825</v>
      </c>
    </row>
    <row r="8963">
      <c r="A8963" s="24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5" t="n">
        <v>0.429707</v>
      </c>
    </row>
    <row r="8964">
      <c r="A8964" s="24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5" t="n">
        <v>0.816835</v>
      </c>
    </row>
    <row r="8965">
      <c r="A8965" s="24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5" t="n">
        <v>1.429683</v>
      </c>
    </row>
    <row r="8966">
      <c r="A8966" s="24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5" t="n">
        <v>1.042379</v>
      </c>
    </row>
    <row r="8967">
      <c r="A8967" s="24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5" t="n">
        <v>0.409493</v>
      </c>
    </row>
    <row r="8968">
      <c r="A8968" s="24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5" t="n">
        <v>0.407881</v>
      </c>
    </row>
    <row r="8969">
      <c r="A8969" s="24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5" t="n">
        <v>0.261574</v>
      </c>
    </row>
    <row r="8970">
      <c r="A8970" s="24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5" t="n">
        <v>0.215958</v>
      </c>
    </row>
    <row r="8971">
      <c r="A8971" s="24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5" t="n">
        <v>0.28164</v>
      </c>
    </row>
    <row r="8972">
      <c r="A8972" s="24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5" t="n">
        <v>0.309567</v>
      </c>
    </row>
    <row r="8973">
      <c r="A8973" s="24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5" t="n">
        <v>0.224278</v>
      </c>
    </row>
    <row r="8974">
      <c r="A8974" s="24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5" t="n">
        <v>0.133565</v>
      </c>
    </row>
    <row r="8975">
      <c r="A8975" s="24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5" t="n">
        <v>0.051129</v>
      </c>
    </row>
    <row r="8976">
      <c r="A8976" s="24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5" t="n">
        <v>0.041639</v>
      </c>
    </row>
    <row r="8977">
      <c r="A8977" s="24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5" t="n">
        <v>0.024708</v>
      </c>
    </row>
    <row r="8978">
      <c r="A8978" s="24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5" t="n">
        <v>0.33638</v>
      </c>
    </row>
    <row r="8979">
      <c r="A8979" s="24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5" t="n">
        <v>0.25455</v>
      </c>
    </row>
    <row r="8980">
      <c r="A8980" s="24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5" t="n">
        <v>0.062705</v>
      </c>
    </row>
    <row r="8981">
      <c r="A8981" s="24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5" t="n">
        <v>0.041414</v>
      </c>
    </row>
    <row r="8982">
      <c r="A8982" s="24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5" t="n">
        <v>0.114078</v>
      </c>
    </row>
    <row r="8983">
      <c r="A8983" s="24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5" t="n">
        <v>0.261522</v>
      </c>
    </row>
    <row r="8984">
      <c r="A8984" s="24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5" t="n">
        <v>0.08165699999999999</v>
      </c>
    </row>
    <row r="8985">
      <c r="A8985" s="24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5" t="n">
        <v>0.063168</v>
      </c>
    </row>
    <row r="8986">
      <c r="A8986" s="24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5" t="n">
        <v>0.355008</v>
      </c>
    </row>
    <row r="8987">
      <c r="A8987" s="24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5" t="n">
        <v>0.517275</v>
      </c>
    </row>
    <row r="8988">
      <c r="A8988" s="24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5" t="n">
        <v>0.602705</v>
      </c>
    </row>
    <row r="8989">
      <c r="A8989" s="24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5" t="n">
        <v>0.48422</v>
      </c>
    </row>
    <row r="8990">
      <c r="A8990" s="24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5" t="n">
        <v>0.430584</v>
      </c>
    </row>
    <row r="8991">
      <c r="A8991" s="24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5" t="n">
        <v>0.431311</v>
      </c>
    </row>
    <row r="8992">
      <c r="A8992" s="24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5" t="n">
        <v>0.410858</v>
      </c>
    </row>
    <row r="8993">
      <c r="A8993" s="24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5" t="n">
        <v>0.413318</v>
      </c>
    </row>
    <row r="8994">
      <c r="A8994" s="24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5" t="n">
        <v>0.409927</v>
      </c>
    </row>
    <row r="8995">
      <c r="A8995" s="24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5" t="n">
        <v>0.339829</v>
      </c>
    </row>
    <row r="8996">
      <c r="A8996" s="24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5" t="n">
        <v>0.4122</v>
      </c>
    </row>
    <row r="8997">
      <c r="A8997" s="24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5" t="n">
        <v>0.614595</v>
      </c>
    </row>
    <row r="8998">
      <c r="A8998" s="24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5" t="n">
        <v>0.913618</v>
      </c>
    </row>
    <row r="8999">
      <c r="A8999" s="24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5" t="n">
        <v>1.973389</v>
      </c>
    </row>
    <row r="9000">
      <c r="A9000" s="24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5" t="n">
        <v>1.75102</v>
      </c>
    </row>
    <row r="9001">
      <c r="A9001" s="24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5" t="n">
        <v>0.495242</v>
      </c>
    </row>
    <row r="9002">
      <c r="A9002" s="24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5" t="n">
        <v>0.407406</v>
      </c>
    </row>
    <row r="9003">
      <c r="A9003" s="24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5" t="n">
        <v>0.407368</v>
      </c>
    </row>
    <row r="9004">
      <c r="A9004" s="24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5" t="n">
        <v>0.441573</v>
      </c>
    </row>
    <row r="9005">
      <c r="A9005" s="24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5" t="n">
        <v>0.444577</v>
      </c>
    </row>
    <row r="9006">
      <c r="A9006" s="24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5" t="n">
        <v>0.565685</v>
      </c>
    </row>
    <row r="9007">
      <c r="A9007" s="24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5" t="n">
        <v>0.92031</v>
      </c>
    </row>
    <row r="9008">
      <c r="A9008" s="24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5" t="n">
        <v>0.767149</v>
      </c>
    </row>
    <row r="9009">
      <c r="A9009" s="24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5" t="n">
        <v>0.409124</v>
      </c>
    </row>
    <row r="9010">
      <c r="A9010" s="24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5" t="n">
        <v>0.415015</v>
      </c>
    </row>
    <row r="9011">
      <c r="A9011" s="24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5" t="n">
        <v>0.418719</v>
      </c>
    </row>
    <row r="9012">
      <c r="A9012" s="24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5" t="n">
        <v>0.411503</v>
      </c>
    </row>
    <row r="9013">
      <c r="A9013" s="24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5" t="n">
        <v>0.407558</v>
      </c>
    </row>
    <row r="9014">
      <c r="A9014" s="24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5" t="n">
        <v>0.228871</v>
      </c>
    </row>
    <row r="9015">
      <c r="A9015" s="24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5" t="n">
        <v>0.283339</v>
      </c>
    </row>
    <row r="9016">
      <c r="A9016" s="24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5" t="n">
        <v>0.389156</v>
      </c>
    </row>
    <row r="9017">
      <c r="A9017" s="24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5" t="n">
        <v>0.40424</v>
      </c>
    </row>
    <row r="9018">
      <c r="A9018" s="24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5" t="n">
        <v>0.236158</v>
      </c>
    </row>
    <row r="9019">
      <c r="A9019" s="24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5" t="n">
        <v>0.087168</v>
      </c>
    </row>
    <row r="9020">
      <c r="A9020" s="24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5" t="n">
        <v>0.076267</v>
      </c>
    </row>
    <row r="9021">
      <c r="A9021" s="24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5" t="n">
        <v>0.104099</v>
      </c>
    </row>
    <row r="9022">
      <c r="A9022" s="24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5" t="n">
        <v>0.23938</v>
      </c>
    </row>
    <row r="9023">
      <c r="A9023" s="24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5" t="n">
        <v>0.255334</v>
      </c>
    </row>
    <row r="9024">
      <c r="A9024" s="24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5" t="n">
        <v>0.088644</v>
      </c>
    </row>
    <row r="9025">
      <c r="A9025" s="24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5" t="n">
        <v>0.065196</v>
      </c>
    </row>
    <row r="9026">
      <c r="A9026" s="24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5" t="n">
        <v>0.354526</v>
      </c>
    </row>
    <row r="9027">
      <c r="A9027" s="24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5" t="n">
        <v>0.662052</v>
      </c>
    </row>
    <row r="9028">
      <c r="A9028" s="24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5" t="n">
        <v>0.941204</v>
      </c>
    </row>
    <row r="9029">
      <c r="A9029" s="24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5" t="n">
        <v>0.676179</v>
      </c>
    </row>
    <row r="9030">
      <c r="A9030" s="24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5" t="n">
        <v>0.406843</v>
      </c>
    </row>
    <row r="9031">
      <c r="A9031" s="24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5" t="n">
        <v>0.409269</v>
      </c>
    </row>
    <row r="9032">
      <c r="A9032" s="24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5" t="n">
        <v>0.416517</v>
      </c>
    </row>
    <row r="9033">
      <c r="A9033" s="24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5" t="n">
        <v>0.414419</v>
      </c>
    </row>
    <row r="9034">
      <c r="A9034" s="24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5" t="n">
        <v>0.4066</v>
      </c>
    </row>
    <row r="9035">
      <c r="A9035" s="24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5" t="n">
        <v>0.231266</v>
      </c>
    </row>
    <row r="9036">
      <c r="A9036" s="24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5" t="n">
        <v>0.061751</v>
      </c>
    </row>
    <row r="9037">
      <c r="A9037" s="24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5" t="n">
        <v>0.031872</v>
      </c>
    </row>
    <row r="9038">
      <c r="A9038" s="24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5" t="n">
        <v>0.01645</v>
      </c>
    </row>
    <row r="9039">
      <c r="A9039" s="24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5" t="n">
        <v>0.008489999999999999</v>
      </c>
    </row>
    <row r="9040">
      <c r="A9040" s="24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5" t="n">
        <v>0.004382</v>
      </c>
    </row>
    <row r="9041">
      <c r="A9041" s="24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5" t="n">
        <v>0.002262</v>
      </c>
    </row>
    <row r="9042">
      <c r="A9042" s="24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5" t="n">
        <v>0.001167</v>
      </c>
    </row>
    <row r="9043">
      <c r="A9043" s="24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5" t="n">
        <v>0.000602</v>
      </c>
    </row>
    <row r="9044">
      <c r="A9044" s="24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5" t="n">
        <v>0.000311</v>
      </c>
    </row>
    <row r="9045">
      <c r="A9045" s="24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5" t="n">
        <v>0.00016</v>
      </c>
    </row>
    <row r="9046">
      <c r="A9046" s="24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5" t="n">
        <v>8.3e-05</v>
      </c>
    </row>
    <row r="9047">
      <c r="A9047" s="24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5" t="n">
        <v>4.3e-05</v>
      </c>
    </row>
    <row r="9048">
      <c r="A9048" s="24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5" t="n">
        <v>2.2e-05</v>
      </c>
    </row>
    <row r="9049">
      <c r="A9049" s="24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5" t="n">
        <v>1.1e-05</v>
      </c>
    </row>
    <row r="9050">
      <c r="A9050" s="24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5" t="n">
        <v>6e-06</v>
      </c>
    </row>
    <row r="9051">
      <c r="A9051" s="24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5" t="n">
        <v>3e-06</v>
      </c>
    </row>
    <row r="9052">
      <c r="A9052" s="24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5" t="n">
        <v>2e-06</v>
      </c>
    </row>
    <row r="9053">
      <c r="A9053" s="24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5" t="n">
        <v>1e-06</v>
      </c>
    </row>
    <row r="9054">
      <c r="A9054" s="24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5" t="n">
        <v>0</v>
      </c>
    </row>
    <row r="9055">
      <c r="A9055" s="24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5" t="n">
        <v>0</v>
      </c>
    </row>
    <row r="9056">
      <c r="A9056" s="24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5" t="n">
        <v>0</v>
      </c>
    </row>
    <row r="9057">
      <c r="A9057" s="24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5" t="n">
        <v>0</v>
      </c>
    </row>
    <row r="9058">
      <c r="A9058" s="24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5" t="n">
        <v>0</v>
      </c>
    </row>
    <row r="9059">
      <c r="A9059" s="24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5" t="n">
        <v>0</v>
      </c>
    </row>
    <row r="9060">
      <c r="A9060" s="24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5" t="n">
        <v>0</v>
      </c>
    </row>
    <row r="9061">
      <c r="A9061" s="24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5" t="n">
        <v>0.008031999999999999</v>
      </c>
    </row>
    <row r="9062">
      <c r="A9062" s="24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5" t="n">
        <v>0.205418</v>
      </c>
    </row>
    <row r="9063">
      <c r="A9063" s="24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5" t="n">
        <v>0.08905399999999999</v>
      </c>
    </row>
    <row r="9064">
      <c r="A9064" s="24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5" t="n">
        <v>0.091169</v>
      </c>
    </row>
    <row r="9065">
      <c r="A9065" s="24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5" t="n">
        <v>0.124662</v>
      </c>
    </row>
    <row r="9066">
      <c r="A9066" s="24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5" t="n">
        <v>0.267276</v>
      </c>
    </row>
    <row r="9067">
      <c r="A9067" s="24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5" t="n">
        <v>0.119801</v>
      </c>
    </row>
    <row r="9068">
      <c r="A9068" s="24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5" t="n">
        <v>0.359744</v>
      </c>
    </row>
    <row r="9069">
      <c r="A9069" s="24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5" t="n">
        <v>0.253509</v>
      </c>
    </row>
    <row r="9070">
      <c r="A9070" s="24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5" t="n">
        <v>0.129997</v>
      </c>
    </row>
    <row r="9071">
      <c r="A9071" s="24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5" t="n">
        <v>0.333874</v>
      </c>
    </row>
    <row r="9072">
      <c r="A9072" s="24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5" t="n">
        <v>0.223815</v>
      </c>
    </row>
    <row r="9073">
      <c r="A9073" s="24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5" t="n">
        <v>0.065182</v>
      </c>
    </row>
    <row r="9074">
      <c r="A9074" s="24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5" t="n">
        <v>0.082759</v>
      </c>
    </row>
    <row r="9075">
      <c r="A9075" s="24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5" t="n">
        <v>0.064651</v>
      </c>
    </row>
    <row r="9076">
      <c r="A9076" s="24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5" t="n">
        <v>0.026467</v>
      </c>
    </row>
    <row r="9077">
      <c r="A9077" s="24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5" t="n">
        <v>0.015567</v>
      </c>
    </row>
    <row r="9078">
      <c r="A9078" s="24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5" t="n">
        <v>0.016499</v>
      </c>
    </row>
    <row r="9079">
      <c r="A9079" s="24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5" t="n">
        <v>0.030867</v>
      </c>
    </row>
    <row r="9080">
      <c r="A9080" s="24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5" t="n">
        <v>0.050734</v>
      </c>
    </row>
    <row r="9081">
      <c r="A9081" s="24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5" t="n">
        <v>0.043866</v>
      </c>
    </row>
    <row r="9082">
      <c r="A9082" s="24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5" t="n">
        <v>0.046109</v>
      </c>
    </row>
    <row r="9083">
      <c r="A9083" s="24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5" t="n">
        <v>0.051941</v>
      </c>
    </row>
    <row r="9084">
      <c r="A9084" s="24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5" t="n">
        <v>0.235773</v>
      </c>
    </row>
    <row r="9085">
      <c r="A9085" s="24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5" t="n">
        <v>0.250934</v>
      </c>
    </row>
    <row r="9086">
      <c r="A9086" s="24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5" t="n">
        <v>0.120185</v>
      </c>
    </row>
    <row r="9087">
      <c r="A9087" s="24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5" t="n">
        <v>0.071226</v>
      </c>
    </row>
    <row r="9088">
      <c r="A9088" s="24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5" t="n">
        <v>0.062322</v>
      </c>
    </row>
    <row r="9089">
      <c r="A9089" s="24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5" t="n">
        <v>0.054355</v>
      </c>
    </row>
    <row r="9090">
      <c r="A9090" s="24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5" t="n">
        <v>0.236759</v>
      </c>
    </row>
    <row r="9091">
      <c r="A9091" s="24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5" t="n">
        <v>0.09286800000000001</v>
      </c>
    </row>
    <row r="9092">
      <c r="A9092" s="24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5" t="n">
        <v>0.054636</v>
      </c>
    </row>
    <row r="9093">
      <c r="A9093" s="24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5" t="n">
        <v>0.06559</v>
      </c>
    </row>
    <row r="9094">
      <c r="A9094" s="24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5" t="n">
        <v>0.01518</v>
      </c>
    </row>
    <row r="9095">
      <c r="A9095" s="24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5" t="n">
        <v>0.00748</v>
      </c>
    </row>
    <row r="9096">
      <c r="A9096" s="24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5" t="n">
        <v>0.299013</v>
      </c>
    </row>
    <row r="9097">
      <c r="A9097" s="24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5" t="n">
        <v>0.371138</v>
      </c>
    </row>
    <row r="9098">
      <c r="A9098" s="24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5" t="n">
        <v>0.214842</v>
      </c>
    </row>
    <row r="9099">
      <c r="A9099" s="24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5" t="n">
        <v>0.050181</v>
      </c>
    </row>
    <row r="9100">
      <c r="A9100" s="24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5" t="n">
        <v>0.0259</v>
      </c>
    </row>
    <row r="9101">
      <c r="A9101" s="24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5" t="n">
        <v>0.013368</v>
      </c>
    </row>
    <row r="9102">
      <c r="A9102" s="24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5" t="n">
        <v>0.011664</v>
      </c>
    </row>
    <row r="9103">
      <c r="A9103" s="24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5" t="n">
        <v>0.053921</v>
      </c>
    </row>
    <row r="9104">
      <c r="A9104" s="24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5" t="n">
        <v>0.031691</v>
      </c>
    </row>
    <row r="9105">
      <c r="A9105" s="24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5" t="n">
        <v>0.152269</v>
      </c>
    </row>
    <row r="9106">
      <c r="A9106" s="24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5" t="n">
        <v>0.121304</v>
      </c>
    </row>
    <row r="9107">
      <c r="A9107" s="24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5" t="n">
        <v>0.056884</v>
      </c>
    </row>
    <row r="9108">
      <c r="A9108" s="24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5" t="n">
        <v>0.34394</v>
      </c>
    </row>
    <row r="9109">
      <c r="A9109" s="24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5" t="n">
        <v>0.143141</v>
      </c>
    </row>
    <row r="9110">
      <c r="A9110" s="24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5" t="n">
        <v>0.22961</v>
      </c>
    </row>
    <row r="9111">
      <c r="A9111" s="24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5" t="n">
        <v>0.206489</v>
      </c>
    </row>
    <row r="9112">
      <c r="A9112" s="24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5" t="n">
        <v>0.079275</v>
      </c>
    </row>
    <row r="9113">
      <c r="A9113" s="24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5" t="n">
        <v>0.072781</v>
      </c>
    </row>
    <row r="9114">
      <c r="A9114" s="24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5" t="n">
        <v>0.055344</v>
      </c>
    </row>
    <row r="9115">
      <c r="A9115" s="24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5" t="n">
        <v>0.037186</v>
      </c>
    </row>
    <row r="9116">
      <c r="A9116" s="24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5" t="n">
        <v>0.057946</v>
      </c>
    </row>
    <row r="9117">
      <c r="A9117" s="24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5" t="n">
        <v>0.196863</v>
      </c>
    </row>
    <row r="9118">
      <c r="A9118" s="24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5" t="n">
        <v>0.169482</v>
      </c>
    </row>
    <row r="9119">
      <c r="A9119" s="24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5" t="n">
        <v>0.08874799999999999</v>
      </c>
    </row>
    <row r="9120">
      <c r="A9120" s="24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5" t="n">
        <v>0.051345</v>
      </c>
    </row>
    <row r="9121">
      <c r="A9121" s="24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5" t="n">
        <v>0.097082</v>
      </c>
    </row>
    <row r="9122">
      <c r="A9122" s="24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5" t="n">
        <v>0.120811</v>
      </c>
    </row>
    <row r="9123">
      <c r="A9123" s="24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5" t="n">
        <v>0.053645</v>
      </c>
    </row>
    <row r="9124">
      <c r="A9124" s="24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5" t="n">
        <v>0.09925100000000001</v>
      </c>
    </row>
    <row r="9125">
      <c r="A9125" s="24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5" t="n">
        <v>0.037487</v>
      </c>
    </row>
    <row r="9126">
      <c r="A9126" s="24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5" t="n">
        <v>0.016488</v>
      </c>
    </row>
    <row r="9127">
      <c r="A9127" s="24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5" t="n">
        <v>0.043354</v>
      </c>
    </row>
    <row r="9128">
      <c r="A9128" s="24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5" t="n">
        <v>0.039287</v>
      </c>
    </row>
    <row r="9129">
      <c r="A9129" s="24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5" t="n">
        <v>0.025365</v>
      </c>
    </row>
    <row r="9130">
      <c r="A9130" s="24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5" t="n">
        <v>0.050576</v>
      </c>
    </row>
    <row r="9131">
      <c r="A9131" s="24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5" t="n">
        <v>0.044463</v>
      </c>
    </row>
    <row r="9132">
      <c r="A9132" s="24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5" t="n">
        <v>0.055787</v>
      </c>
    </row>
    <row r="9133">
      <c r="A9133" s="24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5" t="n">
        <v>0.121999</v>
      </c>
    </row>
    <row r="9134">
      <c r="A9134" s="24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5" t="n">
        <v>0.08744499999999999</v>
      </c>
    </row>
    <row r="9135">
      <c r="A9135" s="24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5" t="n">
        <v>0.107985</v>
      </c>
    </row>
    <row r="9136">
      <c r="A9136" s="24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5" t="n">
        <v>0.09046700000000001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2026-10-20T08:17:14Z</dcterms:created>
  <dcterms:modified xsi:type="dcterms:W3CDTF">2026-10-20T08:17:14Z</dcterms:modified>
</cp:coreProperties>
</file>